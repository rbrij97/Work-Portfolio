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802cdcba9293a7/Desktop/portfolio/"/>
    </mc:Choice>
  </mc:AlternateContent>
  <xr:revisionPtr revIDLastSave="6912" documentId="13_ncr:1_{E444E943-8212-42A2-B15B-34BCDBAC31F9}" xr6:coauthVersionLast="47" xr6:coauthVersionMax="47" xr10:uidLastSave="{109A2687-6357-4AC6-961A-C806D6D5DC42}"/>
  <bookViews>
    <workbookView xWindow="-108" yWindow="-108" windowWidth="23256" windowHeight="12456" tabRatio="829" activeTab="3" xr2:uid="{00000000-000D-0000-FFFF-FFFF00000000}"/>
  </bookViews>
  <sheets>
    <sheet name="Financing Inputs" sheetId="75" r:id="rId1"/>
    <sheet name="Operating Inputs" sheetId="76" r:id="rId2"/>
    <sheet name="Financials" sheetId="5" r:id="rId3"/>
    <sheet name="Debt" sheetId="80" r:id="rId4"/>
  </sheets>
  <definedNames>
    <definedName name="_xlnm.Print_Area" localSheetId="3">Debt!$A$1:$AC$55</definedName>
    <definedName name="_xlnm.Print_Area" localSheetId="2">Financials!$A$1:$AO$158</definedName>
    <definedName name="_xlnm.Print_Area" localSheetId="0">'Financing Inputs'!$A$1:$U$53</definedName>
    <definedName name="_xlnm.Print_Area" localSheetId="1">'Operating Inputs'!$A$1:$BS$28</definedName>
  </definedNames>
  <calcPr calcId="191029" iterate="1" iterateCount="2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18" i="5" l="1"/>
  <c r="R117" i="5"/>
  <c r="AN80" i="5"/>
  <c r="AL80" i="5"/>
  <c r="AJ80" i="5"/>
  <c r="AH80" i="5"/>
  <c r="AF80" i="5"/>
  <c r="AD80" i="5"/>
  <c r="AB80" i="5"/>
  <c r="Z80" i="5"/>
  <c r="X80" i="5"/>
  <c r="V80" i="5"/>
  <c r="T80" i="5"/>
  <c r="AN63" i="5"/>
  <c r="AN62" i="5"/>
  <c r="AL63" i="5"/>
  <c r="AL62" i="5"/>
  <c r="AJ63" i="5"/>
  <c r="AJ62" i="5"/>
  <c r="AH63" i="5"/>
  <c r="AH62" i="5"/>
  <c r="AF63" i="5"/>
  <c r="AF62" i="5"/>
  <c r="AD63" i="5"/>
  <c r="AD62" i="5"/>
  <c r="AB63" i="5"/>
  <c r="AB62" i="5"/>
  <c r="Z63" i="5"/>
  <c r="Z62" i="5"/>
  <c r="X63" i="5"/>
  <c r="X62" i="5"/>
  <c r="V63" i="5"/>
  <c r="V62" i="5"/>
  <c r="T63" i="5"/>
  <c r="T62" i="5"/>
  <c r="AN50" i="5"/>
  <c r="AL50" i="5"/>
  <c r="AJ50" i="5"/>
  <c r="AH50" i="5"/>
  <c r="AF50" i="5"/>
  <c r="AD50" i="5"/>
  <c r="AB50" i="5"/>
  <c r="Z50" i="5"/>
  <c r="X50" i="5"/>
  <c r="V50" i="5"/>
  <c r="T50" i="5"/>
  <c r="T54" i="5"/>
  <c r="T39" i="5"/>
  <c r="AD20" i="76"/>
  <c r="AZ20" i="76"/>
  <c r="R121" i="5"/>
  <c r="R120" i="5"/>
  <c r="R115" i="5"/>
  <c r="R114" i="5"/>
  <c r="R112" i="5"/>
  <c r="R111" i="5"/>
  <c r="R101" i="5"/>
  <c r="P101" i="5"/>
  <c r="N101" i="5"/>
  <c r="L101" i="5"/>
  <c r="J101" i="5"/>
  <c r="R42" i="5"/>
  <c r="H86" i="5"/>
  <c r="J86" i="5"/>
  <c r="L86" i="5"/>
  <c r="N86" i="5"/>
  <c r="P86" i="5"/>
  <c r="R86" i="5"/>
  <c r="J6" i="5"/>
  <c r="L6" i="5" s="1"/>
  <c r="N6" i="5" s="1"/>
  <c r="P6" i="5" s="1"/>
  <c r="R6" i="5" s="1"/>
  <c r="F51" i="80"/>
  <c r="F46" i="80"/>
  <c r="F30" i="80"/>
  <c r="F20" i="80"/>
  <c r="F16" i="80"/>
  <c r="H53" i="80"/>
  <c r="J49" i="80" s="1"/>
  <c r="AB50" i="80"/>
  <c r="Z50" i="80"/>
  <c r="X50" i="80"/>
  <c r="V50" i="80"/>
  <c r="T50" i="80"/>
  <c r="R50" i="80"/>
  <c r="P50" i="80"/>
  <c r="N50" i="80"/>
  <c r="L50" i="80"/>
  <c r="J50" i="80"/>
  <c r="H45" i="80"/>
  <c r="J41" i="80"/>
  <c r="H6" i="80"/>
  <c r="T56" i="5"/>
  <c r="T40" i="5"/>
  <c r="T57" i="5"/>
  <c r="T55" i="5"/>
  <c r="T53" i="5"/>
  <c r="J111" i="5"/>
  <c r="L111" i="5"/>
  <c r="N111" i="5"/>
  <c r="P111" i="5"/>
  <c r="J112" i="5"/>
  <c r="L112" i="5"/>
  <c r="N112" i="5"/>
  <c r="P112" i="5"/>
  <c r="J114" i="5"/>
  <c r="L114" i="5"/>
  <c r="N114" i="5"/>
  <c r="P114" i="5"/>
  <c r="J115" i="5"/>
  <c r="L115" i="5"/>
  <c r="N115" i="5"/>
  <c r="P115" i="5"/>
  <c r="J117" i="5"/>
  <c r="L117" i="5"/>
  <c r="N117" i="5"/>
  <c r="P117" i="5"/>
  <c r="J118" i="5"/>
  <c r="L118" i="5"/>
  <c r="N118" i="5"/>
  <c r="P118" i="5"/>
  <c r="J120" i="5"/>
  <c r="L120" i="5"/>
  <c r="N120" i="5"/>
  <c r="P120" i="5"/>
  <c r="J121" i="5"/>
  <c r="L121" i="5"/>
  <c r="N121" i="5"/>
  <c r="P121" i="5"/>
  <c r="H123" i="5"/>
  <c r="J123" i="5"/>
  <c r="L123" i="5"/>
  <c r="N123" i="5"/>
  <c r="P123" i="5"/>
  <c r="R123" i="5"/>
  <c r="H27" i="76"/>
  <c r="J27" i="76" s="1"/>
  <c r="L27" i="76" s="1"/>
  <c r="N27" i="76" s="1"/>
  <c r="P27" i="76" s="1"/>
  <c r="R27" i="76" s="1"/>
  <c r="T27" i="76" s="1"/>
  <c r="V27" i="76" s="1"/>
  <c r="X27" i="76" s="1"/>
  <c r="Z27" i="76" s="1"/>
  <c r="AD27" i="76"/>
  <c r="AF27" i="76" s="1"/>
  <c r="AH27" i="76" s="1"/>
  <c r="AJ27" i="76" s="1"/>
  <c r="AL27" i="76" s="1"/>
  <c r="AN27" i="76" s="1"/>
  <c r="AP27" i="76" s="1"/>
  <c r="AR27" i="76" s="1"/>
  <c r="AT27" i="76" s="1"/>
  <c r="AV27" i="76" s="1"/>
  <c r="AZ27" i="76"/>
  <c r="BB27" i="76" s="1"/>
  <c r="BW27" i="76"/>
  <c r="BU27" i="76"/>
  <c r="BU25" i="76"/>
  <c r="AZ25" i="76"/>
  <c r="BB25" i="76" s="1"/>
  <c r="AD25" i="76"/>
  <c r="AF25" i="76" s="1"/>
  <c r="AH25" i="76" s="1"/>
  <c r="AJ25" i="76" s="1"/>
  <c r="AL25" i="76" s="1"/>
  <c r="AN25" i="76" s="1"/>
  <c r="AP25" i="76" s="1"/>
  <c r="AR25" i="76" s="1"/>
  <c r="AT25" i="76" s="1"/>
  <c r="AV25" i="76" s="1"/>
  <c r="H25" i="76"/>
  <c r="J25" i="76" s="1"/>
  <c r="L25" i="76" s="1"/>
  <c r="N25" i="76" s="1"/>
  <c r="P25" i="76" s="1"/>
  <c r="R25" i="76" s="1"/>
  <c r="T25" i="76" s="1"/>
  <c r="V25" i="76" s="1"/>
  <c r="X25" i="76" s="1"/>
  <c r="Z25" i="76" s="1"/>
  <c r="R89" i="5"/>
  <c r="P89" i="5"/>
  <c r="N89" i="5"/>
  <c r="L89" i="5"/>
  <c r="J89" i="5"/>
  <c r="H89" i="5"/>
  <c r="R92" i="5"/>
  <c r="P92" i="5"/>
  <c r="N92" i="5"/>
  <c r="L92" i="5"/>
  <c r="J92" i="5"/>
  <c r="H92" i="5"/>
  <c r="L51" i="75"/>
  <c r="L48" i="75"/>
  <c r="F10" i="75" s="1"/>
  <c r="L11" i="75" s="1"/>
  <c r="L10" i="75"/>
  <c r="J46" i="80" l="1"/>
  <c r="F34" i="80"/>
  <c r="F37" i="80"/>
  <c r="BW25" i="76"/>
  <c r="BD25" i="76"/>
  <c r="BY25" i="76"/>
  <c r="R125" i="5"/>
  <c r="R124" i="5"/>
  <c r="N124" i="5"/>
  <c r="L124" i="5"/>
  <c r="L125" i="5"/>
  <c r="J6" i="80"/>
  <c r="J124" i="5"/>
  <c r="P124" i="5"/>
  <c r="N125" i="5"/>
  <c r="J125" i="5"/>
  <c r="P125" i="5"/>
  <c r="BY27" i="76"/>
  <c r="BD27" i="76"/>
  <c r="BF25" i="76" l="1"/>
  <c r="CA25" i="76"/>
  <c r="L6" i="80"/>
  <c r="CA27" i="76"/>
  <c r="BF27" i="76"/>
  <c r="BH25" i="76" l="1"/>
  <c r="CC25" i="76"/>
  <c r="N6" i="80"/>
  <c r="BH27" i="76"/>
  <c r="CC27" i="76"/>
  <c r="BJ25" i="76" l="1"/>
  <c r="CE25" i="76"/>
  <c r="P6" i="80"/>
  <c r="CE27" i="76"/>
  <c r="BJ27" i="76"/>
  <c r="T10" i="75"/>
  <c r="F62" i="5"/>
  <c r="T26" i="75"/>
  <c r="BL25" i="76" l="1"/>
  <c r="CG25" i="76"/>
  <c r="R6" i="80"/>
  <c r="BL27" i="76"/>
  <c r="CG27" i="76"/>
  <c r="F63" i="5"/>
  <c r="T11" i="75"/>
  <c r="L7" i="75" s="1"/>
  <c r="F11" i="75" s="1"/>
  <c r="F13" i="80" s="1"/>
  <c r="R20" i="5"/>
  <c r="T20" i="5" s="1"/>
  <c r="P20" i="5"/>
  <c r="P16" i="5" s="1"/>
  <c r="N20" i="5"/>
  <c r="N16" i="5" s="1"/>
  <c r="L20" i="5"/>
  <c r="J20" i="5"/>
  <c r="J16" i="5" s="1"/>
  <c r="H20" i="5"/>
  <c r="H28" i="5" s="1"/>
  <c r="R22" i="5"/>
  <c r="P22" i="5"/>
  <c r="P26" i="5" s="1"/>
  <c r="N22" i="5"/>
  <c r="N26" i="5" s="1"/>
  <c r="L22" i="5"/>
  <c r="J22" i="5"/>
  <c r="J12" i="5" s="1"/>
  <c r="H22" i="5"/>
  <c r="H26" i="5" s="1"/>
  <c r="BN25" i="76" l="1"/>
  <c r="CI25" i="76"/>
  <c r="T6" i="80"/>
  <c r="CI27" i="76"/>
  <c r="BN27" i="76"/>
  <c r="L12" i="5"/>
  <c r="L16" i="5"/>
  <c r="L9" i="75"/>
  <c r="J26" i="5"/>
  <c r="L26" i="5"/>
  <c r="P12" i="5"/>
  <c r="N12" i="5"/>
  <c r="R12" i="5"/>
  <c r="H16" i="5"/>
  <c r="R26" i="5"/>
  <c r="L28" i="5"/>
  <c r="R28" i="5"/>
  <c r="P28" i="5"/>
  <c r="H12" i="5"/>
  <c r="J28" i="5"/>
  <c r="N28" i="5"/>
  <c r="R16" i="5"/>
  <c r="BP25" i="76" l="1"/>
  <c r="CK25" i="76"/>
  <c r="V6" i="80"/>
  <c r="BP27" i="76"/>
  <c r="CK27" i="76"/>
  <c r="BR25" i="76" l="1"/>
  <c r="CO25" i="76" s="1"/>
  <c r="CM25" i="76"/>
  <c r="X6" i="80"/>
  <c r="CM27" i="76"/>
  <c r="BR27" i="76"/>
  <c r="CO27" i="76" s="1"/>
  <c r="Z6" i="80" l="1"/>
  <c r="J36" i="75"/>
  <c r="T6" i="5"/>
  <c r="AP15" i="76"/>
  <c r="AR15" i="76" s="1"/>
  <c r="AT15" i="76" s="1"/>
  <c r="AV15" i="76" s="1"/>
  <c r="AP14" i="76"/>
  <c r="AR14" i="76" s="1"/>
  <c r="AT14" i="76" s="1"/>
  <c r="AV14" i="76" s="1"/>
  <c r="AP13" i="76"/>
  <c r="AR13" i="76" s="1"/>
  <c r="AT13" i="76" s="1"/>
  <c r="AV13" i="76" s="1"/>
  <c r="AP12" i="76"/>
  <c r="AR12" i="76" s="1"/>
  <c r="AT12" i="76" s="1"/>
  <c r="AV12" i="76" s="1"/>
  <c r="AP11" i="76"/>
  <c r="AR11" i="76" s="1"/>
  <c r="AT11" i="76" s="1"/>
  <c r="AV11" i="76" s="1"/>
  <c r="AF20" i="76"/>
  <c r="AH20" i="76" s="1"/>
  <c r="AJ20" i="76" s="1"/>
  <c r="AL20" i="76" s="1"/>
  <c r="AN20" i="76" s="1"/>
  <c r="AP20" i="76" s="1"/>
  <c r="AR20" i="76" s="1"/>
  <c r="AT20" i="76" s="1"/>
  <c r="AV20" i="76" s="1"/>
  <c r="H36" i="80" l="1"/>
  <c r="H22" i="80"/>
  <c r="H29" i="80"/>
  <c r="H15" i="80"/>
  <c r="AB6" i="80"/>
  <c r="J19" i="80" l="1"/>
  <c r="J12" i="80"/>
  <c r="J16" i="80"/>
  <c r="J33" i="80"/>
  <c r="J27" i="80"/>
  <c r="AN27" i="5" l="1"/>
  <c r="AL27" i="5"/>
  <c r="AJ27" i="5"/>
  <c r="AH27" i="5"/>
  <c r="AF27" i="5"/>
  <c r="AD27" i="5"/>
  <c r="AB27" i="5"/>
  <c r="Z27" i="5"/>
  <c r="X27" i="5"/>
  <c r="R290" i="5"/>
  <c r="P290" i="5"/>
  <c r="N290" i="5"/>
  <c r="L290" i="5"/>
  <c r="J290" i="5"/>
  <c r="H290" i="5"/>
  <c r="R289" i="5"/>
  <c r="P289" i="5"/>
  <c r="N289" i="5"/>
  <c r="L289" i="5"/>
  <c r="J289" i="5"/>
  <c r="H289" i="5"/>
  <c r="H22" i="76" l="1"/>
  <c r="J22" i="76" s="1"/>
  <c r="L22" i="76" s="1"/>
  <c r="N22" i="76" s="1"/>
  <c r="P22" i="76" s="1"/>
  <c r="R22" i="76" s="1"/>
  <c r="T22" i="76" s="1"/>
  <c r="V22" i="76" s="1"/>
  <c r="X22" i="76" s="1"/>
  <c r="Z22" i="76" s="1"/>
  <c r="V27" i="5"/>
  <c r="T27" i="5"/>
  <c r="BU20" i="76"/>
  <c r="BB20" i="76"/>
  <c r="BD20" i="76" s="1"/>
  <c r="BF20" i="76" s="1"/>
  <c r="BH20" i="76" s="1"/>
  <c r="BJ20" i="76" s="1"/>
  <c r="BL20" i="76" s="1"/>
  <c r="BN20" i="76" s="1"/>
  <c r="BP20" i="76" s="1"/>
  <c r="BR20" i="76" s="1"/>
  <c r="BW20" i="76"/>
  <c r="J20" i="76"/>
  <c r="L20" i="76" s="1"/>
  <c r="N20" i="76" s="1"/>
  <c r="P20" i="76" s="1"/>
  <c r="R20" i="76" s="1"/>
  <c r="T20" i="76" s="1"/>
  <c r="V20" i="76" s="1"/>
  <c r="X20" i="76" s="1"/>
  <c r="Z20" i="76" s="1"/>
  <c r="BU17" i="76"/>
  <c r="AZ17" i="76"/>
  <c r="BB17" i="76" s="1"/>
  <c r="BD17" i="76" s="1"/>
  <c r="BF17" i="76" s="1"/>
  <c r="BH17" i="76" s="1"/>
  <c r="BJ17" i="76" s="1"/>
  <c r="BL17" i="76" s="1"/>
  <c r="BN17" i="76" s="1"/>
  <c r="BP17" i="76" s="1"/>
  <c r="BR17" i="76" s="1"/>
  <c r="AD17" i="76"/>
  <c r="H17" i="76"/>
  <c r="J17" i="76" s="1"/>
  <c r="L17" i="76" s="1"/>
  <c r="N17" i="76" s="1"/>
  <c r="P17" i="76" s="1"/>
  <c r="R17" i="76" s="1"/>
  <c r="T17" i="76" s="1"/>
  <c r="V17" i="76" s="1"/>
  <c r="X17" i="76" s="1"/>
  <c r="Z17" i="76" s="1"/>
  <c r="BU15" i="76"/>
  <c r="BU14" i="76"/>
  <c r="BU13" i="76"/>
  <c r="BU12" i="76"/>
  <c r="BU11" i="76"/>
  <c r="BW17" i="76" l="1"/>
  <c r="BY20" i="76"/>
  <c r="AF17" i="76"/>
  <c r="BY17" i="76" l="1"/>
  <c r="AH17" i="76"/>
  <c r="CA20" i="76" l="1"/>
  <c r="CC20" i="76"/>
  <c r="CA17" i="76"/>
  <c r="AJ17" i="76"/>
  <c r="CE20" i="76" l="1"/>
  <c r="CC17" i="76"/>
  <c r="AL17" i="76"/>
  <c r="CG20" i="76" l="1"/>
  <c r="CE17" i="76"/>
  <c r="AN17" i="76"/>
  <c r="CI20" i="76" l="1"/>
  <c r="CG17" i="76"/>
  <c r="AP17" i="76"/>
  <c r="CK20" i="76" l="1"/>
  <c r="CI17" i="76"/>
  <c r="AR17" i="76"/>
  <c r="CM20" i="76" l="1"/>
  <c r="CO20" i="76"/>
  <c r="AT17" i="76"/>
  <c r="CK17" i="76"/>
  <c r="CM17" i="76" l="1"/>
  <c r="AV17" i="76"/>
  <c r="CO17" i="76" s="1"/>
  <c r="F7" i="76" l="1"/>
  <c r="BW15" i="76"/>
  <c r="BL15" i="76"/>
  <c r="BN15" i="76" s="1"/>
  <c r="BP15" i="76" s="1"/>
  <c r="BR15" i="76" s="1"/>
  <c r="BY15" i="76"/>
  <c r="T15" i="76"/>
  <c r="V15" i="76" s="1"/>
  <c r="X15" i="76" s="1"/>
  <c r="Z15" i="76" s="1"/>
  <c r="BW14" i="76"/>
  <c r="BL14" i="76"/>
  <c r="BN14" i="76" s="1"/>
  <c r="BP14" i="76" s="1"/>
  <c r="BR14" i="76" s="1"/>
  <c r="BY14" i="76"/>
  <c r="T14" i="76"/>
  <c r="V14" i="76" s="1"/>
  <c r="X14" i="76" s="1"/>
  <c r="Z14" i="76" s="1"/>
  <c r="BW13" i="76"/>
  <c r="BL13" i="76"/>
  <c r="BN13" i="76" s="1"/>
  <c r="BP13" i="76" s="1"/>
  <c r="BR13" i="76" s="1"/>
  <c r="BY13" i="76"/>
  <c r="T13" i="76"/>
  <c r="V13" i="76" s="1"/>
  <c r="X13" i="76" s="1"/>
  <c r="Z13" i="76" s="1"/>
  <c r="BL12" i="76"/>
  <c r="BN12" i="76" s="1"/>
  <c r="BP12" i="76" s="1"/>
  <c r="BR12" i="76" s="1"/>
  <c r="BY12" i="76"/>
  <c r="T12" i="76"/>
  <c r="V12" i="76" s="1"/>
  <c r="X12" i="76" s="1"/>
  <c r="Z12" i="76" s="1"/>
  <c r="BW12" i="76" l="1"/>
  <c r="BU7" i="76"/>
  <c r="BW7" i="76" s="1"/>
  <c r="BY7" i="76" s="1"/>
  <c r="CA7" i="76" s="1"/>
  <c r="CC7" i="76" s="1"/>
  <c r="CE7" i="76" s="1"/>
  <c r="CG7" i="76" s="1"/>
  <c r="CI7" i="76" s="1"/>
  <c r="CK7" i="76" s="1"/>
  <c r="CM7" i="76" s="1"/>
  <c r="CO7" i="76" s="1"/>
  <c r="AX7" i="76"/>
  <c r="AB7" i="76"/>
  <c r="H7" i="76"/>
  <c r="J7" i="76" s="1"/>
  <c r="L7" i="76" s="1"/>
  <c r="N7" i="76" s="1"/>
  <c r="P7" i="76" s="1"/>
  <c r="R7" i="76" s="1"/>
  <c r="T7" i="76" s="1"/>
  <c r="V7" i="76" s="1"/>
  <c r="X7" i="76" s="1"/>
  <c r="Z7" i="76" s="1"/>
  <c r="BW11" i="76"/>
  <c r="BL11" i="76"/>
  <c r="BN11" i="76" s="1"/>
  <c r="BP11" i="76" s="1"/>
  <c r="BR11" i="76" s="1"/>
  <c r="BY11" i="76"/>
  <c r="T11" i="76"/>
  <c r="V11" i="76" s="1"/>
  <c r="X11" i="76" s="1"/>
  <c r="Z11" i="76" s="1"/>
  <c r="BB7" i="76"/>
  <c r="BD7" i="76" s="1"/>
  <c r="BF7" i="76" s="1"/>
  <c r="BH7" i="76" s="1"/>
  <c r="BJ7" i="76" s="1"/>
  <c r="BL7" i="76" s="1"/>
  <c r="BN7" i="76" s="1"/>
  <c r="BP7" i="76" s="1"/>
  <c r="BR7" i="76" s="1"/>
  <c r="AF7" i="76"/>
  <c r="AH7" i="76" s="1"/>
  <c r="AJ7" i="76" s="1"/>
  <c r="AL7" i="76" s="1"/>
  <c r="AN7" i="76" s="1"/>
  <c r="AP7" i="76" s="1"/>
  <c r="AR7" i="76" s="1"/>
  <c r="AT7" i="76" s="1"/>
  <c r="AV7" i="76" s="1"/>
  <c r="L36" i="75"/>
  <c r="T19" i="75"/>
  <c r="T42" i="5" l="1"/>
  <c r="T122" i="5"/>
  <c r="T121" i="5"/>
  <c r="T119" i="5" s="1"/>
  <c r="T118" i="5"/>
  <c r="T116" i="5" s="1"/>
  <c r="T112" i="5"/>
  <c r="T110" i="5" s="1"/>
  <c r="T125" i="5"/>
  <c r="T115" i="5"/>
  <c r="T113" i="5" s="1"/>
  <c r="T22" i="5"/>
  <c r="CA15" i="76"/>
  <c r="CC15" i="76"/>
  <c r="CA13" i="76"/>
  <c r="CA14" i="76"/>
  <c r="CA12" i="76"/>
  <c r="CE15" i="76"/>
  <c r="T114" i="5" l="1"/>
  <c r="T123" i="5"/>
  <c r="T124" i="5" s="1"/>
  <c r="T111" i="5"/>
  <c r="T117" i="5"/>
  <c r="T120" i="5"/>
  <c r="T26" i="5"/>
  <c r="T28" i="5"/>
  <c r="CC13" i="76"/>
  <c r="CC14" i="76"/>
  <c r="CC12" i="76"/>
  <c r="CG15" i="76"/>
  <c r="CA11" i="76"/>
  <c r="CE13" i="76" l="1"/>
  <c r="CE12" i="76"/>
  <c r="CE14" i="76"/>
  <c r="CI15" i="76"/>
  <c r="CC11" i="76"/>
  <c r="CG13" i="76" l="1"/>
  <c r="CG12" i="76"/>
  <c r="CG14" i="76"/>
  <c r="CK15" i="76"/>
  <c r="CG11" i="76"/>
  <c r="CE11" i="76"/>
  <c r="CI13" i="76" l="1"/>
  <c r="CI12" i="76"/>
  <c r="CI14" i="76"/>
  <c r="CO15" i="76"/>
  <c r="CM15" i="76"/>
  <c r="CI11" i="76"/>
  <c r="CK13" i="76" l="1"/>
  <c r="CK14" i="76"/>
  <c r="CK12" i="76"/>
  <c r="CK11" i="76"/>
  <c r="CO13" i="76" l="1"/>
  <c r="CM13" i="76"/>
  <c r="CO12" i="76"/>
  <c r="CM12" i="76"/>
  <c r="CM14" i="76"/>
  <c r="CO14" i="76"/>
  <c r="CO11" i="76"/>
  <c r="CM11" i="76"/>
  <c r="R90" i="5" l="1"/>
  <c r="P90" i="5"/>
  <c r="N90" i="5"/>
  <c r="L90" i="5"/>
  <c r="K90" i="5"/>
  <c r="J90" i="5"/>
  <c r="H90" i="5"/>
  <c r="R45" i="5"/>
  <c r="P45" i="5"/>
  <c r="N45" i="5"/>
  <c r="L45" i="5"/>
  <c r="J45" i="5"/>
  <c r="H45" i="5"/>
  <c r="R94" i="5"/>
  <c r="P94" i="5"/>
  <c r="N94" i="5"/>
  <c r="L94" i="5"/>
  <c r="J94" i="5"/>
  <c r="H94" i="5"/>
  <c r="R93" i="5"/>
  <c r="P93" i="5"/>
  <c r="N93" i="5"/>
  <c r="L93" i="5"/>
  <c r="J93" i="5"/>
  <c r="H93" i="5"/>
  <c r="R91" i="5"/>
  <c r="P91" i="5"/>
  <c r="N91" i="5"/>
  <c r="L91" i="5"/>
  <c r="J91" i="5"/>
  <c r="H91" i="5"/>
  <c r="R34" i="5"/>
  <c r="P34" i="5"/>
  <c r="N34" i="5"/>
  <c r="L34" i="5"/>
  <c r="J34" i="5"/>
  <c r="H34" i="5"/>
  <c r="P85" i="5"/>
  <c r="L83" i="5"/>
  <c r="J83" i="5"/>
  <c r="H83" i="5"/>
  <c r="P83" i="5"/>
  <c r="N83" i="5"/>
  <c r="R83" i="5"/>
  <c r="N288" i="5"/>
  <c r="N287" i="5"/>
  <c r="R288" i="5"/>
  <c r="R287" i="5"/>
  <c r="R284" i="5"/>
  <c r="R283" i="5"/>
  <c r="P42" i="5"/>
  <c r="H42" i="5"/>
  <c r="J42" i="5"/>
  <c r="L42" i="5"/>
  <c r="N42" i="5"/>
  <c r="N33" i="5"/>
  <c r="R270" i="5"/>
  <c r="P270" i="5"/>
  <c r="N270" i="5"/>
  <c r="L270" i="5"/>
  <c r="J270" i="5"/>
  <c r="H270" i="5"/>
  <c r="R253" i="5"/>
  <c r="P253" i="5"/>
  <c r="N253" i="5"/>
  <c r="L253" i="5"/>
  <c r="J253" i="5"/>
  <c r="H253" i="5"/>
  <c r="H136" i="5"/>
  <c r="J136" i="5"/>
  <c r="L136" i="5"/>
  <c r="N136" i="5"/>
  <c r="P136" i="5"/>
  <c r="R136" i="5"/>
  <c r="R199" i="5"/>
  <c r="R205" i="5" s="1"/>
  <c r="R212" i="5" s="1"/>
  <c r="R193" i="5"/>
  <c r="R155" i="5" s="1"/>
  <c r="R182" i="5"/>
  <c r="R187" i="5" s="1"/>
  <c r="R169" i="5"/>
  <c r="R134" i="5" s="1"/>
  <c r="R166" i="5"/>
  <c r="R153" i="5"/>
  <c r="R150" i="5"/>
  <c r="R149" i="5"/>
  <c r="R148" i="5"/>
  <c r="R147" i="5"/>
  <c r="R144" i="5"/>
  <c r="R143" i="5"/>
  <c r="R142" i="5"/>
  <c r="R141" i="5"/>
  <c r="R140" i="5"/>
  <c r="R137" i="5"/>
  <c r="R135" i="5"/>
  <c r="R131" i="5"/>
  <c r="R130" i="5"/>
  <c r="R129" i="5"/>
  <c r="R97" i="5"/>
  <c r="R96" i="5"/>
  <c r="R95" i="5"/>
  <c r="R88" i="5"/>
  <c r="R87" i="5"/>
  <c r="R84" i="5"/>
  <c r="R85" i="5"/>
  <c r="R33" i="5"/>
  <c r="R18" i="5"/>
  <c r="R9" i="5"/>
  <c r="J88" i="5"/>
  <c r="J97" i="5"/>
  <c r="J96" i="5"/>
  <c r="J95" i="5"/>
  <c r="J85" i="5"/>
  <c r="J84" i="5"/>
  <c r="J87" i="5"/>
  <c r="H88" i="5"/>
  <c r="L88" i="5"/>
  <c r="N88" i="5"/>
  <c r="P88" i="5"/>
  <c r="P87" i="5"/>
  <c r="P84" i="5"/>
  <c r="P95" i="5"/>
  <c r="P96" i="5"/>
  <c r="P97" i="5"/>
  <c r="R291" i="5" l="1"/>
  <c r="R41" i="5" s="1"/>
  <c r="N291" i="5"/>
  <c r="R35" i="5"/>
  <c r="N35" i="5"/>
  <c r="R285" i="5"/>
  <c r="R39" i="5" s="1"/>
  <c r="R214" i="5"/>
  <c r="R216" i="5" s="1"/>
  <c r="R243" i="5" s="1"/>
  <c r="R273" i="5" s="1"/>
  <c r="R276" i="5" s="1"/>
  <c r="R173" i="5"/>
  <c r="R194" i="5"/>
  <c r="R132" i="5"/>
  <c r="R138" i="5" s="1"/>
  <c r="R145" i="5"/>
  <c r="R151" i="5" s="1"/>
  <c r="R156" i="5" s="1"/>
  <c r="R21" i="5"/>
  <c r="R13" i="5"/>
  <c r="R23" i="5" s="1"/>
  <c r="R17" i="5"/>
  <c r="R19" i="5"/>
  <c r="R27" i="5"/>
  <c r="R98" i="5"/>
  <c r="J98" i="5"/>
  <c r="P98" i="5"/>
  <c r="N85" i="5"/>
  <c r="L85" i="5"/>
  <c r="H85" i="5"/>
  <c r="N87" i="5"/>
  <c r="L87" i="5"/>
  <c r="H87" i="5"/>
  <c r="L288" i="5"/>
  <c r="L287" i="5"/>
  <c r="J288" i="5"/>
  <c r="J287" i="5"/>
  <c r="H288" i="5"/>
  <c r="H287" i="5"/>
  <c r="P287" i="5"/>
  <c r="H284" i="5"/>
  <c r="H283" i="5"/>
  <c r="J284" i="5"/>
  <c r="J283" i="5"/>
  <c r="L284" i="5"/>
  <c r="L283" i="5"/>
  <c r="N284" i="5"/>
  <c r="N283" i="5"/>
  <c r="P284" i="5"/>
  <c r="P283" i="5"/>
  <c r="P288" i="5"/>
  <c r="H291" i="5" l="1"/>
  <c r="H41" i="5" s="1"/>
  <c r="L291" i="5"/>
  <c r="L41" i="5" s="1"/>
  <c r="P291" i="5"/>
  <c r="P41" i="5" s="1"/>
  <c r="J291" i="5"/>
  <c r="J41" i="5" s="1"/>
  <c r="R14" i="5"/>
  <c r="R157" i="5"/>
  <c r="J285" i="5"/>
  <c r="J39" i="5" s="1"/>
  <c r="L285" i="5"/>
  <c r="L39" i="5" s="1"/>
  <c r="H285" i="5"/>
  <c r="H39" i="5" s="1"/>
  <c r="P285" i="5"/>
  <c r="P39" i="5" s="1"/>
  <c r="N285" i="5"/>
  <c r="N39" i="5" s="1"/>
  <c r="N41" i="5"/>
  <c r="R29" i="5" l="1"/>
  <c r="R24" i="5"/>
  <c r="H101" i="5"/>
  <c r="P153" i="5"/>
  <c r="N153" i="5"/>
  <c r="L153" i="5"/>
  <c r="J153" i="5"/>
  <c r="H153" i="5"/>
  <c r="H150" i="5"/>
  <c r="H149" i="5"/>
  <c r="H148" i="5"/>
  <c r="H147" i="5"/>
  <c r="H144" i="5"/>
  <c r="H143" i="5"/>
  <c r="H142" i="5"/>
  <c r="H141" i="5"/>
  <c r="H140" i="5"/>
  <c r="H137" i="5"/>
  <c r="H135" i="5"/>
  <c r="H131" i="5"/>
  <c r="H129" i="5"/>
  <c r="J150" i="5"/>
  <c r="J149" i="5"/>
  <c r="J148" i="5"/>
  <c r="J147" i="5"/>
  <c r="J144" i="5"/>
  <c r="J143" i="5"/>
  <c r="J142" i="5"/>
  <c r="J141" i="5"/>
  <c r="J140" i="5"/>
  <c r="J137" i="5"/>
  <c r="J135" i="5"/>
  <c r="J131" i="5"/>
  <c r="J129" i="5"/>
  <c r="L150" i="5"/>
  <c r="L149" i="5"/>
  <c r="L148" i="5"/>
  <c r="L147" i="5"/>
  <c r="L144" i="5"/>
  <c r="L143" i="5"/>
  <c r="L142" i="5"/>
  <c r="L141" i="5"/>
  <c r="L140" i="5"/>
  <c r="L137" i="5"/>
  <c r="L135" i="5"/>
  <c r="L131" i="5"/>
  <c r="L130" i="5"/>
  <c r="L129" i="5"/>
  <c r="N150" i="5"/>
  <c r="N149" i="5"/>
  <c r="N148" i="5"/>
  <c r="N147" i="5"/>
  <c r="N144" i="5"/>
  <c r="N143" i="5"/>
  <c r="N142" i="5"/>
  <c r="N141" i="5"/>
  <c r="N140" i="5"/>
  <c r="N137" i="5"/>
  <c r="N135" i="5"/>
  <c r="N131" i="5"/>
  <c r="N130" i="5"/>
  <c r="N129" i="5"/>
  <c r="P150" i="5"/>
  <c r="P149" i="5"/>
  <c r="P148" i="5"/>
  <c r="P147" i="5"/>
  <c r="P144" i="5"/>
  <c r="P143" i="5"/>
  <c r="P142" i="5"/>
  <c r="P141" i="5"/>
  <c r="P140" i="5"/>
  <c r="P137" i="5"/>
  <c r="P135" i="5"/>
  <c r="P131" i="5"/>
  <c r="P130" i="5"/>
  <c r="P129" i="5"/>
  <c r="H97" i="5"/>
  <c r="H96" i="5"/>
  <c r="H95" i="5"/>
  <c r="H84" i="5"/>
  <c r="L97" i="5"/>
  <c r="L96" i="5"/>
  <c r="L95" i="5"/>
  <c r="L84" i="5"/>
  <c r="N97" i="5"/>
  <c r="N96" i="5"/>
  <c r="N95" i="5"/>
  <c r="N84" i="5"/>
  <c r="R36" i="5" l="1"/>
  <c r="R105" i="5"/>
  <c r="AZ23" i="76"/>
  <c r="BB23" i="76" s="1"/>
  <c r="BD23" i="76" s="1"/>
  <c r="BF23" i="76" s="1"/>
  <c r="BH23" i="76" s="1"/>
  <c r="BJ23" i="76" s="1"/>
  <c r="BL23" i="76" s="1"/>
  <c r="BN23" i="76" s="1"/>
  <c r="BP23" i="76" s="1"/>
  <c r="BR23" i="76" s="1"/>
  <c r="BU23" i="76"/>
  <c r="AD23" i="76"/>
  <c r="H23" i="76"/>
  <c r="J23" i="76" s="1"/>
  <c r="L23" i="76" s="1"/>
  <c r="N23" i="76" s="1"/>
  <c r="P23" i="76" s="1"/>
  <c r="R23" i="76" s="1"/>
  <c r="T23" i="76" s="1"/>
  <c r="V23" i="76" s="1"/>
  <c r="X23" i="76" s="1"/>
  <c r="Z23" i="76" s="1"/>
  <c r="AZ22" i="76"/>
  <c r="BB22" i="76" s="1"/>
  <c r="BD22" i="76" s="1"/>
  <c r="BF22" i="76" s="1"/>
  <c r="BH22" i="76" s="1"/>
  <c r="BJ22" i="76" s="1"/>
  <c r="BL22" i="76" s="1"/>
  <c r="BN22" i="76" s="1"/>
  <c r="BP22" i="76" s="1"/>
  <c r="BR22" i="76" s="1"/>
  <c r="AD22" i="76"/>
  <c r="BU22" i="76"/>
  <c r="R30" i="5"/>
  <c r="L98" i="5"/>
  <c r="H98" i="5"/>
  <c r="L145" i="5"/>
  <c r="L151" i="5" s="1"/>
  <c r="N145" i="5"/>
  <c r="N151" i="5" s="1"/>
  <c r="J145" i="5"/>
  <c r="J151" i="5" s="1"/>
  <c r="P132" i="5"/>
  <c r="P145" i="5"/>
  <c r="P151" i="5" s="1"/>
  <c r="N132" i="5"/>
  <c r="L132" i="5"/>
  <c r="H145" i="5"/>
  <c r="H151" i="5" s="1"/>
  <c r="AF23" i="76" l="1"/>
  <c r="AH23" i="76" s="1"/>
  <c r="BW23" i="76"/>
  <c r="AF22" i="76"/>
  <c r="BW22" i="76"/>
  <c r="BY23" i="76"/>
  <c r="R43" i="5"/>
  <c r="R46" i="5" s="1"/>
  <c r="AJ23" i="76" l="1"/>
  <c r="CA23" i="76"/>
  <c r="AH22" i="76"/>
  <c r="BY22" i="76"/>
  <c r="R37" i="5"/>
  <c r="CA22" i="76" l="1"/>
  <c r="AJ22" i="76"/>
  <c r="CC23" i="76"/>
  <c r="AL23" i="76"/>
  <c r="R100" i="5"/>
  <c r="CE23" i="76" l="1"/>
  <c r="AN23" i="76"/>
  <c r="CC22" i="76"/>
  <c r="AL22" i="76"/>
  <c r="AN22" i="76" l="1"/>
  <c r="CE22" i="76"/>
  <c r="CG23" i="76"/>
  <c r="AP23" i="76"/>
  <c r="P33" i="5"/>
  <c r="P35" i="5" s="1"/>
  <c r="L33" i="5"/>
  <c r="J33" i="5"/>
  <c r="J35" i="5" s="1"/>
  <c r="H33" i="5"/>
  <c r="H35" i="5" s="1"/>
  <c r="L35" i="5" l="1"/>
  <c r="AR23" i="76"/>
  <c r="CI23" i="76"/>
  <c r="CG22" i="76"/>
  <c r="AP22" i="76"/>
  <c r="N98" i="5"/>
  <c r="CI22" i="76" l="1"/>
  <c r="AR22" i="76"/>
  <c r="AT23" i="76"/>
  <c r="CK23" i="76"/>
  <c r="P18" i="5"/>
  <c r="P27" i="5" s="1"/>
  <c r="N18" i="5"/>
  <c r="N27" i="5" s="1"/>
  <c r="L18" i="5"/>
  <c r="J18" i="5"/>
  <c r="J27" i="5" s="1"/>
  <c r="H18" i="5"/>
  <c r="H27" i="5" s="1"/>
  <c r="L27" i="5" l="1"/>
  <c r="CM23" i="76"/>
  <c r="AV23" i="76"/>
  <c r="CO23" i="76" s="1"/>
  <c r="CK22" i="76"/>
  <c r="AT22" i="76"/>
  <c r="CM22" i="76" l="1"/>
  <c r="AV22" i="76"/>
  <c r="CO22" i="76" s="1"/>
  <c r="P9" i="5"/>
  <c r="R10" i="5" s="1"/>
  <c r="N9" i="5"/>
  <c r="L9" i="5"/>
  <c r="J9" i="5"/>
  <c r="H9" i="5"/>
  <c r="H130" i="5" l="1"/>
  <c r="H132" i="5" s="1"/>
  <c r="J182" i="5"/>
  <c r="J166" i="5" l="1"/>
  <c r="J130" i="5"/>
  <c r="J132" i="5" s="1"/>
  <c r="H193" i="5"/>
  <c r="H155" i="5" s="1"/>
  <c r="H156" i="5" s="1"/>
  <c r="J193" i="5"/>
  <c r="J155" i="5" s="1"/>
  <c r="J156" i="5" s="1"/>
  <c r="L193" i="5"/>
  <c r="L155" i="5" s="1"/>
  <c r="P193" i="5"/>
  <c r="P155" i="5" s="1"/>
  <c r="P156" i="5" s="1"/>
  <c r="N193" i="5"/>
  <c r="N155" i="5" s="1"/>
  <c r="N156" i="5" s="1"/>
  <c r="H199" i="5"/>
  <c r="H205" i="5" s="1"/>
  <c r="H182" i="5"/>
  <c r="H187" i="5" s="1"/>
  <c r="H169" i="5"/>
  <c r="H134" i="5" s="1"/>
  <c r="H138" i="5" s="1"/>
  <c r="H166" i="5"/>
  <c r="J199" i="5"/>
  <c r="J205" i="5" s="1"/>
  <c r="J212" i="5" s="1"/>
  <c r="J187" i="5"/>
  <c r="J169" i="5"/>
  <c r="L199" i="5"/>
  <c r="L205" i="5" s="1"/>
  <c r="L212" i="5" s="1"/>
  <c r="L182" i="5"/>
  <c r="L187" i="5" s="1"/>
  <c r="L169" i="5"/>
  <c r="L134" i="5" s="1"/>
  <c r="L166" i="5"/>
  <c r="N199" i="5"/>
  <c r="N205" i="5" s="1"/>
  <c r="P199" i="5"/>
  <c r="P205" i="5" s="1"/>
  <c r="N182" i="5"/>
  <c r="N187" i="5" s="1"/>
  <c r="N169" i="5"/>
  <c r="N134" i="5" s="1"/>
  <c r="N138" i="5" s="1"/>
  <c r="N166" i="5"/>
  <c r="P182" i="5"/>
  <c r="P187" i="5" s="1"/>
  <c r="P169" i="5"/>
  <c r="P134" i="5" s="1"/>
  <c r="P138" i="5" s="1"/>
  <c r="P166" i="5"/>
  <c r="H212" i="5" l="1"/>
  <c r="H214" i="5" s="1"/>
  <c r="H216" i="5" s="1"/>
  <c r="H243" i="5" s="1"/>
  <c r="P212" i="5"/>
  <c r="P214" i="5" s="1"/>
  <c r="P216" i="5" s="1"/>
  <c r="P243" i="5" s="1"/>
  <c r="P273" i="5" s="1"/>
  <c r="P276" i="5" s="1"/>
  <c r="N212" i="5"/>
  <c r="N214" i="5" s="1"/>
  <c r="N216" i="5" s="1"/>
  <c r="N243" i="5" s="1"/>
  <c r="N273" i="5" s="1"/>
  <c r="N276" i="5" s="1"/>
  <c r="L138" i="5"/>
  <c r="L156" i="5"/>
  <c r="J173" i="5"/>
  <c r="J134" i="5"/>
  <c r="J138" i="5" s="1"/>
  <c r="H194" i="5"/>
  <c r="H173" i="5"/>
  <c r="N194" i="5"/>
  <c r="N173" i="5"/>
  <c r="P173" i="5"/>
  <c r="H273" i="5"/>
  <c r="H276" i="5" s="1"/>
  <c r="L214" i="5"/>
  <c r="L216" i="5" s="1"/>
  <c r="L243" i="5" s="1"/>
  <c r="L273" i="5" s="1"/>
  <c r="L276" i="5" s="1"/>
  <c r="P194" i="5"/>
  <c r="L194" i="5"/>
  <c r="J194" i="5"/>
  <c r="J214" i="5"/>
  <c r="J216" i="5" s="1"/>
  <c r="J243" i="5" s="1"/>
  <c r="J273" i="5" s="1"/>
  <c r="J276" i="5" s="1"/>
  <c r="L173" i="5"/>
  <c r="L157" i="5" l="1"/>
  <c r="P21" i="5" l="1"/>
  <c r="P19" i="5"/>
  <c r="P13" i="5"/>
  <c r="P17" i="5"/>
  <c r="P157" i="5"/>
  <c r="P23" i="5" l="1"/>
  <c r="P29" i="5" s="1"/>
  <c r="R31" i="5" s="1"/>
  <c r="N13" i="5"/>
  <c r="P14" i="5"/>
  <c r="N157" i="5"/>
  <c r="P36" i="5" l="1"/>
  <c r="P105" i="5"/>
  <c r="N23" i="5"/>
  <c r="N29" i="5" s="1"/>
  <c r="N21" i="5"/>
  <c r="N19" i="5"/>
  <c r="N17" i="5"/>
  <c r="P24" i="5"/>
  <c r="P10" i="5"/>
  <c r="N14" i="5"/>
  <c r="N36" i="5" l="1"/>
  <c r="N43" i="5" s="1"/>
  <c r="N46" i="5" s="1"/>
  <c r="N105" i="5"/>
  <c r="P31" i="5"/>
  <c r="P43" i="5"/>
  <c r="P46" i="5" s="1"/>
  <c r="P30" i="5"/>
  <c r="L13" i="5"/>
  <c r="N24" i="5"/>
  <c r="J21" i="5"/>
  <c r="J19" i="5"/>
  <c r="J13" i="5"/>
  <c r="J17" i="5"/>
  <c r="J157" i="5"/>
  <c r="L23" i="5" l="1"/>
  <c r="L29" i="5" s="1"/>
  <c r="J23" i="5"/>
  <c r="J29" i="5" s="1"/>
  <c r="L17" i="5"/>
  <c r="L21" i="5"/>
  <c r="L10" i="5"/>
  <c r="N10" i="5"/>
  <c r="L19" i="5"/>
  <c r="N30" i="5"/>
  <c r="H13" i="5"/>
  <c r="L14" i="5"/>
  <c r="J14" i="5"/>
  <c r="H157" i="5"/>
  <c r="J36" i="5" l="1"/>
  <c r="J105" i="5"/>
  <c r="L36" i="5"/>
  <c r="L105" i="5"/>
  <c r="L31" i="5"/>
  <c r="N31" i="5"/>
  <c r="H23" i="5"/>
  <c r="H29" i="5" s="1"/>
  <c r="T49" i="5"/>
  <c r="T34" i="5"/>
  <c r="T33" i="5"/>
  <c r="T17" i="5"/>
  <c r="V6" i="5"/>
  <c r="V51" i="5" s="1"/>
  <c r="P37" i="5"/>
  <c r="H17" i="5"/>
  <c r="H19" i="5"/>
  <c r="H21" i="5"/>
  <c r="J10" i="5"/>
  <c r="L24" i="5"/>
  <c r="J24" i="5"/>
  <c r="H14" i="5"/>
  <c r="H36" i="5" l="1"/>
  <c r="H105" i="5"/>
  <c r="J52" i="80"/>
  <c r="J35" i="80"/>
  <c r="J14" i="80"/>
  <c r="J21" i="80"/>
  <c r="J54" i="80"/>
  <c r="V40" i="5" s="1"/>
  <c r="J44" i="80"/>
  <c r="J28" i="80"/>
  <c r="J42" i="80" s="1"/>
  <c r="J51" i="80"/>
  <c r="J53" i="80" s="1"/>
  <c r="J20" i="80"/>
  <c r="J23" i="80"/>
  <c r="V115" i="5"/>
  <c r="V113" i="5" s="1"/>
  <c r="V114" i="5" s="1"/>
  <c r="V118" i="5"/>
  <c r="V116" i="5" s="1"/>
  <c r="V117" i="5" s="1"/>
  <c r="V125" i="5"/>
  <c r="V121" i="5"/>
  <c r="V119" i="5" s="1"/>
  <c r="V120" i="5" s="1"/>
  <c r="V122" i="5"/>
  <c r="V112" i="5"/>
  <c r="V110" i="5" s="1"/>
  <c r="V22" i="5"/>
  <c r="V26" i="5" s="1"/>
  <c r="V42" i="5"/>
  <c r="J31" i="5"/>
  <c r="V48" i="5"/>
  <c r="V52" i="5"/>
  <c r="V28" i="5"/>
  <c r="J43" i="5"/>
  <c r="J46" i="5" s="1"/>
  <c r="L43" i="5"/>
  <c r="L46" i="5" s="1"/>
  <c r="V59" i="5"/>
  <c r="V58" i="5"/>
  <c r="T35" i="5"/>
  <c r="V49" i="5"/>
  <c r="V34" i="5"/>
  <c r="X6" i="5"/>
  <c r="X51" i="5" s="1"/>
  <c r="V33" i="5"/>
  <c r="V17" i="5"/>
  <c r="L30" i="5"/>
  <c r="J30" i="5"/>
  <c r="H24" i="5"/>
  <c r="V54" i="5" l="1"/>
  <c r="J22" i="80"/>
  <c r="L23" i="80" s="1"/>
  <c r="L21" i="80"/>
  <c r="L44" i="80"/>
  <c r="L28" i="80"/>
  <c r="L42" i="80" s="1"/>
  <c r="L14" i="80"/>
  <c r="X54" i="5" s="1"/>
  <c r="L52" i="80"/>
  <c r="L35" i="80"/>
  <c r="J29" i="80"/>
  <c r="L54" i="80"/>
  <c r="L49" i="80"/>
  <c r="L51" i="80" s="1"/>
  <c r="L53" i="80" s="1"/>
  <c r="V57" i="5"/>
  <c r="V123" i="5"/>
  <c r="V111" i="5"/>
  <c r="X112" i="5"/>
  <c r="X110" i="5" s="1"/>
  <c r="X115" i="5"/>
  <c r="X113" i="5" s="1"/>
  <c r="X114" i="5" s="1"/>
  <c r="X118" i="5"/>
  <c r="X116" i="5" s="1"/>
  <c r="X117" i="5" s="1"/>
  <c r="X125" i="5"/>
  <c r="X122" i="5"/>
  <c r="X121" i="5"/>
  <c r="X119" i="5" s="1"/>
  <c r="X120" i="5" s="1"/>
  <c r="X42" i="5"/>
  <c r="X48" i="5"/>
  <c r="X52" i="5"/>
  <c r="X22" i="5"/>
  <c r="X26" i="5" s="1"/>
  <c r="X28" i="5"/>
  <c r="H43" i="5"/>
  <c r="H46" i="5" s="1"/>
  <c r="H100" i="5" s="1"/>
  <c r="X58" i="5"/>
  <c r="X59" i="5"/>
  <c r="V35" i="5"/>
  <c r="X49" i="5"/>
  <c r="Z6" i="5"/>
  <c r="Z51" i="5" s="1"/>
  <c r="X34" i="5"/>
  <c r="X33" i="5"/>
  <c r="X17" i="5"/>
  <c r="H30" i="5"/>
  <c r="L19" i="80" l="1"/>
  <c r="L20" i="80" s="1"/>
  <c r="L22" i="80" s="1"/>
  <c r="N23" i="80" s="1"/>
  <c r="N49" i="80"/>
  <c r="N51" i="80" s="1"/>
  <c r="N54" i="80"/>
  <c r="N44" i="80"/>
  <c r="N28" i="80"/>
  <c r="N42" i="80" s="1"/>
  <c r="N21" i="80"/>
  <c r="N52" i="80"/>
  <c r="N14" i="80"/>
  <c r="L27" i="80"/>
  <c r="L29" i="80" s="1"/>
  <c r="X57" i="5"/>
  <c r="V55" i="5"/>
  <c r="V124" i="5"/>
  <c r="Z121" i="5"/>
  <c r="Z119" i="5" s="1"/>
  <c r="Z120" i="5" s="1"/>
  <c r="Z122" i="5"/>
  <c r="Z112" i="5"/>
  <c r="Z110" i="5" s="1"/>
  <c r="Z115" i="5"/>
  <c r="Z113" i="5" s="1"/>
  <c r="Z114" i="5" s="1"/>
  <c r="Z118" i="5"/>
  <c r="Z116" i="5" s="1"/>
  <c r="Z117" i="5" s="1"/>
  <c r="Z125" i="5"/>
  <c r="X123" i="5"/>
  <c r="X111" i="5"/>
  <c r="Z42" i="5"/>
  <c r="Z52" i="5"/>
  <c r="Z48" i="5"/>
  <c r="Z22" i="5"/>
  <c r="Z26" i="5" s="1"/>
  <c r="Z28" i="5"/>
  <c r="X35" i="5"/>
  <c r="Z33" i="5"/>
  <c r="Z17" i="5"/>
  <c r="Z34" i="5"/>
  <c r="Z58" i="5"/>
  <c r="Z59" i="5"/>
  <c r="Z49" i="5"/>
  <c r="AB6" i="5"/>
  <c r="AB51" i="5" s="1"/>
  <c r="P100" i="5"/>
  <c r="L37" i="5"/>
  <c r="J37" i="5"/>
  <c r="N19" i="80" l="1"/>
  <c r="N20" i="80" s="1"/>
  <c r="N22" i="80" s="1"/>
  <c r="P19" i="80" s="1"/>
  <c r="P20" i="80" s="1"/>
  <c r="N53" i="80"/>
  <c r="P54" i="80" s="1"/>
  <c r="N27" i="80"/>
  <c r="N29" i="80" s="1"/>
  <c r="P52" i="80"/>
  <c r="P14" i="80"/>
  <c r="P35" i="80"/>
  <c r="P21" i="80"/>
  <c r="P44" i="80"/>
  <c r="Z57" i="5"/>
  <c r="X55" i="5"/>
  <c r="Z111" i="5"/>
  <c r="Z123" i="5"/>
  <c r="AB118" i="5"/>
  <c r="AB116" i="5" s="1"/>
  <c r="AB117" i="5" s="1"/>
  <c r="AB125" i="5"/>
  <c r="AB121" i="5"/>
  <c r="AB119" i="5" s="1"/>
  <c r="AB120" i="5" s="1"/>
  <c r="AB122" i="5"/>
  <c r="AB112" i="5"/>
  <c r="AB110" i="5" s="1"/>
  <c r="AB115" i="5"/>
  <c r="AB113" i="5" s="1"/>
  <c r="AB114" i="5" s="1"/>
  <c r="X124" i="5"/>
  <c r="AB42" i="5"/>
  <c r="AB52" i="5"/>
  <c r="AB48" i="5"/>
  <c r="AB22" i="5"/>
  <c r="AB26" i="5" s="1"/>
  <c r="AB28" i="5"/>
  <c r="L100" i="5"/>
  <c r="J100" i="5"/>
  <c r="Z35" i="5"/>
  <c r="AB58" i="5"/>
  <c r="AB59" i="5"/>
  <c r="AB49" i="5"/>
  <c r="AD6" i="5"/>
  <c r="AD51" i="5" s="1"/>
  <c r="AB33" i="5"/>
  <c r="AB34" i="5"/>
  <c r="AB17" i="5"/>
  <c r="H37" i="5"/>
  <c r="P23" i="80" l="1"/>
  <c r="P22" i="80"/>
  <c r="R23" i="80" s="1"/>
  <c r="P49" i="80"/>
  <c r="R52" i="80"/>
  <c r="R14" i="80"/>
  <c r="R35" i="80"/>
  <c r="R21" i="80"/>
  <c r="R28" i="80"/>
  <c r="R42" i="80" s="1"/>
  <c r="R44" i="80"/>
  <c r="P27" i="80"/>
  <c r="Z55" i="5"/>
  <c r="AB57" i="5"/>
  <c r="AB111" i="5"/>
  <c r="AB123" i="5"/>
  <c r="Z124" i="5"/>
  <c r="AD115" i="5"/>
  <c r="AD113" i="5" s="1"/>
  <c r="AD114" i="5" s="1"/>
  <c r="AD118" i="5"/>
  <c r="AD116" i="5" s="1"/>
  <c r="AD117" i="5" s="1"/>
  <c r="AD125" i="5"/>
  <c r="AD112" i="5"/>
  <c r="AD110" i="5" s="1"/>
  <c r="AD121" i="5"/>
  <c r="AD119" i="5" s="1"/>
  <c r="AD120" i="5" s="1"/>
  <c r="AD122" i="5"/>
  <c r="AD42" i="5"/>
  <c r="AD52" i="5"/>
  <c r="AD48" i="5"/>
  <c r="AD22" i="5"/>
  <c r="AD26" i="5" s="1"/>
  <c r="AD28" i="5"/>
  <c r="H102" i="5"/>
  <c r="H103" i="5" s="1"/>
  <c r="AD59" i="5"/>
  <c r="AD58" i="5"/>
  <c r="AB35" i="5"/>
  <c r="AF6" i="5"/>
  <c r="AF51" i="5" s="1"/>
  <c r="AD17" i="5"/>
  <c r="AD34" i="5"/>
  <c r="AD33" i="5"/>
  <c r="AD54" i="5" l="1"/>
  <c r="J102" i="5"/>
  <c r="J103" i="5" s="1"/>
  <c r="R19" i="80"/>
  <c r="R20" i="80" s="1"/>
  <c r="T35" i="80"/>
  <c r="T21" i="80"/>
  <c r="T14" i="80"/>
  <c r="T44" i="80"/>
  <c r="T28" i="80"/>
  <c r="T42" i="80" s="1"/>
  <c r="T52" i="80"/>
  <c r="P28" i="80"/>
  <c r="AD57" i="5"/>
  <c r="AD123" i="5"/>
  <c r="AD111" i="5"/>
  <c r="AF112" i="5"/>
  <c r="AF110" i="5" s="1"/>
  <c r="AF115" i="5"/>
  <c r="AF113" i="5" s="1"/>
  <c r="AF114" i="5" s="1"/>
  <c r="AF118" i="5"/>
  <c r="AF116" i="5" s="1"/>
  <c r="AF117" i="5" s="1"/>
  <c r="AF125" i="5"/>
  <c r="AF122" i="5"/>
  <c r="AF121" i="5"/>
  <c r="AF119" i="5" s="1"/>
  <c r="AF120" i="5" s="1"/>
  <c r="AB124" i="5"/>
  <c r="AF42" i="5"/>
  <c r="AF52" i="5"/>
  <c r="AF48" i="5"/>
  <c r="AF22" i="5"/>
  <c r="AF26" i="5" s="1"/>
  <c r="AF28" i="5"/>
  <c r="AF58" i="5"/>
  <c r="AF59" i="5"/>
  <c r="AH6" i="5"/>
  <c r="AH51" i="5" s="1"/>
  <c r="AF33" i="5"/>
  <c r="AF34" i="5"/>
  <c r="AF17" i="5"/>
  <c r="AD35" i="5"/>
  <c r="P42" i="80" l="1"/>
  <c r="AB54" i="5"/>
  <c r="AF54" i="5"/>
  <c r="L102" i="5"/>
  <c r="L103" i="5" s="1"/>
  <c r="R22" i="80"/>
  <c r="T19" i="80" s="1"/>
  <c r="T20" i="80" s="1"/>
  <c r="N30" i="80"/>
  <c r="P29" i="80"/>
  <c r="R27" i="80" s="1"/>
  <c r="R29" i="80" s="1"/>
  <c r="V44" i="80"/>
  <c r="V35" i="80"/>
  <c r="V21" i="80"/>
  <c r="V28" i="80"/>
  <c r="V42" i="80" s="1"/>
  <c r="V52" i="80"/>
  <c r="V14" i="80"/>
  <c r="AH54" i="5" s="1"/>
  <c r="AF57" i="5"/>
  <c r="AH121" i="5"/>
  <c r="AH119" i="5" s="1"/>
  <c r="AH120" i="5" s="1"/>
  <c r="AH122" i="5"/>
  <c r="AH112" i="5"/>
  <c r="AH110" i="5" s="1"/>
  <c r="AH115" i="5"/>
  <c r="AH113" i="5" s="1"/>
  <c r="AH114" i="5" s="1"/>
  <c r="AH125" i="5"/>
  <c r="AH118" i="5"/>
  <c r="AH116" i="5" s="1"/>
  <c r="AH117" i="5" s="1"/>
  <c r="AF123" i="5"/>
  <c r="AF111" i="5"/>
  <c r="AD124" i="5"/>
  <c r="AH42" i="5"/>
  <c r="AH52" i="5"/>
  <c r="AH48" i="5"/>
  <c r="AH22" i="5"/>
  <c r="AH26" i="5" s="1"/>
  <c r="AH28" i="5"/>
  <c r="AH58" i="5"/>
  <c r="AH59" i="5"/>
  <c r="AF35" i="5"/>
  <c r="AJ6" i="5"/>
  <c r="AJ51" i="5" s="1"/>
  <c r="AH33" i="5"/>
  <c r="AH34" i="5"/>
  <c r="AH17" i="5"/>
  <c r="T22" i="80" l="1"/>
  <c r="V19" i="80" s="1"/>
  <c r="V20" i="80" s="1"/>
  <c r="V22" i="80" s="1"/>
  <c r="X19" i="80" s="1"/>
  <c r="X20" i="80" s="1"/>
  <c r="T23" i="80"/>
  <c r="P30" i="80"/>
  <c r="X28" i="80"/>
  <c r="X42" i="80" s="1"/>
  <c r="X52" i="80"/>
  <c r="X14" i="80"/>
  <c r="X35" i="80"/>
  <c r="X21" i="80"/>
  <c r="X44" i="80"/>
  <c r="T27" i="80"/>
  <c r="T29" i="80" s="1"/>
  <c r="AF55" i="5"/>
  <c r="AH111" i="5"/>
  <c r="AH123" i="5"/>
  <c r="AF124" i="5"/>
  <c r="AJ118" i="5"/>
  <c r="AJ116" i="5" s="1"/>
  <c r="AJ117" i="5" s="1"/>
  <c r="AJ125" i="5"/>
  <c r="AJ121" i="5"/>
  <c r="AJ119" i="5" s="1"/>
  <c r="AJ120" i="5" s="1"/>
  <c r="AJ122" i="5"/>
  <c r="AJ112" i="5"/>
  <c r="AJ110" i="5" s="1"/>
  <c r="AJ115" i="5"/>
  <c r="AJ113" i="5" s="1"/>
  <c r="AJ114" i="5" s="1"/>
  <c r="AJ42" i="5"/>
  <c r="AJ52" i="5"/>
  <c r="AJ48" i="5"/>
  <c r="AJ28" i="5"/>
  <c r="AJ22" i="5"/>
  <c r="AJ26" i="5" s="1"/>
  <c r="AJ58" i="5"/>
  <c r="AJ59" i="5"/>
  <c r="AH35" i="5"/>
  <c r="AL6" i="5"/>
  <c r="AL51" i="5" s="1"/>
  <c r="AJ33" i="5"/>
  <c r="AJ34" i="5"/>
  <c r="AJ17" i="5"/>
  <c r="AJ54" i="5" l="1"/>
  <c r="V23" i="80"/>
  <c r="X22" i="80"/>
  <c r="Z19" i="80" s="1"/>
  <c r="Z20" i="80" s="1"/>
  <c r="R30" i="80"/>
  <c r="J30" i="80"/>
  <c r="J34" i="80"/>
  <c r="J36" i="80" s="1"/>
  <c r="J37" i="80"/>
  <c r="J13" i="80"/>
  <c r="J15" i="80" s="1"/>
  <c r="X23" i="80"/>
  <c r="Z52" i="80"/>
  <c r="Z14" i="80"/>
  <c r="AL54" i="5" s="1"/>
  <c r="Z28" i="80"/>
  <c r="Z42" i="80" s="1"/>
  <c r="Z35" i="80"/>
  <c r="Z21" i="80"/>
  <c r="Z44" i="80"/>
  <c r="V27" i="80"/>
  <c r="V29" i="80" s="1"/>
  <c r="V30" i="80"/>
  <c r="AJ57" i="5"/>
  <c r="AJ111" i="5"/>
  <c r="AJ123" i="5"/>
  <c r="AH124" i="5"/>
  <c r="AL115" i="5"/>
  <c r="AL113" i="5" s="1"/>
  <c r="AL114" i="5" s="1"/>
  <c r="AL118" i="5"/>
  <c r="AL116" i="5" s="1"/>
  <c r="AL117" i="5" s="1"/>
  <c r="AL125" i="5"/>
  <c r="AL121" i="5"/>
  <c r="AL119" i="5" s="1"/>
  <c r="AL120" i="5" s="1"/>
  <c r="AL122" i="5"/>
  <c r="AL112" i="5"/>
  <c r="AL110" i="5" s="1"/>
  <c r="AL42" i="5"/>
  <c r="AL52" i="5"/>
  <c r="AL48" i="5"/>
  <c r="AL28" i="5"/>
  <c r="AL22" i="5"/>
  <c r="AL26" i="5" s="1"/>
  <c r="AL59" i="5"/>
  <c r="AL58" i="5"/>
  <c r="AJ35" i="5"/>
  <c r="AL33" i="5"/>
  <c r="AL34" i="5"/>
  <c r="AN6" i="5"/>
  <c r="AN51" i="5" s="1"/>
  <c r="AL17" i="5"/>
  <c r="V39" i="5" l="1"/>
  <c r="Z23" i="80"/>
  <c r="L30" i="80"/>
  <c r="L12" i="80"/>
  <c r="L16" i="80"/>
  <c r="L33" i="80"/>
  <c r="L34" i="80" s="1"/>
  <c r="L36" i="80" s="1"/>
  <c r="L37" i="80"/>
  <c r="T30" i="80"/>
  <c r="Z22" i="80"/>
  <c r="AB23" i="80" s="1"/>
  <c r="X30" i="80"/>
  <c r="X27" i="80"/>
  <c r="X29" i="80" s="1"/>
  <c r="AJ55" i="5"/>
  <c r="AL123" i="5"/>
  <c r="AL111" i="5"/>
  <c r="AN112" i="5"/>
  <c r="AN110" i="5" s="1"/>
  <c r="AN115" i="5"/>
  <c r="AN113" i="5" s="1"/>
  <c r="AN114" i="5" s="1"/>
  <c r="AN118" i="5"/>
  <c r="AN116" i="5" s="1"/>
  <c r="AN117" i="5" s="1"/>
  <c r="AN125" i="5"/>
  <c r="AN122" i="5"/>
  <c r="AN121" i="5"/>
  <c r="AN119" i="5" s="1"/>
  <c r="AN120" i="5" s="1"/>
  <c r="AJ124" i="5"/>
  <c r="AN42" i="5"/>
  <c r="AN52" i="5"/>
  <c r="AN48" i="5"/>
  <c r="AN28" i="5"/>
  <c r="AN22" i="5"/>
  <c r="AN26" i="5" s="1"/>
  <c r="AN58" i="5"/>
  <c r="AN59" i="5"/>
  <c r="AL35" i="5"/>
  <c r="AN17" i="5"/>
  <c r="AN34" i="5"/>
  <c r="AN33" i="5"/>
  <c r="X39" i="5" l="1"/>
  <c r="L13" i="80"/>
  <c r="L15" i="80" s="1"/>
  <c r="N12" i="80" s="1"/>
  <c r="N37" i="80"/>
  <c r="N33" i="80"/>
  <c r="AB19" i="80"/>
  <c r="AB20" i="80" s="1"/>
  <c r="AB21" i="80" s="1"/>
  <c r="Z30" i="80"/>
  <c r="Z27" i="80"/>
  <c r="Z29" i="80" s="1"/>
  <c r="AL124" i="5"/>
  <c r="AN123" i="5"/>
  <c r="AN111" i="5"/>
  <c r="AN35" i="5"/>
  <c r="N16" i="80" l="1"/>
  <c r="N34" i="80"/>
  <c r="N35" i="80" s="1"/>
  <c r="Z54" i="5" s="1"/>
  <c r="AB22" i="80"/>
  <c r="AB30" i="80"/>
  <c r="AB27" i="80"/>
  <c r="AN124" i="5"/>
  <c r="N13" i="80" l="1"/>
  <c r="N15" i="80" s="1"/>
  <c r="P16" i="80" s="1"/>
  <c r="Z39" i="5"/>
  <c r="N36" i="80"/>
  <c r="P12" i="80"/>
  <c r="AB28" i="80"/>
  <c r="AB42" i="80" s="1"/>
  <c r="F43" i="80" s="1"/>
  <c r="AB39" i="5" l="1"/>
  <c r="P13" i="80"/>
  <c r="P15" i="80" s="1"/>
  <c r="R16" i="80" s="1"/>
  <c r="P37" i="80"/>
  <c r="P33" i="80"/>
  <c r="P34" i="80" s="1"/>
  <c r="P36" i="80" s="1"/>
  <c r="AB29" i="80"/>
  <c r="R12" i="80" l="1"/>
  <c r="R13" i="80" s="1"/>
  <c r="R15" i="80" s="1"/>
  <c r="R33" i="80"/>
  <c r="R34" i="80" s="1"/>
  <c r="R36" i="80" s="1"/>
  <c r="R37" i="80"/>
  <c r="AD39" i="5" s="1"/>
  <c r="N37" i="5"/>
  <c r="T16" i="80" l="1"/>
  <c r="T12" i="80"/>
  <c r="T33" i="80"/>
  <c r="T34" i="80" s="1"/>
  <c r="T36" i="80" s="1"/>
  <c r="T37" i="80"/>
  <c r="N100" i="5"/>
  <c r="N102" i="5" s="1"/>
  <c r="N103" i="5" s="1"/>
  <c r="AF39" i="5" l="1"/>
  <c r="P102" i="5"/>
  <c r="P103" i="5" s="1"/>
  <c r="T13" i="80"/>
  <c r="T15" i="80" s="1"/>
  <c r="V12" i="80" s="1"/>
  <c r="V37" i="80"/>
  <c r="V33" i="80"/>
  <c r="V34" i="80" s="1"/>
  <c r="V36" i="80" s="1"/>
  <c r="R102" i="5" l="1"/>
  <c r="R103" i="5" s="1"/>
  <c r="V16" i="80"/>
  <c r="X37" i="80"/>
  <c r="X33" i="80"/>
  <c r="X34" i="80" s="1"/>
  <c r="X36" i="80" s="1"/>
  <c r="AL49" i="5"/>
  <c r="AH49" i="5"/>
  <c r="AD49" i="5"/>
  <c r="AF49" i="5"/>
  <c r="AJ49" i="5"/>
  <c r="T13" i="75"/>
  <c r="V13" i="80" l="1"/>
  <c r="V15" i="80" s="1"/>
  <c r="X16" i="80" s="1"/>
  <c r="AJ39" i="5" s="1"/>
  <c r="AH39" i="5"/>
  <c r="X12" i="80"/>
  <c r="X13" i="80" s="1"/>
  <c r="X15" i="80" s="1"/>
  <c r="Z37" i="80"/>
  <c r="Z33" i="80"/>
  <c r="Z34" i="80" s="1"/>
  <c r="Z36" i="80" s="1"/>
  <c r="T59" i="5"/>
  <c r="Z16" i="80" l="1"/>
  <c r="AL39" i="5" s="1"/>
  <c r="Z12" i="80"/>
  <c r="AB37" i="80"/>
  <c r="AB33" i="80"/>
  <c r="AB34" i="80" s="1"/>
  <c r="AB35" i="80" s="1"/>
  <c r="AB36" i="80" s="1"/>
  <c r="L39" i="75"/>
  <c r="L8" i="75" s="1"/>
  <c r="T52" i="5"/>
  <c r="T48" i="5"/>
  <c r="Z13" i="80" l="1"/>
  <c r="Z15" i="80" s="1"/>
  <c r="AB16" i="80" s="1"/>
  <c r="AN39" i="5" s="1"/>
  <c r="AB12" i="80" l="1"/>
  <c r="AB13" i="80" s="1"/>
  <c r="AB14" i="80" s="1"/>
  <c r="T58" i="5"/>
  <c r="AB15" i="80" l="1"/>
  <c r="AN54" i="5"/>
  <c r="V53" i="5"/>
  <c r="F8" i="75"/>
  <c r="L14" i="75"/>
  <c r="F7" i="75" l="1"/>
  <c r="T51" i="5"/>
  <c r="F14" i="75"/>
  <c r="T73" i="5" l="1"/>
  <c r="X53" i="5"/>
  <c r="AB55" i="5" l="1"/>
  <c r="AD55" i="5" l="1"/>
  <c r="Z53" i="5"/>
  <c r="AH55" i="5" l="1"/>
  <c r="AB53" i="5" l="1"/>
  <c r="AL55" i="5" l="1"/>
  <c r="AD53" i="5"/>
  <c r="P51" i="80" l="1"/>
  <c r="P53" i="80" s="1"/>
  <c r="AN55" i="5"/>
  <c r="AF53" i="5"/>
  <c r="R49" i="80" l="1"/>
  <c r="R54" i="80"/>
  <c r="J43" i="80"/>
  <c r="J45" i="80" s="1"/>
  <c r="L41" i="80" l="1"/>
  <c r="L46" i="80"/>
  <c r="X40" i="5" s="1"/>
  <c r="R51" i="80"/>
  <c r="R53" i="80" s="1"/>
  <c r="V56" i="5"/>
  <c r="L43" i="80" l="1"/>
  <c r="L45" i="80" s="1"/>
  <c r="T54" i="80"/>
  <c r="T49" i="80"/>
  <c r="AH53" i="5"/>
  <c r="X56" i="5" l="1"/>
  <c r="N46" i="80"/>
  <c r="N41" i="80"/>
  <c r="T51" i="80"/>
  <c r="T53" i="80" s="1"/>
  <c r="V49" i="80" l="1"/>
  <c r="V54" i="80"/>
  <c r="N43" i="80"/>
  <c r="N45" i="80" s="1"/>
  <c r="Z40" i="5"/>
  <c r="P41" i="80" l="1"/>
  <c r="P46" i="80"/>
  <c r="V51" i="80"/>
  <c r="V53" i="80" s="1"/>
  <c r="Z56" i="5"/>
  <c r="P43" i="80" l="1"/>
  <c r="P45" i="80" s="1"/>
  <c r="X49" i="80"/>
  <c r="X54" i="80"/>
  <c r="AJ53" i="5"/>
  <c r="R41" i="80" l="1"/>
  <c r="R46" i="80"/>
  <c r="X51" i="80"/>
  <c r="X53" i="80" s="1"/>
  <c r="AB40" i="5"/>
  <c r="R43" i="80" l="1"/>
  <c r="R45" i="80" s="1"/>
  <c r="Z49" i="80"/>
  <c r="Z54" i="80"/>
  <c r="T41" i="80" l="1"/>
  <c r="T46" i="80"/>
  <c r="Z51" i="80"/>
  <c r="Z53" i="80" s="1"/>
  <c r="AL53" i="5"/>
  <c r="AB56" i="5"/>
  <c r="T43" i="80" l="1"/>
  <c r="T45" i="80" s="1"/>
  <c r="AB54" i="80"/>
  <c r="AB49" i="80"/>
  <c r="AD40" i="5"/>
  <c r="AB51" i="80" l="1"/>
  <c r="AB52" i="80" s="1"/>
  <c r="V46" i="80"/>
  <c r="V41" i="80"/>
  <c r="AD56" i="5"/>
  <c r="V43" i="80" l="1"/>
  <c r="V45" i="80" s="1"/>
  <c r="AB53" i="80"/>
  <c r="AN53" i="5"/>
  <c r="AL57" i="5"/>
  <c r="X41" i="80" l="1"/>
  <c r="X46" i="80"/>
  <c r="AF40" i="5"/>
  <c r="X43" i="80" l="1"/>
  <c r="X45" i="80" s="1"/>
  <c r="AF56" i="5"/>
  <c r="Z41" i="80" l="1"/>
  <c r="Z46" i="80"/>
  <c r="Z43" i="80" l="1"/>
  <c r="Z45" i="80" s="1"/>
  <c r="AH40" i="5"/>
  <c r="AH57" i="5"/>
  <c r="AB41" i="80" l="1"/>
  <c r="AB46" i="80"/>
  <c r="AH56" i="5"/>
  <c r="AB43" i="80" l="1"/>
  <c r="AB44" i="80" s="1"/>
  <c r="AB45" i="80" s="1"/>
  <c r="AJ40" i="5"/>
  <c r="AJ56" i="5" l="1"/>
  <c r="AL40" i="5" l="1"/>
  <c r="AL56" i="5" l="1"/>
  <c r="AN40" i="5" l="1"/>
  <c r="AN57" i="5" l="1"/>
  <c r="AN56" i="5"/>
  <c r="V9" i="5" l="1"/>
  <c r="T9" i="5"/>
  <c r="X9" i="5" l="1"/>
  <c r="T12" i="5"/>
  <c r="T21" i="5"/>
  <c r="T16" i="5"/>
  <c r="T10" i="5"/>
  <c r="T19" i="5"/>
  <c r="V21" i="5"/>
  <c r="V10" i="5"/>
  <c r="V12" i="5"/>
  <c r="V13" i="5" s="1"/>
  <c r="V16" i="5"/>
  <c r="V19" i="5"/>
  <c r="X10" i="5" l="1"/>
  <c r="T13" i="5"/>
  <c r="V23" i="5"/>
  <c r="V41" i="5" s="1"/>
  <c r="X12" i="5"/>
  <c r="X13" i="5" s="1"/>
  <c r="X19" i="5"/>
  <c r="X21" i="5"/>
  <c r="X16" i="5"/>
  <c r="V14" i="5"/>
  <c r="Z9" i="5" l="1"/>
  <c r="Z19" i="5" s="1"/>
  <c r="T23" i="5"/>
  <c r="T41" i="5" s="1"/>
  <c r="T14" i="5"/>
  <c r="X23" i="5"/>
  <c r="X41" i="5" s="1"/>
  <c r="X14" i="5"/>
  <c r="AB9" i="5"/>
  <c r="V29" i="5"/>
  <c r="V24" i="5"/>
  <c r="V105" i="5" l="1"/>
  <c r="V36" i="5"/>
  <c r="Z10" i="5"/>
  <c r="Z16" i="5"/>
  <c r="Z21" i="5"/>
  <c r="Z12" i="5"/>
  <c r="Z13" i="5" s="1"/>
  <c r="T29" i="5"/>
  <c r="T24" i="5"/>
  <c r="AD9" i="5"/>
  <c r="AB21" i="5"/>
  <c r="AB16" i="5"/>
  <c r="AB19" i="5"/>
  <c r="AB12" i="5"/>
  <c r="AB13" i="5" s="1"/>
  <c r="AB10" i="5"/>
  <c r="X24" i="5"/>
  <c r="X29" i="5"/>
  <c r="X36" i="5" s="1"/>
  <c r="V30" i="5"/>
  <c r="T36" i="5" l="1"/>
  <c r="T14" i="75"/>
  <c r="X105" i="5"/>
  <c r="T105" i="5"/>
  <c r="Z23" i="5"/>
  <c r="Z41" i="5" s="1"/>
  <c r="V31" i="5"/>
  <c r="Z14" i="5"/>
  <c r="X31" i="5"/>
  <c r="T31" i="5"/>
  <c r="T30" i="5"/>
  <c r="AD12" i="5"/>
  <c r="AD13" i="5" s="1"/>
  <c r="AD19" i="5"/>
  <c r="AD21" i="5"/>
  <c r="AD10" i="5"/>
  <c r="AD16" i="5"/>
  <c r="X30" i="5"/>
  <c r="AF9" i="5"/>
  <c r="AB23" i="5"/>
  <c r="AB41" i="5" s="1"/>
  <c r="AB14" i="5"/>
  <c r="Z24" i="5" l="1"/>
  <c r="Z29" i="5"/>
  <c r="Z36" i="5" s="1"/>
  <c r="T15" i="75"/>
  <c r="AD23" i="5"/>
  <c r="AD41" i="5" s="1"/>
  <c r="AD14" i="5"/>
  <c r="AB24" i="5"/>
  <c r="AB29" i="5"/>
  <c r="AF19" i="5"/>
  <c r="AF10" i="5"/>
  <c r="AF21" i="5"/>
  <c r="AF16" i="5"/>
  <c r="AF12" i="5"/>
  <c r="AF13" i="5" s="1"/>
  <c r="AH9" i="5"/>
  <c r="V43" i="5"/>
  <c r="V46" i="5" s="1"/>
  <c r="V37" i="5"/>
  <c r="AB105" i="5" l="1"/>
  <c r="AB36" i="5"/>
  <c r="Z31" i="5"/>
  <c r="Z105" i="5"/>
  <c r="Z30" i="5"/>
  <c r="T37" i="5"/>
  <c r="T43" i="5"/>
  <c r="T46" i="5" s="1"/>
  <c r="AF23" i="5"/>
  <c r="AF41" i="5" s="1"/>
  <c r="AF14" i="5"/>
  <c r="AB31" i="5"/>
  <c r="AB30" i="5"/>
  <c r="AD29" i="5"/>
  <c r="AD24" i="5"/>
  <c r="AH10" i="5"/>
  <c r="AH21" i="5"/>
  <c r="AH16" i="5"/>
  <c r="AH12" i="5"/>
  <c r="AH13" i="5" s="1"/>
  <c r="AH19" i="5"/>
  <c r="X43" i="5"/>
  <c r="X46" i="5" s="1"/>
  <c r="X37" i="5"/>
  <c r="AJ9" i="5"/>
  <c r="AD105" i="5" l="1"/>
  <c r="AD36" i="5"/>
  <c r="T60" i="5"/>
  <c r="AJ19" i="5"/>
  <c r="AJ21" i="5"/>
  <c r="AJ12" i="5"/>
  <c r="AJ13" i="5" s="1"/>
  <c r="AJ16" i="5"/>
  <c r="AJ10" i="5"/>
  <c r="AL9" i="5"/>
  <c r="Z43" i="5"/>
  <c r="Z46" i="5" s="1"/>
  <c r="Z37" i="5"/>
  <c r="AD31" i="5"/>
  <c r="AD30" i="5"/>
  <c r="AH23" i="5"/>
  <c r="AH41" i="5" s="1"/>
  <c r="AH14" i="5"/>
  <c r="AF24" i="5"/>
  <c r="AF29" i="5"/>
  <c r="V73" i="5"/>
  <c r="AF105" i="5" l="1"/>
  <c r="AF36" i="5"/>
  <c r="T66" i="5"/>
  <c r="T74" i="5"/>
  <c r="T75" i="5" s="1"/>
  <c r="T67" i="5"/>
  <c r="V60" i="5"/>
  <c r="AH24" i="5"/>
  <c r="AH29" i="5"/>
  <c r="AF30" i="5"/>
  <c r="AF31" i="5"/>
  <c r="AB37" i="5"/>
  <c r="AB43" i="5"/>
  <c r="AB46" i="5" s="1"/>
  <c r="AL19" i="5"/>
  <c r="AL16" i="5"/>
  <c r="AL12" i="5"/>
  <c r="AL13" i="5" s="1"/>
  <c r="AL21" i="5"/>
  <c r="AL10" i="5"/>
  <c r="AJ23" i="5"/>
  <c r="AJ41" i="5" s="1"/>
  <c r="AJ14" i="5"/>
  <c r="AN9" i="5"/>
  <c r="X73" i="5"/>
  <c r="AH105" i="5" l="1"/>
  <c r="AH36" i="5"/>
  <c r="T68" i="5"/>
  <c r="V66" i="5"/>
  <c r="V67" i="5"/>
  <c r="X60" i="5"/>
  <c r="AB73" i="5"/>
  <c r="Z73" i="5"/>
  <c r="AH30" i="5"/>
  <c r="AH31" i="5"/>
  <c r="AJ29" i="5"/>
  <c r="AJ24" i="5"/>
  <c r="AL23" i="5"/>
  <c r="AL41" i="5" s="1"/>
  <c r="AL14" i="5"/>
  <c r="AD43" i="5"/>
  <c r="AD46" i="5" s="1"/>
  <c r="AD37" i="5"/>
  <c r="AN19" i="5"/>
  <c r="AN16" i="5"/>
  <c r="AN21" i="5"/>
  <c r="AN10" i="5"/>
  <c r="AN12" i="5"/>
  <c r="AN13" i="5" s="1"/>
  <c r="V74" i="5"/>
  <c r="AJ105" i="5" l="1"/>
  <c r="AJ36" i="5"/>
  <c r="X67" i="5"/>
  <c r="V68" i="5"/>
  <c r="X66" i="5"/>
  <c r="Z66" i="5"/>
  <c r="AN23" i="5"/>
  <c r="AN41" i="5" s="1"/>
  <c r="AN14" i="5"/>
  <c r="AJ30" i="5"/>
  <c r="AJ31" i="5"/>
  <c r="AF43" i="5"/>
  <c r="AF46" i="5" s="1"/>
  <c r="AF37" i="5"/>
  <c r="AL24" i="5"/>
  <c r="AL29" i="5"/>
  <c r="X74" i="5"/>
  <c r="X75" i="5" s="1"/>
  <c r="V75" i="5"/>
  <c r="AL105" i="5" l="1"/>
  <c r="AL36" i="5"/>
  <c r="X68" i="5"/>
  <c r="AD66" i="5"/>
  <c r="Z60" i="5"/>
  <c r="Z67" i="5" s="1"/>
  <c r="AD73" i="5"/>
  <c r="AH43" i="5"/>
  <c r="AH46" i="5" s="1"/>
  <c r="AH37" i="5"/>
  <c r="AL30" i="5"/>
  <c r="AL31" i="5"/>
  <c r="AN24" i="5"/>
  <c r="AN29" i="5"/>
  <c r="T20" i="75" s="1"/>
  <c r="AN105" i="5" l="1"/>
  <c r="AN36" i="5"/>
  <c r="Z68" i="5"/>
  <c r="Z74" i="5"/>
  <c r="Z75" i="5" s="1"/>
  <c r="AB60" i="5"/>
  <c r="AB74" i="5" s="1"/>
  <c r="AB75" i="5" s="1"/>
  <c r="AB66" i="5"/>
  <c r="AF66" i="5"/>
  <c r="AD60" i="5"/>
  <c r="AD67" i="5" s="1"/>
  <c r="AF73" i="5"/>
  <c r="AJ43" i="5"/>
  <c r="AJ46" i="5" s="1"/>
  <c r="AJ37" i="5"/>
  <c r="AN30" i="5"/>
  <c r="AN31" i="5"/>
  <c r="AD68" i="5" l="1"/>
  <c r="AB67" i="5"/>
  <c r="AD74" i="5"/>
  <c r="AD75" i="5" s="1"/>
  <c r="AF60" i="5"/>
  <c r="AF67" i="5" s="1"/>
  <c r="AH66" i="5"/>
  <c r="AH73" i="5"/>
  <c r="AJ73" i="5"/>
  <c r="T22" i="75"/>
  <c r="AN49" i="5" s="1"/>
  <c r="AL43" i="5"/>
  <c r="AL46" i="5" s="1"/>
  <c r="AL37" i="5"/>
  <c r="AB68" i="5" l="1"/>
  <c r="AH60" i="5"/>
  <c r="AH67" i="5" s="1"/>
  <c r="AF68" i="5"/>
  <c r="AJ66" i="5"/>
  <c r="AF74" i="5"/>
  <c r="AF75" i="5" s="1"/>
  <c r="AN43" i="5"/>
  <c r="AN46" i="5" s="1"/>
  <c r="AN37" i="5"/>
  <c r="AH68" i="5" l="1"/>
  <c r="AJ60" i="5"/>
  <c r="AJ74" i="5" s="1"/>
  <c r="AJ75" i="5" s="1"/>
  <c r="AN66" i="5"/>
  <c r="AL73" i="5"/>
  <c r="AH74" i="5" l="1"/>
  <c r="AH75" i="5" s="1"/>
  <c r="AJ67" i="5"/>
  <c r="AL60" i="5"/>
  <c r="AL66" i="5"/>
  <c r="F66" i="5" s="1"/>
  <c r="AN60" i="5"/>
  <c r="AN67" i="5" s="1"/>
  <c r="AN68" i="5" s="1"/>
  <c r="AN73" i="5"/>
  <c r="F73" i="5" s="1"/>
  <c r="AL74" i="5" l="1"/>
  <c r="AL75" i="5" s="1"/>
  <c r="AL67" i="5"/>
  <c r="AJ68" i="5"/>
  <c r="AN74" i="5"/>
  <c r="AL68" i="5" l="1"/>
  <c r="F70" i="5" s="1"/>
  <c r="F67" i="5"/>
  <c r="F74" i="5"/>
  <c r="AN75" i="5"/>
  <c r="F77" i="5" s="1"/>
</calcChain>
</file>

<file path=xl/sharedStrings.xml><?xml version="1.0" encoding="utf-8"?>
<sst xmlns="http://schemas.openxmlformats.org/spreadsheetml/2006/main" count="420" uniqueCount="292">
  <si>
    <t>na</t>
  </si>
  <si>
    <t>% Yr/Yr Growth</t>
  </si>
  <si>
    <t>Cost of Goods Sold</t>
  </si>
  <si>
    <t>SG&amp;A</t>
  </si>
  <si>
    <t xml:space="preserve">  % of Revenues</t>
  </si>
  <si>
    <t>Free Cash Flow</t>
  </si>
  <si>
    <t>Other</t>
  </si>
  <si>
    <t>Balance Sheet</t>
  </si>
  <si>
    <t>Total Current Assets</t>
  </si>
  <si>
    <t>Capital Expenditures</t>
  </si>
  <si>
    <t>Cash Taxes</t>
  </si>
  <si>
    <t>Working Capital Source / (Use)</t>
  </si>
  <si>
    <t>Total Assets</t>
  </si>
  <si>
    <t>Sources</t>
  </si>
  <si>
    <t>Uses</t>
  </si>
  <si>
    <t>Total Sources</t>
  </si>
  <si>
    <t>Total Uses</t>
  </si>
  <si>
    <t>% Margin</t>
  </si>
  <si>
    <t>Operating Cash Flow</t>
  </si>
  <si>
    <t>EBITDA</t>
  </si>
  <si>
    <t>Financial Overview</t>
  </si>
  <si>
    <t>Total Revenue</t>
  </si>
  <si>
    <t>Gross Profit</t>
  </si>
  <si>
    <t>Operating Income</t>
  </si>
  <si>
    <t>Adjusted EBITDA</t>
  </si>
  <si>
    <t>Cash Interest</t>
  </si>
  <si>
    <t>Free Cash Flow Post-Equity Returns</t>
  </si>
  <si>
    <t>Acquisitions</t>
  </si>
  <si>
    <t>Operational Overview</t>
  </si>
  <si>
    <t>Balance Sheet Summary</t>
  </si>
  <si>
    <t>Total Current Liabilities</t>
  </si>
  <si>
    <t>Total Liabilities</t>
  </si>
  <si>
    <t>Total Leverage</t>
  </si>
  <si>
    <t>Other current assets</t>
  </si>
  <si>
    <t>Income tax payable</t>
  </si>
  <si>
    <t>Share Based Compensation</t>
  </si>
  <si>
    <t>+Share Based Compensation</t>
  </si>
  <si>
    <t>% Sq/Sq Growth</t>
  </si>
  <si>
    <t>Shareholder's Equity</t>
  </si>
  <si>
    <t>Parity</t>
  </si>
  <si>
    <t>Current assets:</t>
  </si>
  <si>
    <t>Cash and cash equivalents</t>
  </si>
  <si>
    <t>Restricted cash</t>
  </si>
  <si>
    <t>Total current assets</t>
  </si>
  <si>
    <t>Property and equipment</t>
  </si>
  <si>
    <t>Less accumulated depreciation</t>
  </si>
  <si>
    <t>Property and equipment, net</t>
  </si>
  <si>
    <t>Operating lease right-of-use assets</t>
  </si>
  <si>
    <t>Other assets, net</t>
  </si>
  <si>
    <t>Total assets</t>
  </si>
  <si>
    <t>​</t>
  </si>
  <si>
    <t>Current liabilities:</t>
  </si>
  <si>
    <t>Accounts payable</t>
  </si>
  <si>
    <t>Accrued liabilities</t>
  </si>
  <si>
    <t>Current maturities of long-term debt</t>
  </si>
  <si>
    <t>Current operating lease liabilities</t>
  </si>
  <si>
    <t>Total current liabilities</t>
  </si>
  <si>
    <t>Long-term debt</t>
  </si>
  <si>
    <t>Operating lease liabilities</t>
  </si>
  <si>
    <t>Deferred tax liabilities</t>
  </si>
  <si>
    <t>Other non-current liabilities</t>
  </si>
  <si>
    <t>Total liabilities</t>
  </si>
  <si>
    <t>Redeemable noncontrolling interests</t>
  </si>
  <si>
    <t>Shareholders’ equity:</t>
  </si>
  <si>
    <t>Retained earnings</t>
  </si>
  <si>
    <t>Accumulated other comprehensive loss</t>
  </si>
  <si>
    <t>Total shareholders’ equity</t>
  </si>
  <si>
    <t>Total liabilities, redeemable noncontrolling interests and shareholders’ equity</t>
  </si>
  <si>
    <t>Assets</t>
  </si>
  <si>
    <t>Accounts receivable</t>
  </si>
  <si>
    <t>Liabilities And Shareholders' Equity</t>
  </si>
  <si>
    <t>Common stock</t>
  </si>
  <si>
    <t>Income Statement</t>
  </si>
  <si>
    <t>Net revenues</t>
  </si>
  <si>
    <t>Cost of sales</t>
  </si>
  <si>
    <t>Gross profit</t>
  </si>
  <si>
    <t>Gain (loss) on disposition of assets, net</t>
  </si>
  <si>
    <t>Goodwill impairment</t>
  </si>
  <si>
    <t>Selling, general and administrative expenses</t>
  </si>
  <si>
    <t>Income (loss) from operations</t>
  </si>
  <si>
    <t>Equity in earnings (losses) of investment</t>
  </si>
  <si>
    <t>Net interest expense</t>
  </si>
  <si>
    <t>Gain (loss) on extinguishment of long-term debt</t>
  </si>
  <si>
    <t>Other income (expense), net</t>
  </si>
  <si>
    <t>Royalty income and other</t>
  </si>
  <si>
    <t>Income (loss) before income taxes</t>
  </si>
  <si>
    <t>Income tax provision (benefit)</t>
  </si>
  <si>
    <t>Net income (loss)</t>
  </si>
  <si>
    <t>Net loss attributable to redeemable noncontrolling interests</t>
  </si>
  <si>
    <t>Net income (loss) attributable to common shareholders</t>
  </si>
  <si>
    <t>Cashflow</t>
  </si>
  <si>
    <t>Cash flows from operating activities:</t>
  </si>
  <si>
    <t>Adjustments to reconcile net income (loss) to net cash provided by operating activities:</t>
  </si>
  <si>
    <t>Depreciation and amortization</t>
  </si>
  <si>
    <t>Amortization of debt discounts</t>
  </si>
  <si>
    <t>Amortization of debt issuance costs</t>
  </si>
  <si>
    <t>Share-based compensation</t>
  </si>
  <si>
    <t>Deferred income taxes</t>
  </si>
  <si>
    <t>Equity in (earnings) losses of investment</t>
  </si>
  <si>
    <t>(Gain) loss on disposition of assets, net</t>
  </si>
  <si>
    <t>(Gain) loss on extinguishment of long-term debt</t>
  </si>
  <si>
    <t>Unrealized gain on derivative contracts, net</t>
  </si>
  <si>
    <t>Unrealized foreign currency (gain) loss</t>
  </si>
  <si>
    <t>Changes in operating assets and liabilities:</t>
  </si>
  <si>
    <t>Accounts receivable, net</t>
  </si>
  <si>
    <t>Income tax receivable, net of income tax payable</t>
  </si>
  <si>
    <t>Accounts payable and accrued liabilities</t>
  </si>
  <si>
    <t>Other, net</t>
  </si>
  <si>
    <t>Net cash provided by operating activities</t>
  </si>
  <si>
    <t>Cash flows from investing activities:</t>
  </si>
  <si>
    <t>Capital expenditures</t>
  </si>
  <si>
    <t>STL acquisition, net</t>
  </si>
  <si>
    <t>Proceeds from sale of assets</t>
  </si>
  <si>
    <t>Net cash used in investing activities</t>
  </si>
  <si>
    <t>Cash flows from financing activities:</t>
  </si>
  <si>
    <t>Proceeds from convertible senior notes</t>
  </si>
  <si>
    <t>Repayment of convertible senior notes</t>
  </si>
  <si>
    <t>Proceeds from Term Loan</t>
  </si>
  <si>
    <t>Repayment of Term Loan</t>
  </si>
  <si>
    <t>Repayment of Nordea Q5000 Loan</t>
  </si>
  <si>
    <t>Repayment of MARAD Debt</t>
  </si>
  <si>
    <t>Capped call transactions</t>
  </si>
  <si>
    <t>Debt issuance costs</t>
  </si>
  <si>
    <t>Acquisition of redeemable noncontrolling interests</t>
  </si>
  <si>
    <t>Payments related to tax withholding for share-based compensation</t>
  </si>
  <si>
    <t>Proceeds from issuance of ESPP shares</t>
  </si>
  <si>
    <t>Net cash used in financing activities</t>
  </si>
  <si>
    <t>Effect of exchange rate changes on cash and cash equivalents and restricted cash</t>
  </si>
  <si>
    <t>Net increase (decrease) in cash and cash equivalents and restricted cash</t>
  </si>
  <si>
    <t>Cash and cash equivalents and restricted cash:</t>
  </si>
  <si>
    <t>Balance, beginning of year</t>
  </si>
  <si>
    <t>Balance, end of year</t>
  </si>
  <si>
    <t xml:space="preserve"> </t>
  </si>
  <si>
    <t>+Depreciation and amortization</t>
  </si>
  <si>
    <t>Interest paid, net of interest capitalized</t>
  </si>
  <si>
    <t>Income taxes paid</t>
  </si>
  <si>
    <t>Other Cash Flow Items (which are not part of FCF Calculation) :</t>
  </si>
  <si>
    <t>Total Other Cash Flow Items</t>
  </si>
  <si>
    <t>Net Change in Cash</t>
  </si>
  <si>
    <t>Beginning Cash Balance</t>
  </si>
  <si>
    <t>Ending Cash Balance</t>
  </si>
  <si>
    <t>Unrealized gain on foreign currency / derivative contracts, net</t>
  </si>
  <si>
    <t>Change in Debt, net</t>
  </si>
  <si>
    <t>Interest Expense in P&amp;L</t>
  </si>
  <si>
    <t>Amortization of Cost in Cash flow</t>
  </si>
  <si>
    <t>Taxes in P&amp;L</t>
  </si>
  <si>
    <t>Deferred Income Taxes in Cash flow</t>
  </si>
  <si>
    <t>Total Liabilities &amp; Shareholder's Equity</t>
  </si>
  <si>
    <t>+Goodwill Impairment / Write-off</t>
  </si>
  <si>
    <t>Revenue by Segments:</t>
  </si>
  <si>
    <t>Deferred recertification and dry dock costs, net</t>
  </si>
  <si>
    <t>Acquisition and integration costs</t>
  </si>
  <si>
    <t>Change in fair value of contingent consideration</t>
  </si>
  <si>
    <t>Losses related to convertible senior notes</t>
  </si>
  <si>
    <t>Income tax payable, net of income tax receivable</t>
  </si>
  <si>
    <t>Alliance acquisition, net of cash acquired</t>
  </si>
  <si>
    <t>Distribution from equity investment, net</t>
  </si>
  <si>
    <t>Proceeds from insurance recoveries</t>
  </si>
  <si>
    <t>Proceeds from settlement of capped calls</t>
  </si>
  <si>
    <t>Repurchases of common stock</t>
  </si>
  <si>
    <t>Payment of earn-out consideration</t>
  </si>
  <si>
    <t>Inputs</t>
  </si>
  <si>
    <t>Sources &amp; Uses</t>
  </si>
  <si>
    <t>Business Purchase</t>
  </si>
  <si>
    <t>Debt</t>
  </si>
  <si>
    <t>Funding Fees</t>
  </si>
  <si>
    <t>Other Closing Fees</t>
  </si>
  <si>
    <t>Investment Horizon</t>
  </si>
  <si>
    <t>Debt Assumptions</t>
  </si>
  <si>
    <t>Debt Facility Selector</t>
  </si>
  <si>
    <t>Exit Assumptions</t>
  </si>
  <si>
    <t>EBITDA at Exit</t>
  </si>
  <si>
    <t>Business Proceeds</t>
  </si>
  <si>
    <t>Other Assumptions</t>
  </si>
  <si>
    <t xml:space="preserve">* Structured as a Corporate Loan </t>
  </si>
  <si>
    <t>Coupon</t>
  </si>
  <si>
    <t>Amortization per Year</t>
  </si>
  <si>
    <t>Loan to Value (Purchase Price)</t>
  </si>
  <si>
    <t>Funding Fees (%)</t>
  </si>
  <si>
    <t>Total Funding Fees</t>
  </si>
  <si>
    <t>* Structured as a Mortgage</t>
  </si>
  <si>
    <t>Fixed Coupon</t>
  </si>
  <si>
    <t>Amortization Profile (Years)</t>
  </si>
  <si>
    <t>Base Case</t>
  </si>
  <si>
    <t>Revenue Assumptions</t>
  </si>
  <si>
    <t>Expenses Assumptions</t>
  </si>
  <si>
    <t>Business Purchase Assumptions</t>
  </si>
  <si>
    <t>Deal Close</t>
  </si>
  <si>
    <t>EBITDA Multiple</t>
  </si>
  <si>
    <t>Exit Date</t>
  </si>
  <si>
    <t>Operating Inputs</t>
  </si>
  <si>
    <t>Scenario Selector&gt;&gt;&gt;</t>
  </si>
  <si>
    <t>Upside Case</t>
  </si>
  <si>
    <t>Selected Case</t>
  </si>
  <si>
    <t>Particulars</t>
  </si>
  <si>
    <t>Gross Margin (%)</t>
  </si>
  <si>
    <t>Cash Taxes (Paid) / Benefits</t>
  </si>
  <si>
    <t>FYE - 12/31, in $mm</t>
  </si>
  <si>
    <t>Total Capital Expenditure</t>
  </si>
  <si>
    <t>Deferred Recertification and Dry Dock costs, net</t>
  </si>
  <si>
    <t>Share Issued / (Repurchases)</t>
  </si>
  <si>
    <t>Capital Expenditure</t>
  </si>
  <si>
    <t>Debt Calculation</t>
  </si>
  <si>
    <t>Debt Option - 1</t>
  </si>
  <si>
    <t>Opening Balance</t>
  </si>
  <si>
    <t>Amortization</t>
  </si>
  <si>
    <t>Balloon Payment</t>
  </si>
  <si>
    <t>Closing Balance</t>
  </si>
  <si>
    <t>Interest Expense</t>
  </si>
  <si>
    <t>Debt Option - 2</t>
  </si>
  <si>
    <t>Business Sale</t>
  </si>
  <si>
    <t>Debt Issuance</t>
  </si>
  <si>
    <t>Debt Amortization</t>
  </si>
  <si>
    <t>Debt Balloon Payment</t>
  </si>
  <si>
    <t>Equity Invested</t>
  </si>
  <si>
    <t>Equity Returned</t>
  </si>
  <si>
    <t>Net Cash Impact</t>
  </si>
  <si>
    <t>IRR</t>
  </si>
  <si>
    <t>Projected Financials</t>
  </si>
  <si>
    <t>Total Debt</t>
  </si>
  <si>
    <t>% of Total Revenue</t>
  </si>
  <si>
    <t>in $'mm</t>
  </si>
  <si>
    <t>Historical Financials</t>
  </si>
  <si>
    <t>Inputs for Ownership %</t>
  </si>
  <si>
    <t>Free Cash Flow Pre Dividend Pre Mgmt. Fees</t>
  </si>
  <si>
    <t>Current Share Price</t>
  </si>
  <si>
    <t>Premium on current share price (%)</t>
  </si>
  <si>
    <t>Equity Value Offered</t>
  </si>
  <si>
    <t>2024E EBITDA</t>
  </si>
  <si>
    <t>Net Debt</t>
  </si>
  <si>
    <t>Enterprise Value</t>
  </si>
  <si>
    <t>Implied Stock Price</t>
  </si>
  <si>
    <t>2024E EBITDA Multiple</t>
  </si>
  <si>
    <t>Interest Rate</t>
  </si>
  <si>
    <t>Amount O/S as of Dec 31, 2024</t>
  </si>
  <si>
    <t>Maturity Date</t>
  </si>
  <si>
    <t>Amortization per year</t>
  </si>
  <si>
    <t>1 = Cashflow + Equity (if required)</t>
  </si>
  <si>
    <t>2 = 100% Equity</t>
  </si>
  <si>
    <t>Refinance Debt Calculation</t>
  </si>
  <si>
    <t>Refinance Debt - 1</t>
  </si>
  <si>
    <t>Debt Addition</t>
  </si>
  <si>
    <t>Refinance Debt Issuance</t>
  </si>
  <si>
    <t>Refinance Debt Amortization</t>
  </si>
  <si>
    <t>Refinance Debt Balloon Payment</t>
  </si>
  <si>
    <t>Refinance Interest Expense</t>
  </si>
  <si>
    <t>Refinance of Senior Unsecured Notes Selector</t>
  </si>
  <si>
    <t>Toggle to Fund Sr. Unsec. Notes at Maturity</t>
  </si>
  <si>
    <t>3 = Refinance by Debt (Toggle in cell T52)</t>
  </si>
  <si>
    <t>Existing Debt Assumptions</t>
  </si>
  <si>
    <t xml:space="preserve">(1 = Yes, 0 = No) &gt;&gt;&gt; </t>
  </si>
  <si>
    <t>Refinance Debt Option</t>
  </si>
  <si>
    <t>Equity Purchase Price</t>
  </si>
  <si>
    <t xml:space="preserve">($ in 'mm) </t>
  </si>
  <si>
    <t>1 = Debt 1</t>
  </si>
  <si>
    <t>Debt 1</t>
  </si>
  <si>
    <t>Debt 2</t>
  </si>
  <si>
    <t>2 = Debt 2</t>
  </si>
  <si>
    <t>Downside Case</t>
  </si>
  <si>
    <t>Other investing Activities</t>
  </si>
  <si>
    <t>&lt;&lt;&lt; ( 1 : Downside Case, 2 : Base Case, 3 : Upside Case)</t>
  </si>
  <si>
    <t>% of Profit Before Tax</t>
  </si>
  <si>
    <t>Working Capital Sources / (Uses)</t>
  </si>
  <si>
    <t>Cash Tax</t>
  </si>
  <si>
    <t>3 = No Debt</t>
  </si>
  <si>
    <t xml:space="preserve">Assumed Existing Debt 1 </t>
  </si>
  <si>
    <t>Assumed Existing Debt 2</t>
  </si>
  <si>
    <t>Existing Debt 1</t>
  </si>
  <si>
    <t>Existing Debt 2</t>
  </si>
  <si>
    <t>Total Outstaning Shares</t>
  </si>
  <si>
    <t>Rollover of Debt 1</t>
  </si>
  <si>
    <t>Rollover of Debt 2</t>
  </si>
  <si>
    <t>ABC ltd</t>
  </si>
  <si>
    <t>Segement 1</t>
  </si>
  <si>
    <t>Segment 1</t>
  </si>
  <si>
    <t>Segment 2</t>
  </si>
  <si>
    <t>Segment 3</t>
  </si>
  <si>
    <t>Segment 4</t>
  </si>
  <si>
    <t>Segment 5</t>
  </si>
  <si>
    <t>Capital Expenditure 2</t>
  </si>
  <si>
    <t>Segement 2</t>
  </si>
  <si>
    <t>Segement 3</t>
  </si>
  <si>
    <t>Segement 4</t>
  </si>
  <si>
    <t>Segement 5</t>
  </si>
  <si>
    <t>Equity 1</t>
  </si>
  <si>
    <t>Equity 2</t>
  </si>
  <si>
    <t>Equity 1's Dividend</t>
  </si>
  <si>
    <t>Equity 2's Dividend</t>
  </si>
  <si>
    <t>Equity 1 Issuance</t>
  </si>
  <si>
    <t>Equity 2 Issuance</t>
  </si>
  <si>
    <t>Step up Interest rate</t>
  </si>
  <si>
    <t>Refinance Debt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</si>
</sst>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8">
    <numFmt numFmtId="41" formatCode="_ * #,##0_ ;_ * \-#,##0_ ;_ * &quot;-&quot;_ ;_ @_ "/>
    <numFmt numFmtId="43" formatCode="_ * #,##0.00_ ;_ * \-#,##0.00_ ;_ * &quot;-&quot;??_ ;_ @_ "/>
    <numFmt numFmtId="164" formatCode="&quot;$&quot;#,##0_);[Red]\(&quot;$&quot;#,##0\)"/>
    <numFmt numFmtId="165" formatCode="&quot;$&quot;#,##0.00_);\(&quot;$&quot;#,##0.0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.0_);_(* \(#,##0.0\);_(* &quot;-&quot;?_);_(@_)"/>
    <numFmt numFmtId="171" formatCode="#0.0%_);\(#0.0%\)"/>
    <numFmt numFmtId="173" formatCode="_(* #,##0.0_);_(* \(#,##0.0\);_(* &quot;-&quot;??_);_(@_)"/>
    <numFmt numFmtId="174" formatCode="0.0%"/>
    <numFmt numFmtId="175" formatCode="0.00\x"/>
    <numFmt numFmtId="176" formatCode="0.0\x"/>
    <numFmt numFmtId="177" formatCode="[$-409]mmm\-yy;@"/>
    <numFmt numFmtId="178" formatCode="#,##0,_);[Red]\(#,##0,\);_)&quot;-&quot;"/>
    <numFmt numFmtId="179" formatCode="\£#,##0_);\(\£#,##0\)"/>
    <numFmt numFmtId="180" formatCode="0.000_)"/>
    <numFmt numFmtId="181" formatCode="_(* #,##0.00_);_(* \(#,##0.00\);_(* &quot;-&quot;_);_(@_)"/>
    <numFmt numFmtId="182" formatCode="_(&quot;$&quot;* #,##0_);_(&quot;$&quot;* \(#,##0\);_(&quot;$&quot;* &quot;-&quot;??_);_(@_)"/>
    <numFmt numFmtId="183" formatCode="_(&quot;$&quot;* #,##0.0_);_(&quot;$&quot;* \(#,##0.0\);_(&quot;$&quot;* &quot;-&quot;??_);_(@_)"/>
    <numFmt numFmtId="184" formatCode="&quot;$&quot;#,##0.0_);\(&quot;$&quot;#,##0.0\)"/>
    <numFmt numFmtId="185" formatCode="#,##0,;\(#,##0,\)"/>
    <numFmt numFmtId="186" formatCode="_([$€-2]* #,##0.00_);_([$€-2]* \(#,##0.00\);_([$€-2]* &quot;-&quot;??_)"/>
    <numFmt numFmtId="187" formatCode="0.00_)"/>
    <numFmt numFmtId="188" formatCode="0.0\ &quot;x&quot;"/>
    <numFmt numFmtId="189" formatCode="0.00\ &quot;x&quot;"/>
    <numFmt numFmtId="190" formatCode="&quot;Wire: &quot;0"/>
    <numFmt numFmtId="191" formatCode="\¥#,##0_);\(\¥#,##0\)"/>
    <numFmt numFmtId="192" formatCode="#,##0;\-#,##0;&quot;-&quot;"/>
    <numFmt numFmtId="193" formatCode="_-* #,##0.00_-;\-* #,##0.00_-;_-* &quot;-&quot;??_-;_-@_-"/>
    <numFmt numFmtId="194" formatCode="_-* #,##0.00\ _€_-;\-* #,##0.00\ _€_-;_-* &quot;-&quot;??\ _€_-;_-@_-"/>
    <numFmt numFmtId="195" formatCode="#,##0;\(#,##0\)"/>
    <numFmt numFmtId="196" formatCode="General_)"/>
    <numFmt numFmtId="197" formatCode="\$#,##0_);\(\$#,##0\);\-_);@_)"/>
    <numFmt numFmtId="198" formatCode="\£#,##0_);\(\£#,##0\);\-_);@_)"/>
    <numFmt numFmtId="199" formatCode="&quot;€&quot;#,##0_);\(&quot;€&quot;#,##0\);\-_);@_)"/>
    <numFmt numFmtId="200" formatCode="\$#,##0.00;\(\$#,##0.00\)"/>
    <numFmt numFmtId="201" formatCode="\$#,##0;\(\$#,##0\)"/>
    <numFmt numFmtId="202" formatCode="#,##0.0%_);\(#,##0.0%\);0.0%_);@_)"/>
    <numFmt numFmtId="203" formatCode="_ &quot;SFr.&quot;* #,##0_ ;_ &quot;SFr.&quot;* \-#,##0_ ;_ &quot;SFr.&quot;* &quot;-&quot;_ ;_ @_ "/>
    <numFmt numFmtId="204" formatCode="_ &quot;SFr.&quot;* #,##0.00_ ;_ &quot;SFr.&quot;* \-#,##0.00_ ;_ &quot;SFr.&quot;* &quot;-&quot;??_ ;_ @_ "/>
    <numFmt numFmtId="205" formatCode="#,##0.000000_);\(#,##0.000000\)"/>
    <numFmt numFmtId="206" formatCode="&quot;￡&quot;#,##0;\-&quot;￡&quot;#,##0"/>
    <numFmt numFmtId="207" formatCode="&quot;￡&quot;#,##0.00;\-&quot;￡&quot;#,##0.00"/>
    <numFmt numFmtId="208" formatCode="#,##0_);\(#,##0\);\-_);@_)"/>
    <numFmt numFmtId="209" formatCode="_-&quot;ﾟ&quot;* #,##0_-;\-&quot;ﾟ&quot;* #,##0_-;_-&quot;ﾟ&quot;* &quot;-&quot;_-;_-@_-"/>
    <numFmt numFmtId="210" formatCode="_-&quot;ﾟ&quot;* #,##0.00_-;\-&quot;ﾟ&quot;* #,##0.00_-;_-&quot;ﾟ&quot;* &quot;-&quot;??_-;_-@_-"/>
    <numFmt numFmtId="212" formatCode="_(* #,##0.0_);_(* \(#,##0.0\);_(* &quot;-&quot;_);_(@_)"/>
    <numFmt numFmtId="213" formatCode="_(* #,##0.000_);_(* \(#,##0.000\);_(* &quot;-&quot;?_);_(@_)"/>
    <numFmt numFmtId="214" formatCode="_(* #,##0.0000_);_(* \(#,##0.0000\);_(* &quot;-&quot;?_);_(@_)"/>
    <numFmt numFmtId="215" formatCode="_(* #,##0.000_);_(* \(#,##0.000\);_(* &quot;-&quot;??_);_(@_)"/>
    <numFmt numFmtId="216" formatCode="_(* #,##0_);_(* \(#,##0\);_(* &quot;-&quot;?_);_(@_)"/>
    <numFmt numFmtId="217" formatCode="_(* &quot;$&quot;\ #,##0.0_);_(* &quot;$&quot;\ \(#,##0.0\);_(* &quot;$  -&quot;?_);_(@_)"/>
    <numFmt numFmtId="218" formatCode="0.0\ &quot;years&quot;"/>
    <numFmt numFmtId="219" formatCode="0\ &quot;years&quot;"/>
    <numFmt numFmtId="222" formatCode="_(* #,##0.0_);_(* \(#,##0.0\);_(* &quot;   -&quot;?_);_(@_)"/>
    <numFmt numFmtId="228" formatCode="mmm/yy&quot;P&quot;"/>
  </numFmts>
  <fonts count="73"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sz val="10"/>
      <name val="Times New Roman"/>
      <family val="1"/>
    </font>
    <font>
      <u val="singleAccounting"/>
      <sz val="10"/>
      <name val="Arial"/>
      <family val="2"/>
    </font>
    <font>
      <b/>
      <sz val="12"/>
      <name val="Arial"/>
      <family val="2"/>
    </font>
    <font>
      <sz val="11"/>
      <name val="Tms Rmn"/>
      <family val="1"/>
    </font>
    <font>
      <sz val="11"/>
      <color indexed="8"/>
      <name val="Calibri"/>
      <family val="2"/>
    </font>
    <font>
      <sz val="9"/>
      <color indexed="18"/>
      <name val="Arial"/>
      <family val="2"/>
    </font>
    <font>
      <u val="doubleAccounting"/>
      <sz val="10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name val="Times New Roman"/>
      <family val="1"/>
    </font>
    <font>
      <b/>
      <sz val="10"/>
      <name val="MS Sans Serif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sz val="12"/>
      <name val="Osaka"/>
      <family val="3"/>
      <charset val="128"/>
    </font>
    <font>
      <sz val="9"/>
      <name val="Geneva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Palatino Linotype"/>
      <family val="1"/>
    </font>
    <font>
      <sz val="10"/>
      <name val="MS Sans Serif"/>
    </font>
    <font>
      <sz val="10"/>
      <color theme="1"/>
      <name val="Trade Gothic LT Com"/>
      <family val="2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u/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2"/>
      <color indexed="39"/>
      <name val="Calibri"/>
      <family val="2"/>
      <scheme val="minor"/>
    </font>
    <font>
      <i/>
      <sz val="12"/>
      <color rgb="FF0000FF"/>
      <name val="Calibri"/>
      <family val="2"/>
      <scheme val="minor"/>
    </font>
    <font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indexed="39"/>
      <name val="Calibri"/>
      <family val="2"/>
      <scheme val="minor"/>
    </font>
    <font>
      <sz val="12"/>
      <color rgb="FFFF00FF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1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655">
    <xf numFmtId="0" fontId="0" fillId="0" borderId="0"/>
    <xf numFmtId="4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0" fontId="10" fillId="0" borderId="0" applyNumberFormat="0" applyFont="0" applyFill="0" applyBorder="0" applyAlignment="0" applyProtection="0"/>
    <xf numFmtId="0" fontId="5" fillId="0" borderId="0"/>
    <xf numFmtId="0" fontId="4" fillId="0" borderId="0">
      <alignment horizontal="left"/>
    </xf>
    <xf numFmtId="178" fontId="5" fillId="0" borderId="0" applyBorder="0"/>
    <xf numFmtId="0" fontId="5" fillId="0" borderId="0"/>
    <xf numFmtId="0" fontId="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/>
    <xf numFmtId="179" fontId="13" fillId="0" borderId="0" applyFont="0" applyFill="0" applyBorder="0" applyAlignment="0" applyProtection="0"/>
    <xf numFmtId="0" fontId="14" fillId="0" borderId="0">
      <alignment horizontal="center" wrapText="1"/>
    </xf>
    <xf numFmtId="180" fontId="15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167" fontId="14" fillId="0" borderId="4"/>
    <xf numFmtId="173" fontId="11" fillId="0" borderId="0"/>
    <xf numFmtId="173" fontId="14" fillId="0" borderId="4"/>
    <xf numFmtId="181" fontId="11" fillId="0" borderId="0"/>
    <xf numFmtId="181" fontId="11" fillId="0" borderId="0"/>
    <xf numFmtId="181" fontId="14" fillId="0" borderId="4"/>
    <xf numFmtId="169" fontId="11" fillId="0" borderId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37" fontId="5" fillId="0" borderId="0" applyFill="0" applyBorder="0" applyAlignment="0" applyProtection="0"/>
    <xf numFmtId="182" fontId="14" fillId="0" borderId="4"/>
    <xf numFmtId="183" fontId="11" fillId="0" borderId="0"/>
    <xf numFmtId="183" fontId="11" fillId="0" borderId="0"/>
    <xf numFmtId="183" fontId="14" fillId="0" borderId="4"/>
    <xf numFmtId="184" fontId="11" fillId="0" borderId="6">
      <alignment horizontal="center"/>
    </xf>
    <xf numFmtId="168" fontId="11" fillId="0" borderId="0"/>
    <xf numFmtId="168" fontId="11" fillId="0" borderId="0"/>
    <xf numFmtId="168" fontId="14" fillId="0" borderId="4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78" fontId="17" fillId="4" borderId="0" applyBorder="0"/>
    <xf numFmtId="166" fontId="18" fillId="0" borderId="0" applyFill="0" applyBorder="0" applyAlignment="0" applyProtection="0"/>
    <xf numFmtId="185" fontId="5" fillId="0" borderId="3" applyFont="0" applyBorder="0" applyAlignment="0"/>
    <xf numFmtId="186" fontId="5" fillId="0" borderId="0" applyFont="0" applyFill="0" applyBorder="0" applyAlignment="0" applyProtection="0"/>
    <xf numFmtId="0" fontId="12" fillId="0" borderId="7" applyNumberFormat="0" applyFont="0" applyFill="0" applyAlignment="0" applyProtection="0"/>
    <xf numFmtId="38" fontId="4" fillId="4" borderId="0" applyNumberFormat="0" applyBorder="0" applyAlignment="0" applyProtection="0"/>
    <xf numFmtId="0" fontId="14" fillId="0" borderId="8" applyNumberFormat="0" applyAlignment="0" applyProtection="0">
      <alignment horizontal="left" vertical="center"/>
    </xf>
    <xf numFmtId="0" fontId="14" fillId="0" borderId="9">
      <alignment horizontal="left" vertical="center"/>
    </xf>
    <xf numFmtId="10" fontId="4" fillId="5" borderId="2" applyNumberFormat="0" applyBorder="0" applyAlignment="0" applyProtection="0"/>
    <xf numFmtId="0" fontId="3" fillId="0" borderId="0"/>
    <xf numFmtId="37" fontId="5" fillId="0" borderId="0" applyFont="0" applyFill="0" applyBorder="0" applyAlignment="0" applyProtection="0"/>
    <xf numFmtId="37" fontId="19" fillId="0" borderId="0"/>
    <xf numFmtId="187" fontId="20" fillId="0" borderId="0"/>
    <xf numFmtId="0" fontId="3" fillId="0" borderId="0"/>
    <xf numFmtId="0" fontId="21" fillId="0" borderId="0"/>
    <xf numFmtId="0" fontId="5" fillId="0" borderId="0"/>
    <xf numFmtId="0" fontId="3" fillId="0" borderId="0"/>
    <xf numFmtId="0" fontId="5" fillId="0" borderId="0"/>
    <xf numFmtId="9" fontId="11" fillId="0" borderId="0"/>
    <xf numFmtId="9" fontId="11" fillId="0" borderId="0"/>
    <xf numFmtId="9" fontId="14" fillId="0" borderId="4"/>
    <xf numFmtId="174" fontId="11" fillId="0" borderId="0"/>
    <xf numFmtId="174" fontId="11" fillId="0" borderId="0"/>
    <xf numFmtId="174" fontId="14" fillId="0" borderId="4"/>
    <xf numFmtId="10" fontId="11" fillId="0" borderId="0"/>
    <xf numFmtId="10" fontId="11" fillId="0" borderId="0"/>
    <xf numFmtId="10" fontId="14" fillId="0" borderId="4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horizontal="left"/>
    </xf>
    <xf numFmtId="15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22" fillId="0" borderId="10">
      <alignment horizontal="center"/>
    </xf>
    <xf numFmtId="3" fontId="3" fillId="0" borderId="0" applyFont="0" applyFill="0" applyBorder="0" applyAlignment="0" applyProtection="0"/>
    <xf numFmtId="0" fontId="3" fillId="6" borderId="0" applyNumberFormat="0" applyFont="0" applyBorder="0" applyAlignment="0" applyProtection="0"/>
    <xf numFmtId="4" fontId="8" fillId="2" borderId="11" applyNumberFormat="0" applyProtection="0">
      <alignment vertical="center"/>
    </xf>
    <xf numFmtId="4" fontId="23" fillId="2" borderId="11" applyNumberFormat="0" applyProtection="0">
      <alignment vertical="center"/>
    </xf>
    <xf numFmtId="4" fontId="8" fillId="2" borderId="11" applyNumberFormat="0" applyProtection="0">
      <alignment horizontal="left" vertical="center" indent="1"/>
    </xf>
    <xf numFmtId="4" fontId="8" fillId="2" borderId="11" applyNumberFormat="0" applyProtection="0">
      <alignment horizontal="left" vertical="center" indent="1"/>
    </xf>
    <xf numFmtId="0" fontId="5" fillId="7" borderId="11" applyNumberFormat="0" applyProtection="0">
      <alignment horizontal="left" vertical="center" indent="1"/>
    </xf>
    <xf numFmtId="4" fontId="8" fillId="8" borderId="11" applyNumberFormat="0" applyProtection="0">
      <alignment horizontal="right" vertical="center"/>
    </xf>
    <xf numFmtId="4" fontId="8" fillId="9" borderId="11" applyNumberFormat="0" applyProtection="0">
      <alignment horizontal="right" vertical="center"/>
    </xf>
    <xf numFmtId="4" fontId="8" fillId="10" borderId="11" applyNumberFormat="0" applyProtection="0">
      <alignment horizontal="right" vertical="center"/>
    </xf>
    <xf numFmtId="4" fontId="8" fillId="11" borderId="11" applyNumberFormat="0" applyProtection="0">
      <alignment horizontal="right" vertical="center"/>
    </xf>
    <xf numFmtId="4" fontId="8" fillId="12" borderId="11" applyNumberFormat="0" applyProtection="0">
      <alignment horizontal="right" vertical="center"/>
    </xf>
    <xf numFmtId="4" fontId="8" fillId="13" borderId="11" applyNumberFormat="0" applyProtection="0">
      <alignment horizontal="right" vertical="center"/>
    </xf>
    <xf numFmtId="4" fontId="8" fillId="14" borderId="11" applyNumberFormat="0" applyProtection="0">
      <alignment horizontal="right" vertical="center"/>
    </xf>
    <xf numFmtId="4" fontId="8" fillId="15" borderId="11" applyNumberFormat="0" applyProtection="0">
      <alignment horizontal="right" vertical="center"/>
    </xf>
    <xf numFmtId="4" fontId="8" fillId="16" borderId="11" applyNumberFormat="0" applyProtection="0">
      <alignment horizontal="right" vertical="center"/>
    </xf>
    <xf numFmtId="4" fontId="24" fillId="17" borderId="11" applyNumberFormat="0" applyProtection="0">
      <alignment horizontal="left" vertical="center" indent="1"/>
    </xf>
    <xf numFmtId="4" fontId="8" fillId="18" borderId="12" applyNumberFormat="0" applyProtection="0">
      <alignment horizontal="left" vertical="center" indent="1"/>
    </xf>
    <xf numFmtId="4" fontId="25" fillId="19" borderId="0" applyNumberFormat="0" applyProtection="0">
      <alignment horizontal="left" vertical="center" indent="1"/>
    </xf>
    <xf numFmtId="0" fontId="5" fillId="7" borderId="11" applyNumberFormat="0" applyProtection="0">
      <alignment horizontal="left" vertical="center" indent="1"/>
    </xf>
    <xf numFmtId="4" fontId="8" fillId="18" borderId="11" applyNumberFormat="0" applyProtection="0">
      <alignment horizontal="left" vertical="center" indent="1"/>
    </xf>
    <xf numFmtId="4" fontId="8" fillId="20" borderId="11" applyNumberFormat="0" applyProtection="0">
      <alignment horizontal="left" vertical="center" indent="1"/>
    </xf>
    <xf numFmtId="0" fontId="5" fillId="20" borderId="11" applyNumberFormat="0" applyProtection="0">
      <alignment horizontal="left" vertical="center" indent="1"/>
    </xf>
    <xf numFmtId="0" fontId="5" fillId="20" borderId="11" applyNumberFormat="0" applyProtection="0">
      <alignment horizontal="left" vertical="center" indent="1"/>
    </xf>
    <xf numFmtId="0" fontId="5" fillId="21" borderId="11" applyNumberFormat="0" applyProtection="0">
      <alignment horizontal="left" vertical="center" indent="1"/>
    </xf>
    <xf numFmtId="0" fontId="5" fillId="21" borderId="11" applyNumberFormat="0" applyProtection="0">
      <alignment horizontal="left" vertical="center" indent="1"/>
    </xf>
    <xf numFmtId="0" fontId="5" fillId="4" borderId="11" applyNumberFormat="0" applyProtection="0">
      <alignment horizontal="left" vertical="center" indent="1"/>
    </xf>
    <xf numFmtId="0" fontId="5" fillId="4" borderId="11" applyNumberFormat="0" applyProtection="0">
      <alignment horizontal="left" vertical="center" indent="1"/>
    </xf>
    <xf numFmtId="0" fontId="5" fillId="7" borderId="11" applyNumberFormat="0" applyProtection="0">
      <alignment horizontal="left" vertical="center" indent="1"/>
    </xf>
    <xf numFmtId="0" fontId="5" fillId="7" borderId="11" applyNumberFormat="0" applyProtection="0">
      <alignment horizontal="left" vertical="center" indent="1"/>
    </xf>
    <xf numFmtId="4" fontId="8" fillId="5" borderId="11" applyNumberFormat="0" applyProtection="0">
      <alignment vertical="center"/>
    </xf>
    <xf numFmtId="4" fontId="23" fillId="5" borderId="11" applyNumberFormat="0" applyProtection="0">
      <alignment vertical="center"/>
    </xf>
    <xf numFmtId="4" fontId="8" fillId="5" borderId="11" applyNumberFormat="0" applyProtection="0">
      <alignment horizontal="left" vertical="center" indent="1"/>
    </xf>
    <xf numFmtId="4" fontId="8" fillId="5" borderId="11" applyNumberFormat="0" applyProtection="0">
      <alignment horizontal="left" vertical="center" indent="1"/>
    </xf>
    <xf numFmtId="4" fontId="8" fillId="18" borderId="11" applyNumberFormat="0" applyProtection="0">
      <alignment horizontal="right" vertical="center"/>
    </xf>
    <xf numFmtId="4" fontId="23" fillId="18" borderId="11" applyNumberFormat="0" applyProtection="0">
      <alignment horizontal="right" vertical="center"/>
    </xf>
    <xf numFmtId="0" fontId="5" fillId="7" borderId="11" applyNumberFormat="0" applyProtection="0">
      <alignment horizontal="left" vertical="center" indent="1"/>
    </xf>
    <xf numFmtId="0" fontId="5" fillId="7" borderId="11" applyNumberFormat="0" applyProtection="0">
      <alignment horizontal="left" vertical="center" indent="1"/>
    </xf>
    <xf numFmtId="0" fontId="26" fillId="0" borderId="0"/>
    <xf numFmtId="4" fontId="9" fillId="18" borderId="11" applyNumberFormat="0" applyProtection="0">
      <alignment horizontal="right" vertical="center"/>
    </xf>
    <xf numFmtId="166" fontId="13" fillId="0" borderId="0" applyFill="0" applyBorder="0" applyAlignment="0" applyProtection="0"/>
    <xf numFmtId="0" fontId="5" fillId="22" borderId="0"/>
    <xf numFmtId="0" fontId="27" fillId="23" borderId="0" applyNumberFormat="0" applyBorder="0" applyProtection="0">
      <alignment vertical="top"/>
    </xf>
    <xf numFmtId="0" fontId="27" fillId="23" borderId="0" applyNumberFormat="0" applyBorder="0" applyProtection="0">
      <alignment vertical="top"/>
    </xf>
    <xf numFmtId="0" fontId="28" fillId="24" borderId="0" applyNumberFormat="0" applyBorder="0" applyProtection="0"/>
    <xf numFmtId="0" fontId="28" fillId="24" borderId="0" applyNumberFormat="0" applyBorder="0" applyProtection="0"/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6" fillId="0" borderId="0" applyNumberFormat="0" applyFill="0" applyBorder="0" applyProtection="0">
      <alignment vertical="top" wrapText="1"/>
    </xf>
    <xf numFmtId="0" fontId="6" fillId="0" borderId="0" applyNumberFormat="0" applyFill="0" applyBorder="0" applyProtection="0">
      <alignment vertical="top" wrapText="1"/>
    </xf>
    <xf numFmtId="0" fontId="29" fillId="0" borderId="0" applyNumberFormat="0">
      <alignment horizontal="left"/>
    </xf>
    <xf numFmtId="0" fontId="30" fillId="0" borderId="0" applyNumberFormat="0">
      <alignment horizontal="left"/>
    </xf>
    <xf numFmtId="0" fontId="31" fillId="0" borderId="0">
      <alignment horizontal="centerContinuous"/>
    </xf>
    <xf numFmtId="0" fontId="5" fillId="0" borderId="0" applyBorder="0"/>
    <xf numFmtId="188" fontId="11" fillId="0" borderId="0"/>
    <xf numFmtId="188" fontId="11" fillId="0" borderId="0"/>
    <xf numFmtId="188" fontId="14" fillId="0" borderId="4"/>
    <xf numFmtId="189" fontId="11" fillId="0" borderId="0"/>
    <xf numFmtId="189" fontId="11" fillId="0" borderId="0"/>
    <xf numFmtId="189" fontId="14" fillId="0" borderId="4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2" fillId="0" borderId="0">
      <alignment horizontal="center"/>
    </xf>
    <xf numFmtId="0" fontId="33" fillId="0" borderId="13" applyNumberFormat="0" applyFont="0" applyFill="0" applyAlignment="0" applyProtection="0"/>
    <xf numFmtId="190" fontId="11" fillId="0" borderId="0">
      <alignment horizontal="centerContinuous"/>
    </xf>
    <xf numFmtId="191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34" fillId="0" borderId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" fillId="0" borderId="0"/>
    <xf numFmtId="0" fontId="3" fillId="0" borderId="0"/>
    <xf numFmtId="40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192" fontId="3" fillId="0" borderId="0" applyFill="0" applyBorder="0" applyAlignment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5" borderId="15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0" fontId="3" fillId="46" borderId="16" applyNumberFormat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5" fontId="3" fillId="0" borderId="0"/>
    <xf numFmtId="196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97" fontId="3" fillId="0" borderId="0" applyFill="0" applyBorder="0" applyProtection="0">
      <alignment horizontal="right"/>
    </xf>
    <xf numFmtId="198" fontId="3" fillId="0" borderId="0" applyFill="0" applyBorder="0" applyProtection="0">
      <alignment horizontal="right"/>
    </xf>
    <xf numFmtId="199" fontId="3" fillId="0" borderId="0" applyFill="0" applyBorder="0" applyProtection="0">
      <alignment horizontal="right"/>
    </xf>
    <xf numFmtId="200" fontId="3" fillId="0" borderId="0"/>
    <xf numFmtId="201" fontId="3" fillId="0" borderId="0"/>
    <xf numFmtId="164" fontId="3" fillId="0" borderId="17" applyFill="0" applyBorder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9">
      <alignment horizontal="left" vertical="center"/>
    </xf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8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19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2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10" fontId="3" fillId="5" borderId="2" applyNumberFormat="0" applyBorder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0" fontId="3" fillId="32" borderId="15" applyNumberFormat="0" applyAlignment="0" applyProtection="0"/>
    <xf numFmtId="168" fontId="3" fillId="47" borderId="0" applyNumberFormat="0" applyFont="0" applyBorder="0" applyAlignment="0" applyProtection="0"/>
    <xf numFmtId="168" fontId="3" fillId="47" borderId="0" applyNumberFormat="0" applyFont="0" applyBorder="0" applyAlignment="0" applyProtection="0"/>
    <xf numFmtId="168" fontId="3" fillId="47" borderId="0" applyNumberFormat="0" applyFont="0" applyBorder="0" applyAlignment="0" applyProtection="0"/>
    <xf numFmtId="168" fontId="3" fillId="47" borderId="0" applyNumberFormat="0" applyFont="0" applyBorder="0" applyAlignment="0" applyProtection="0"/>
    <xf numFmtId="202" fontId="3" fillId="0" borderId="0" applyFill="0" applyBorder="0" applyProtection="0">
      <alignment horizontal="right"/>
    </xf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0" fontId="3" fillId="0" borderId="21" applyNumberFormat="0" applyFill="0" applyAlignment="0" applyProtection="0"/>
    <xf numFmtId="203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0" borderId="0"/>
    <xf numFmtId="196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05" fontId="3" fillId="0" borderId="0"/>
    <xf numFmtId="0" fontId="3" fillId="0" borderId="0"/>
    <xf numFmtId="0" fontId="3" fillId="0" borderId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9" borderId="22" applyNumberFormat="0" applyFon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0" fontId="3" fillId="45" borderId="11" applyNumberFormat="0" applyAlignment="0" applyProtection="0"/>
    <xf numFmtId="37" fontId="3" fillId="0" borderId="0" applyBorder="0">
      <protection locked="0"/>
    </xf>
    <xf numFmtId="37" fontId="3" fillId="0" borderId="0" applyBorder="0">
      <protection locked="0"/>
    </xf>
    <xf numFmtId="0" fontId="3" fillId="0" borderId="23" applyNumberFormat="0" applyAlignment="0" applyProtection="0"/>
    <xf numFmtId="0" fontId="3" fillId="50" borderId="0" applyNumberFormat="0" applyFont="0" applyBorder="0" applyAlignment="0" applyProtection="0"/>
    <xf numFmtId="0" fontId="3" fillId="51" borderId="1" applyNumberFormat="0" applyFont="0" applyBorder="0" applyAlignment="0" applyProtection="0">
      <alignment horizontal="center"/>
    </xf>
    <xf numFmtId="0" fontId="3" fillId="52" borderId="1" applyNumberFormat="0" applyFont="0" applyBorder="0" applyAlignment="0" applyProtection="0">
      <alignment horizontal="center"/>
    </xf>
    <xf numFmtId="0" fontId="3" fillId="0" borderId="24" applyNumberFormat="0" applyAlignment="0" applyProtection="0"/>
    <xf numFmtId="0" fontId="3" fillId="0" borderId="25" applyNumberFormat="0" applyAlignment="0" applyProtection="0"/>
    <xf numFmtId="0" fontId="3" fillId="0" borderId="26" applyNumberFormat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/>
    <xf numFmtId="206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0" fontId="3" fillId="0" borderId="0"/>
    <xf numFmtId="202" fontId="3" fillId="0" borderId="0" applyFill="0" applyBorder="0" applyProtection="0">
      <alignment horizontal="right"/>
    </xf>
    <xf numFmtId="0" fontId="3" fillId="0" borderId="0" applyNumberFormat="0" applyBorder="0" applyAlignment="0"/>
    <xf numFmtId="0" fontId="3" fillId="0" borderId="0" applyNumberFormat="0" applyBorder="0" applyAlignment="0"/>
    <xf numFmtId="0" fontId="3" fillId="0" borderId="0" applyNumberFormat="0" applyBorder="0" applyAlignment="0"/>
    <xf numFmtId="0" fontId="3" fillId="0" borderId="0" applyNumberFormat="0" applyBorder="0" applyAlignment="0"/>
    <xf numFmtId="0" fontId="3" fillId="0" borderId="0" applyNumberFormat="0" applyBorder="0" applyAlignment="0"/>
    <xf numFmtId="0" fontId="3" fillId="25" borderId="27" applyNumberFormat="0" applyFont="0" applyFill="0" applyAlignment="0" applyProtection="0"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 applyFill="0" applyBorder="0" applyProtection="0">
      <alignment horizontal="left"/>
    </xf>
    <xf numFmtId="208" fontId="3" fillId="0" borderId="0" applyFill="0" applyBorder="0" applyProtection="0">
      <alignment horizontal="left"/>
    </xf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28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2" fillId="0" borderId="25" applyNumberFormat="0" applyAlignment="0" applyProtection="0"/>
    <xf numFmtId="0" fontId="31" fillId="0" borderId="26" applyNumberFormat="0" applyAlignment="0" applyProtection="0"/>
    <xf numFmtId="0" fontId="35" fillId="0" borderId="0" applyNumberFormat="0" applyFill="0" applyBorder="0" applyAlignment="0" applyProtection="0"/>
    <xf numFmtId="0" fontId="3" fillId="0" borderId="0"/>
    <xf numFmtId="167" fontId="14" fillId="0" borderId="30"/>
    <xf numFmtId="173" fontId="14" fillId="0" borderId="30"/>
    <xf numFmtId="181" fontId="14" fillId="0" borderId="30"/>
    <xf numFmtId="182" fontId="14" fillId="0" borderId="30"/>
    <xf numFmtId="183" fontId="14" fillId="0" borderId="30"/>
    <xf numFmtId="168" fontId="14" fillId="0" borderId="3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6" fillId="0" borderId="0" applyFont="0" applyFill="0" applyBorder="0" applyAlignment="0" applyProtection="0"/>
    <xf numFmtId="185" fontId="5" fillId="0" borderId="29" applyFont="0" applyBorder="0" applyAlignment="0"/>
    <xf numFmtId="0" fontId="3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9" fontId="14" fillId="0" borderId="30"/>
    <xf numFmtId="174" fontId="14" fillId="0" borderId="30"/>
    <xf numFmtId="10" fontId="14" fillId="0" borderId="30"/>
    <xf numFmtId="9" fontId="3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188" fontId="14" fillId="0" borderId="30"/>
    <xf numFmtId="189" fontId="14" fillId="0" borderId="3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9" fontId="1" fillId="0" borderId="0" applyFont="0" applyFill="0" applyBorder="0" applyAlignment="0" applyProtection="0"/>
    <xf numFmtId="0" fontId="39" fillId="0" borderId="0"/>
    <xf numFmtId="169" fontId="38" fillId="0" borderId="0" applyFont="0" applyFill="0" applyBorder="0" applyAlignment="0" applyProtection="0"/>
    <xf numFmtId="0" fontId="40" fillId="0" borderId="0"/>
    <xf numFmtId="169" fontId="3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8">
    <xf numFmtId="0" fontId="0" fillId="0" borderId="0" xfId="0"/>
    <xf numFmtId="0" fontId="41" fillId="0" borderId="0" xfId="0" applyFont="1"/>
    <xf numFmtId="0" fontId="44" fillId="0" borderId="0" xfId="0" applyFont="1"/>
    <xf numFmtId="0" fontId="46" fillId="0" borderId="0" xfId="0" applyFont="1"/>
    <xf numFmtId="0" fontId="44" fillId="0" borderId="0" xfId="0" applyFont="1" applyAlignment="1">
      <alignment horizontal="centerContinuous"/>
    </xf>
    <xf numFmtId="0" fontId="44" fillId="0" borderId="29" xfId="0" applyFont="1" applyBorder="1" applyAlignment="1">
      <alignment horizontal="left"/>
    </xf>
    <xf numFmtId="0" fontId="44" fillId="0" borderId="0" xfId="0" applyFont="1" applyAlignment="1">
      <alignment horizontal="center"/>
    </xf>
    <xf numFmtId="17" fontId="44" fillId="0" borderId="29" xfId="0" applyNumberFormat="1" applyFont="1" applyBorder="1" applyAlignment="1">
      <alignment horizontal="center"/>
    </xf>
    <xf numFmtId="0" fontId="41" fillId="0" borderId="0" xfId="0" applyFont="1" applyAlignment="1">
      <alignment horizontal="left" indent="1"/>
    </xf>
    <xf numFmtId="0" fontId="47" fillId="0" borderId="0" xfId="0" applyFont="1"/>
    <xf numFmtId="171" fontId="48" fillId="25" borderId="0" xfId="0" applyNumberFormat="1" applyFont="1" applyFill="1" applyAlignment="1">
      <alignment horizontal="right"/>
    </xf>
    <xf numFmtId="171" fontId="41" fillId="25" borderId="0" xfId="0" applyNumberFormat="1" applyFont="1" applyFill="1" applyAlignment="1">
      <alignment horizontal="right"/>
    </xf>
    <xf numFmtId="1" fontId="41" fillId="0" borderId="0" xfId="0" applyNumberFormat="1" applyFont="1"/>
    <xf numFmtId="170" fontId="41" fillId="0" borderId="0" xfId="0" applyNumberFormat="1" applyFont="1"/>
    <xf numFmtId="0" fontId="44" fillId="0" borderId="0" xfId="0" applyFont="1" applyAlignment="1">
      <alignment horizontal="left"/>
    </xf>
    <xf numFmtId="170" fontId="48" fillId="25" borderId="0" xfId="0" applyNumberFormat="1" applyFont="1" applyFill="1" applyAlignment="1">
      <alignment horizontal="right"/>
    </xf>
    <xf numFmtId="170" fontId="41" fillId="25" borderId="0" xfId="0" applyNumberFormat="1" applyFont="1" applyFill="1" applyAlignment="1">
      <alignment horizontal="right"/>
    </xf>
    <xf numFmtId="170" fontId="48" fillId="0" borderId="0" xfId="0" applyNumberFormat="1" applyFont="1" applyAlignment="1">
      <alignment horizontal="right"/>
    </xf>
    <xf numFmtId="170" fontId="41" fillId="0" borderId="0" xfId="0" applyNumberFormat="1" applyFont="1" applyAlignment="1">
      <alignment horizontal="right"/>
    </xf>
    <xf numFmtId="0" fontId="36" fillId="0" borderId="0" xfId="1647" applyFont="1"/>
    <xf numFmtId="0" fontId="41" fillId="26" borderId="0" xfId="0" applyFont="1" applyFill="1"/>
    <xf numFmtId="0" fontId="41" fillId="26" borderId="0" xfId="165" applyFont="1" applyFill="1"/>
    <xf numFmtId="173" fontId="41" fillId="26" borderId="0" xfId="160" applyNumberFormat="1" applyFont="1" applyFill="1" applyBorder="1"/>
    <xf numFmtId="0" fontId="41" fillId="25" borderId="0" xfId="165" applyFont="1" applyFill="1"/>
    <xf numFmtId="0" fontId="41" fillId="0" borderId="0" xfId="165" applyFont="1"/>
    <xf numFmtId="177" fontId="41" fillId="26" borderId="0" xfId="165" applyNumberFormat="1" applyFont="1" applyFill="1" applyAlignment="1">
      <alignment horizontal="center"/>
    </xf>
    <xf numFmtId="0" fontId="42" fillId="26" borderId="0" xfId="157" applyFont="1" applyFill="1" applyAlignment="1">
      <alignment horizontal="centerContinuous"/>
    </xf>
    <xf numFmtId="0" fontId="41" fillId="0" borderId="0" xfId="165" applyFont="1" applyAlignment="1">
      <alignment horizontal="left" indent="2"/>
    </xf>
    <xf numFmtId="170" fontId="56" fillId="0" borderId="0" xfId="157" applyNumberFormat="1" applyFont="1"/>
    <xf numFmtId="170" fontId="41" fillId="26" borderId="0" xfId="165" applyNumberFormat="1" applyFont="1" applyFill="1"/>
    <xf numFmtId="170" fontId="41" fillId="0" borderId="0" xfId="157" applyNumberFormat="1" applyFont="1"/>
    <xf numFmtId="173" fontId="56" fillId="0" borderId="0" xfId="157" applyNumberFormat="1" applyFont="1"/>
    <xf numFmtId="0" fontId="47" fillId="26" borderId="0" xfId="165" applyFont="1" applyFill="1"/>
    <xf numFmtId="171" fontId="47" fillId="25" borderId="0" xfId="0" applyNumberFormat="1" applyFont="1" applyFill="1" applyAlignment="1">
      <alignment horizontal="right"/>
    </xf>
    <xf numFmtId="0" fontId="47" fillId="26" borderId="0" xfId="165" applyFont="1" applyFill="1" applyAlignment="1">
      <alignment horizontal="right"/>
    </xf>
    <xf numFmtId="171" fontId="57" fillId="25" borderId="0" xfId="0" applyNumberFormat="1" applyFont="1" applyFill="1" applyAlignment="1">
      <alignment horizontal="right"/>
    </xf>
    <xf numFmtId="0" fontId="41" fillId="26" borderId="0" xfId="165" applyFont="1" applyFill="1" applyAlignment="1">
      <alignment horizontal="right"/>
    </xf>
    <xf numFmtId="0" fontId="44" fillId="26" borderId="4" xfId="165" applyFont="1" applyFill="1" applyBorder="1"/>
    <xf numFmtId="0" fontId="44" fillId="26" borderId="0" xfId="165" applyFont="1" applyFill="1"/>
    <xf numFmtId="170" fontId="41" fillId="0" borderId="14" xfId="157" applyNumberFormat="1" applyFont="1" applyBorder="1"/>
    <xf numFmtId="0" fontId="47" fillId="0" borderId="0" xfId="165" applyFont="1" applyAlignment="1">
      <alignment horizontal="left" indent="2"/>
    </xf>
    <xf numFmtId="0" fontId="41" fillId="0" borderId="0" xfId="165" applyFont="1" applyAlignment="1">
      <alignment horizontal="left" indent="1"/>
    </xf>
    <xf numFmtId="0" fontId="44" fillId="0" borderId="4" xfId="165" applyFont="1" applyBorder="1"/>
    <xf numFmtId="170" fontId="41" fillId="0" borderId="4" xfId="157" applyNumberFormat="1" applyFont="1" applyBorder="1"/>
    <xf numFmtId="0" fontId="47" fillId="0" borderId="0" xfId="165" applyFont="1" applyAlignment="1">
      <alignment horizontal="left" indent="1"/>
    </xf>
    <xf numFmtId="171" fontId="47" fillId="0" borderId="0" xfId="0" applyNumberFormat="1" applyFont="1" applyAlignment="1">
      <alignment horizontal="right"/>
    </xf>
    <xf numFmtId="0" fontId="41" fillId="0" borderId="0" xfId="165" applyFont="1" applyAlignment="1">
      <alignment horizontal="right"/>
    </xf>
    <xf numFmtId="0" fontId="47" fillId="26" borderId="0" xfId="165" applyFont="1" applyFill="1" applyAlignment="1">
      <alignment horizontal="left" indent="1"/>
    </xf>
    <xf numFmtId="174" fontId="47" fillId="26" borderId="0" xfId="2" applyNumberFormat="1" applyFont="1" applyFill="1"/>
    <xf numFmtId="174" fontId="47" fillId="0" borderId="0" xfId="2" applyNumberFormat="1" applyFont="1" applyFill="1"/>
    <xf numFmtId="0" fontId="41" fillId="26" borderId="3" xfId="165" applyFont="1" applyFill="1" applyBorder="1" applyAlignment="1">
      <alignment horizontal="left" indent="1"/>
    </xf>
    <xf numFmtId="0" fontId="41" fillId="26" borderId="3" xfId="165" applyFont="1" applyFill="1" applyBorder="1"/>
    <xf numFmtId="0" fontId="47" fillId="0" borderId="0" xfId="165" applyFont="1"/>
    <xf numFmtId="0" fontId="41" fillId="26" borderId="0" xfId="165" applyFont="1" applyFill="1" applyAlignment="1">
      <alignment horizontal="left" indent="1"/>
    </xf>
    <xf numFmtId="170" fontId="48" fillId="0" borderId="0" xfId="157" applyNumberFormat="1" applyFont="1"/>
    <xf numFmtId="0" fontId="58" fillId="0" borderId="0" xfId="0" applyFont="1"/>
    <xf numFmtId="170" fontId="59" fillId="26" borderId="4" xfId="160" applyNumberFormat="1" applyFont="1" applyFill="1" applyBorder="1"/>
    <xf numFmtId="170" fontId="59" fillId="0" borderId="4" xfId="160" applyNumberFormat="1" applyFont="1" applyFill="1" applyBorder="1"/>
    <xf numFmtId="0" fontId="44" fillId="0" borderId="0" xfId="165" applyFont="1"/>
    <xf numFmtId="0" fontId="41" fillId="26" borderId="0" xfId="165" quotePrefix="1" applyFont="1" applyFill="1" applyAlignment="1">
      <alignment horizontal="left" indent="1"/>
    </xf>
    <xf numFmtId="170" fontId="41" fillId="26" borderId="0" xfId="157" applyNumberFormat="1" applyFont="1" applyFill="1"/>
    <xf numFmtId="173" fontId="56" fillId="26" borderId="0" xfId="157" applyNumberFormat="1" applyFont="1" applyFill="1"/>
    <xf numFmtId="173" fontId="60" fillId="26" borderId="0" xfId="157" applyNumberFormat="1" applyFont="1" applyFill="1"/>
    <xf numFmtId="170" fontId="44" fillId="26" borderId="4" xfId="160" applyNumberFormat="1" applyFont="1" applyFill="1" applyBorder="1"/>
    <xf numFmtId="0" fontId="41" fillId="26" borderId="0" xfId="165" applyFont="1" applyFill="1" applyAlignment="1">
      <alignment horizontal="left" indent="2"/>
    </xf>
    <xf numFmtId="0" fontId="36" fillId="0" borderId="0" xfId="165" applyFont="1" applyAlignment="1">
      <alignment horizontal="left" indent="2"/>
    </xf>
    <xf numFmtId="173" fontId="41" fillId="0" borderId="0" xfId="157" applyNumberFormat="1" applyFont="1"/>
    <xf numFmtId="176" fontId="56" fillId="0" borderId="0" xfId="157" applyNumberFormat="1" applyFont="1"/>
    <xf numFmtId="176" fontId="41" fillId="0" borderId="0" xfId="157" applyNumberFormat="1" applyFont="1" applyAlignment="1">
      <alignment horizontal="right"/>
    </xf>
    <xf numFmtId="176" fontId="41" fillId="0" borderId="0" xfId="165" applyNumberFormat="1" applyFont="1"/>
    <xf numFmtId="214" fontId="41" fillId="0" borderId="0" xfId="157" applyNumberFormat="1" applyFont="1"/>
    <xf numFmtId="0" fontId="44" fillId="0" borderId="14" xfId="165" applyFont="1" applyBorder="1" applyAlignment="1">
      <alignment horizontal="left" indent="1"/>
    </xf>
    <xf numFmtId="0" fontId="44" fillId="26" borderId="14" xfId="165" applyFont="1" applyFill="1" applyBorder="1"/>
    <xf numFmtId="170" fontId="59" fillId="26" borderId="30" xfId="160" applyNumberFormat="1" applyFont="1" applyFill="1" applyBorder="1"/>
    <xf numFmtId="170" fontId="41" fillId="3" borderId="0" xfId="157" applyNumberFormat="1" applyFont="1" applyFill="1"/>
    <xf numFmtId="173" fontId="61" fillId="0" borderId="0" xfId="157" applyNumberFormat="1" applyFont="1"/>
    <xf numFmtId="3" fontId="58" fillId="0" borderId="0" xfId="0" applyNumberFormat="1" applyFont="1"/>
    <xf numFmtId="173" fontId="62" fillId="26" borderId="0" xfId="160" applyNumberFormat="1" applyFont="1" applyFill="1" applyBorder="1"/>
    <xf numFmtId="0" fontId="44" fillId="26" borderId="34" xfId="165" applyFont="1" applyFill="1" applyBorder="1"/>
    <xf numFmtId="170" fontId="59" fillId="3" borderId="0" xfId="160" applyNumberFormat="1" applyFont="1" applyFill="1" applyBorder="1"/>
    <xf numFmtId="0" fontId="41" fillId="26" borderId="0" xfId="165" applyFont="1" applyFill="1" applyAlignment="1">
      <alignment horizontal="left"/>
    </xf>
    <xf numFmtId="174" fontId="41" fillId="26" borderId="0" xfId="2" applyNumberFormat="1" applyFont="1" applyFill="1"/>
    <xf numFmtId="176" fontId="41" fillId="26" borderId="0" xfId="165" applyNumberFormat="1" applyFont="1" applyFill="1"/>
    <xf numFmtId="173" fontId="41" fillId="26" borderId="0" xfId="165" applyNumberFormat="1" applyFont="1" applyFill="1"/>
    <xf numFmtId="170" fontId="41" fillId="0" borderId="30" xfId="157" applyNumberFormat="1" applyFont="1" applyBorder="1"/>
    <xf numFmtId="0" fontId="36" fillId="0" borderId="0" xfId="0" applyFont="1"/>
    <xf numFmtId="174" fontId="41" fillId="0" borderId="0" xfId="2" applyNumberFormat="1" applyFont="1"/>
    <xf numFmtId="165" fontId="63" fillId="0" borderId="0" xfId="0" applyNumberFormat="1" applyFont="1" applyAlignment="1">
      <alignment horizontal="left"/>
    </xf>
    <xf numFmtId="170" fontId="60" fillId="0" borderId="0" xfId="157" applyNumberFormat="1" applyFont="1"/>
    <xf numFmtId="170" fontId="44" fillId="0" borderId="0" xfId="157" applyNumberFormat="1" applyFont="1"/>
    <xf numFmtId="170" fontId="44" fillId="3" borderId="0" xfId="157" applyNumberFormat="1" applyFont="1" applyFill="1"/>
    <xf numFmtId="0" fontId="36" fillId="26" borderId="0" xfId="165" applyFont="1" applyFill="1" applyAlignment="1">
      <alignment horizontal="left" indent="1"/>
    </xf>
    <xf numFmtId="216" fontId="41" fillId="0" borderId="0" xfId="157" applyNumberFormat="1" applyFont="1"/>
    <xf numFmtId="0" fontId="36" fillId="0" borderId="0" xfId="165" applyFont="1" applyAlignment="1">
      <alignment horizontal="left" indent="1"/>
    </xf>
    <xf numFmtId="0" fontId="44" fillId="0" borderId="30" xfId="165" applyFont="1" applyBorder="1" applyAlignment="1">
      <alignment horizontal="left" indent="1"/>
    </xf>
    <xf numFmtId="0" fontId="41" fillId="0" borderId="30" xfId="165" applyFont="1" applyBorder="1" applyAlignment="1">
      <alignment horizontal="left" indent="1"/>
    </xf>
    <xf numFmtId="0" fontId="41" fillId="0" borderId="30" xfId="165" applyFont="1" applyBorder="1"/>
    <xf numFmtId="173" fontId="44" fillId="0" borderId="0" xfId="157" applyNumberFormat="1" applyFont="1"/>
    <xf numFmtId="170" fontId="44" fillId="0" borderId="30" xfId="157" applyNumberFormat="1" applyFont="1" applyBorder="1"/>
    <xf numFmtId="170" fontId="44" fillId="3" borderId="30" xfId="157" applyNumberFormat="1" applyFont="1" applyFill="1" applyBorder="1"/>
    <xf numFmtId="0" fontId="44" fillId="0" borderId="30" xfId="165" applyFont="1" applyBorder="1"/>
    <xf numFmtId="215" fontId="62" fillId="26" borderId="0" xfId="160" applyNumberFormat="1" applyFont="1" applyFill="1" applyBorder="1"/>
    <xf numFmtId="175" fontId="56" fillId="0" borderId="0" xfId="157" applyNumberFormat="1" applyFont="1"/>
    <xf numFmtId="212" fontId="48" fillId="0" borderId="0" xfId="0" applyNumberFormat="1" applyFont="1"/>
    <xf numFmtId="212" fontId="41" fillId="0" borderId="0" xfId="0" applyNumberFormat="1" applyFont="1"/>
    <xf numFmtId="212" fontId="48" fillId="3" borderId="0" xfId="0" applyNumberFormat="1" applyFont="1" applyFill="1"/>
    <xf numFmtId="0" fontId="44" fillId="0" borderId="30" xfId="0" applyFont="1" applyBorder="1"/>
    <xf numFmtId="0" fontId="41" fillId="0" borderId="30" xfId="0" applyFont="1" applyBorder="1"/>
    <xf numFmtId="212" fontId="44" fillId="0" borderId="30" xfId="0" applyNumberFormat="1" applyFont="1" applyBorder="1"/>
    <xf numFmtId="0" fontId="41" fillId="0" borderId="0" xfId="0" applyFont="1" applyAlignment="1">
      <alignment horizontal="left" indent="2"/>
    </xf>
    <xf numFmtId="0" fontId="44" fillId="26" borderId="0" xfId="0" applyFont="1" applyFill="1"/>
    <xf numFmtId="170" fontId="44" fillId="3" borderId="4" xfId="160" applyNumberFormat="1" applyFont="1" applyFill="1" applyBorder="1"/>
    <xf numFmtId="173" fontId="41" fillId="3" borderId="0" xfId="157" applyNumberFormat="1" applyFont="1" applyFill="1"/>
    <xf numFmtId="173" fontId="41" fillId="3" borderId="0" xfId="160" applyNumberFormat="1" applyFont="1" applyFill="1" applyBorder="1"/>
    <xf numFmtId="170" fontId="44" fillId="26" borderId="0" xfId="160" applyNumberFormat="1" applyFont="1" applyFill="1" applyBorder="1"/>
    <xf numFmtId="170" fontId="44" fillId="3" borderId="0" xfId="160" applyNumberFormat="1" applyFont="1" applyFill="1" applyBorder="1"/>
    <xf numFmtId="0" fontId="64" fillId="0" borderId="0" xfId="0" applyFont="1"/>
    <xf numFmtId="0" fontId="44" fillId="0" borderId="0" xfId="0" applyFont="1" applyAlignment="1">
      <alignment horizontal="left" indent="1"/>
    </xf>
    <xf numFmtId="170" fontId="48" fillId="0" borderId="0" xfId="0" applyNumberFormat="1" applyFont="1"/>
    <xf numFmtId="213" fontId="48" fillId="0" borderId="0" xfId="0" applyNumberFormat="1" applyFont="1"/>
    <xf numFmtId="170" fontId="44" fillId="0" borderId="0" xfId="0" applyNumberFormat="1" applyFont="1"/>
    <xf numFmtId="213" fontId="44" fillId="0" borderId="0" xfId="0" applyNumberFormat="1" applyFont="1"/>
    <xf numFmtId="212" fontId="44" fillId="0" borderId="0" xfId="0" applyNumberFormat="1" applyFont="1"/>
    <xf numFmtId="213" fontId="41" fillId="0" borderId="0" xfId="0" applyNumberFormat="1" applyFont="1"/>
    <xf numFmtId="0" fontId="44" fillId="0" borderId="0" xfId="0" applyFont="1" applyAlignment="1">
      <alignment horizontal="left" indent="2"/>
    </xf>
    <xf numFmtId="0" fontId="41" fillId="0" borderId="0" xfId="0" applyFont="1" applyAlignment="1">
      <alignment horizontal="left" indent="3"/>
    </xf>
    <xf numFmtId="213" fontId="64" fillId="0" borderId="0" xfId="0" applyNumberFormat="1" applyFont="1"/>
    <xf numFmtId="0" fontId="65" fillId="0" borderId="0" xfId="0" applyFont="1"/>
    <xf numFmtId="212" fontId="65" fillId="0" borderId="0" xfId="0" applyNumberFormat="1" applyFont="1"/>
    <xf numFmtId="213" fontId="66" fillId="0" borderId="0" xfId="0" applyNumberFormat="1" applyFont="1"/>
    <xf numFmtId="0" fontId="66" fillId="0" borderId="0" xfId="0" applyFont="1"/>
    <xf numFmtId="174" fontId="48" fillId="0" borderId="0" xfId="2" applyNumberFormat="1" applyFont="1"/>
    <xf numFmtId="0" fontId="55" fillId="0" borderId="0" xfId="0" applyFont="1"/>
    <xf numFmtId="0" fontId="46" fillId="26" borderId="0" xfId="165" applyFont="1" applyFill="1" applyAlignment="1">
      <alignment horizontal="left"/>
    </xf>
    <xf numFmtId="0" fontId="41" fillId="26" borderId="30" xfId="165" applyFont="1" applyFill="1" applyBorder="1" applyAlignment="1">
      <alignment horizontal="left"/>
    </xf>
    <xf numFmtId="0" fontId="67" fillId="0" borderId="0" xfId="1650" applyFont="1"/>
    <xf numFmtId="0" fontId="50" fillId="0" borderId="0" xfId="1650" applyFont="1"/>
    <xf numFmtId="0" fontId="51" fillId="0" borderId="29" xfId="0" applyFont="1" applyBorder="1"/>
    <xf numFmtId="0" fontId="51" fillId="0" borderId="29" xfId="1647" applyFont="1" applyBorder="1"/>
    <xf numFmtId="0" fontId="52" fillId="0" borderId="0" xfId="0" applyFont="1"/>
    <xf numFmtId="17" fontId="48" fillId="26" borderId="0" xfId="165" applyNumberFormat="1" applyFont="1" applyFill="1"/>
    <xf numFmtId="217" fontId="41" fillId="0" borderId="0" xfId="0" applyNumberFormat="1" applyFont="1"/>
    <xf numFmtId="222" fontId="36" fillId="0" borderId="0" xfId="0" applyNumberFormat="1" applyFont="1"/>
    <xf numFmtId="176" fontId="36" fillId="0" borderId="0" xfId="1647" applyNumberFormat="1" applyFont="1"/>
    <xf numFmtId="170" fontId="48" fillId="0" borderId="0" xfId="1647" applyNumberFormat="1" applyFont="1"/>
    <xf numFmtId="10" fontId="36" fillId="0" borderId="0" xfId="2" applyNumberFormat="1" applyFont="1"/>
    <xf numFmtId="168" fontId="48" fillId="0" borderId="0" xfId="1647" applyNumberFormat="1" applyFont="1"/>
    <xf numFmtId="0" fontId="36" fillId="0" borderId="34" xfId="1647" applyFont="1" applyBorder="1"/>
    <xf numFmtId="168" fontId="36" fillId="0" borderId="34" xfId="1647" applyNumberFormat="1" applyFont="1" applyBorder="1"/>
    <xf numFmtId="170" fontId="36" fillId="0" borderId="0" xfId="1647" applyNumberFormat="1" applyFont="1"/>
    <xf numFmtId="0" fontId="51" fillId="0" borderId="34" xfId="1647" applyFont="1" applyBorder="1"/>
    <xf numFmtId="170" fontId="44" fillId="0" borderId="34" xfId="0" applyNumberFormat="1" applyFont="1" applyBorder="1"/>
    <xf numFmtId="0" fontId="51" fillId="0" borderId="5" xfId="0" applyFont="1" applyBorder="1"/>
    <xf numFmtId="0" fontId="44" fillId="26" borderId="5" xfId="0" applyFont="1" applyFill="1" applyBorder="1"/>
    <xf numFmtId="170" fontId="44" fillId="0" borderId="5" xfId="0" applyNumberFormat="1" applyFont="1" applyBorder="1"/>
    <xf numFmtId="0" fontId="51" fillId="0" borderId="0" xfId="0" applyFont="1"/>
    <xf numFmtId="217" fontId="44" fillId="0" borderId="0" xfId="0" applyNumberFormat="1" applyFont="1"/>
    <xf numFmtId="0" fontId="36" fillId="0" borderId="29" xfId="1647" applyFont="1" applyBorder="1"/>
    <xf numFmtId="0" fontId="36" fillId="0" borderId="0" xfId="0" applyFont="1" applyAlignment="1">
      <alignment horizontal="left" indent="1"/>
    </xf>
    <xf numFmtId="174" fontId="41" fillId="0" borderId="0" xfId="0" applyNumberFormat="1" applyFont="1" applyAlignment="1">
      <alignment horizontal="center"/>
    </xf>
    <xf numFmtId="218" fontId="68" fillId="0" borderId="0" xfId="0" applyNumberFormat="1" applyFont="1"/>
    <xf numFmtId="17" fontId="41" fillId="26" borderId="0" xfId="165" applyNumberFormat="1" applyFont="1" applyFill="1"/>
    <xf numFmtId="0" fontId="50" fillId="0" borderId="0" xfId="0" applyFont="1"/>
    <xf numFmtId="0" fontId="36" fillId="0" borderId="30" xfId="1647" applyFont="1" applyBorder="1"/>
    <xf numFmtId="170" fontId="41" fillId="0" borderId="30" xfId="0" applyNumberFormat="1" applyFont="1" applyBorder="1"/>
    <xf numFmtId="10" fontId="68" fillId="0" borderId="0" xfId="0" applyNumberFormat="1" applyFont="1"/>
    <xf numFmtId="219" fontId="68" fillId="0" borderId="0" xfId="0" applyNumberFormat="1" applyFont="1"/>
    <xf numFmtId="0" fontId="52" fillId="0" borderId="0" xfId="0" applyFont="1" applyAlignment="1">
      <alignment horizontal="right"/>
    </xf>
    <xf numFmtId="10" fontId="48" fillId="0" borderId="0" xfId="0" applyNumberFormat="1" applyFont="1"/>
    <xf numFmtId="14" fontId="48" fillId="0" borderId="0" xfId="0" applyNumberFormat="1" applyFont="1"/>
    <xf numFmtId="14" fontId="41" fillId="0" borderId="0" xfId="0" applyNumberFormat="1" applyFont="1"/>
    <xf numFmtId="0" fontId="41" fillId="0" borderId="0" xfId="1650" applyFont="1"/>
    <xf numFmtId="0" fontId="41" fillId="26" borderId="29" xfId="0" applyFont="1" applyFill="1" applyBorder="1"/>
    <xf numFmtId="0" fontId="36" fillId="0" borderId="35" xfId="1647" applyFont="1" applyBorder="1"/>
    <xf numFmtId="0" fontId="51" fillId="0" borderId="35" xfId="1647" applyFont="1" applyBorder="1" applyAlignment="1">
      <alignment horizontal="right"/>
    </xf>
    <xf numFmtId="10" fontId="48" fillId="0" borderId="0" xfId="1647" applyNumberFormat="1" applyFont="1"/>
    <xf numFmtId="17" fontId="48" fillId="0" borderId="0" xfId="1647" applyNumberFormat="1" applyFont="1"/>
    <xf numFmtId="0" fontId="36" fillId="0" borderId="0" xfId="1650" applyFont="1"/>
    <xf numFmtId="17" fontId="36" fillId="0" borderId="0" xfId="1647" applyNumberFormat="1" applyFont="1"/>
    <xf numFmtId="167" fontId="45" fillId="54" borderId="2" xfId="0" applyNumberFormat="1" applyFont="1" applyFill="1" applyBorder="1" applyAlignment="1">
      <alignment horizontal="right"/>
    </xf>
    <xf numFmtId="176" fontId="68" fillId="0" borderId="0" xfId="1651" applyNumberFormat="1" applyFont="1" applyFill="1" applyBorder="1" applyAlignment="1">
      <alignment horizontal="right"/>
    </xf>
    <xf numFmtId="171" fontId="41" fillId="0" borderId="0" xfId="0" applyNumberFormat="1" applyFont="1"/>
    <xf numFmtId="169" fontId="44" fillId="26" borderId="0" xfId="165" applyNumberFormat="1" applyFont="1" applyFill="1"/>
    <xf numFmtId="169" fontId="47" fillId="26" borderId="0" xfId="165" applyNumberFormat="1" applyFont="1" applyFill="1"/>
    <xf numFmtId="0" fontId="51" fillId="55" borderId="0" xfId="0" applyFont="1" applyFill="1" applyAlignment="1">
      <alignment horizontal="centerContinuous"/>
    </xf>
    <xf numFmtId="0" fontId="36" fillId="55" borderId="0" xfId="0" applyFont="1" applyFill="1" applyAlignment="1">
      <alignment horizontal="centerContinuous"/>
    </xf>
    <xf numFmtId="0" fontId="41" fillId="26" borderId="31" xfId="165" applyFont="1" applyFill="1" applyBorder="1"/>
    <xf numFmtId="0" fontId="41" fillId="26" borderId="32" xfId="165" applyFont="1" applyFill="1" applyBorder="1"/>
    <xf numFmtId="176" fontId="41" fillId="0" borderId="32" xfId="157" applyNumberFormat="1" applyFont="1" applyBorder="1" applyAlignment="1">
      <alignment horizontal="right"/>
    </xf>
    <xf numFmtId="176" fontId="56" fillId="0" borderId="32" xfId="157" applyNumberFormat="1" applyFont="1" applyBorder="1"/>
    <xf numFmtId="176" fontId="41" fillId="0" borderId="33" xfId="157" applyNumberFormat="1" applyFont="1" applyBorder="1" applyAlignment="1">
      <alignment horizontal="right"/>
    </xf>
    <xf numFmtId="176" fontId="48" fillId="0" borderId="0" xfId="1647" applyNumberFormat="1" applyFont="1"/>
    <xf numFmtId="0" fontId="53" fillId="53" borderId="0" xfId="157" applyFont="1" applyFill="1" applyAlignment="1">
      <alignment horizontal="left"/>
    </xf>
    <xf numFmtId="0" fontId="54" fillId="53" borderId="0" xfId="157" applyFont="1" applyFill="1" applyAlignment="1">
      <alignment horizontal="left"/>
    </xf>
    <xf numFmtId="0" fontId="70" fillId="53" borderId="0" xfId="0" applyFont="1" applyFill="1"/>
    <xf numFmtId="0" fontId="43" fillId="53" borderId="0" xfId="0" applyFont="1" applyFill="1"/>
    <xf numFmtId="0" fontId="49" fillId="53" borderId="0" xfId="0" applyFont="1" applyFill="1"/>
    <xf numFmtId="0" fontId="49" fillId="53" borderId="31" xfId="0" applyFont="1" applyFill="1" applyBorder="1" applyAlignment="1">
      <alignment horizontal="centerContinuous"/>
    </xf>
    <xf numFmtId="0" fontId="49" fillId="53" borderId="32" xfId="0" applyFont="1" applyFill="1" applyBorder="1" applyAlignment="1">
      <alignment horizontal="centerContinuous"/>
    </xf>
    <xf numFmtId="0" fontId="49" fillId="53" borderId="33" xfId="0" applyFont="1" applyFill="1" applyBorder="1" applyAlignment="1">
      <alignment horizontal="centerContinuous"/>
    </xf>
    <xf numFmtId="173" fontId="43" fillId="53" borderId="0" xfId="160" applyNumberFormat="1" applyFont="1" applyFill="1" applyBorder="1"/>
    <xf numFmtId="0" fontId="43" fillId="53" borderId="0" xfId="165" applyFont="1" applyFill="1"/>
    <xf numFmtId="14" fontId="43" fillId="53" borderId="0" xfId="1" applyNumberFormat="1" applyFont="1" applyFill="1" applyBorder="1"/>
    <xf numFmtId="40" fontId="43" fillId="53" borderId="0" xfId="1" applyFont="1" applyFill="1" applyBorder="1"/>
    <xf numFmtId="17" fontId="43" fillId="53" borderId="0" xfId="165" applyNumberFormat="1" applyFont="1" applyFill="1" applyAlignment="1">
      <alignment horizontal="center"/>
    </xf>
    <xf numFmtId="0" fontId="71" fillId="53" borderId="0" xfId="165" applyFont="1" applyFill="1"/>
    <xf numFmtId="0" fontId="43" fillId="53" borderId="36" xfId="165" applyFont="1" applyFill="1" applyBorder="1"/>
    <xf numFmtId="228" fontId="43" fillId="53" borderId="0" xfId="165" applyNumberFormat="1" applyFont="1" applyFill="1" applyAlignment="1">
      <alignment horizontal="center"/>
    </xf>
    <xf numFmtId="0" fontId="49" fillId="55" borderId="0" xfId="157" applyFont="1" applyFill="1" applyAlignment="1">
      <alignment horizontal="centerContinuous"/>
    </xf>
    <xf numFmtId="0" fontId="42" fillId="55" borderId="0" xfId="157" applyFont="1" applyFill="1" applyAlignment="1">
      <alignment horizontal="centerContinuous"/>
    </xf>
    <xf numFmtId="0" fontId="54" fillId="55" borderId="0" xfId="157" applyFont="1" applyFill="1" applyAlignment="1">
      <alignment horizontal="centerContinuous"/>
    </xf>
    <xf numFmtId="2" fontId="48" fillId="0" borderId="0" xfId="2" applyNumberFormat="1" applyFont="1"/>
    <xf numFmtId="0" fontId="42" fillId="55" borderId="29" xfId="1647" applyFont="1" applyFill="1" applyBorder="1"/>
    <xf numFmtId="0" fontId="43" fillId="55" borderId="29" xfId="1647" applyFont="1" applyFill="1" applyBorder="1"/>
    <xf numFmtId="0" fontId="42" fillId="55" borderId="29" xfId="0" applyFont="1" applyFill="1" applyBorder="1"/>
    <xf numFmtId="0" fontId="43" fillId="55" borderId="29" xfId="0" applyFont="1" applyFill="1" applyBorder="1"/>
    <xf numFmtId="167" fontId="45" fillId="56" borderId="2" xfId="0" applyNumberFormat="1" applyFont="1" applyFill="1" applyBorder="1" applyAlignment="1">
      <alignment horizontal="right"/>
    </xf>
    <xf numFmtId="174" fontId="48" fillId="57" borderId="0" xfId="1647" applyNumberFormat="1" applyFont="1" applyFill="1"/>
    <xf numFmtId="174" fontId="48" fillId="57" borderId="0" xfId="2" applyNumberFormat="1" applyFont="1" applyFill="1"/>
    <xf numFmtId="0" fontId="45" fillId="56" borderId="2" xfId="1647" applyFont="1" applyFill="1" applyBorder="1"/>
    <xf numFmtId="0" fontId="69" fillId="56" borderId="2" xfId="1647" applyFont="1" applyFill="1" applyBorder="1"/>
    <xf numFmtId="0" fontId="72" fillId="0" borderId="0" xfId="0" applyFont="1" applyAlignment="1">
      <alignment horizontal="left" indent="1"/>
    </xf>
    <xf numFmtId="0" fontId="41" fillId="58" borderId="0" xfId="165" applyFont="1" applyFill="1"/>
    <xf numFmtId="176" fontId="44" fillId="58" borderId="31" xfId="165" applyNumberFormat="1" applyFont="1" applyFill="1" applyBorder="1"/>
    <xf numFmtId="176" fontId="44" fillId="58" borderId="32" xfId="165" applyNumberFormat="1" applyFont="1" applyFill="1" applyBorder="1"/>
    <xf numFmtId="174" fontId="44" fillId="58" borderId="33" xfId="2" applyNumberFormat="1" applyFont="1" applyFill="1" applyBorder="1"/>
    <xf numFmtId="170" fontId="41" fillId="58" borderId="0" xfId="157" applyNumberFormat="1" applyFont="1" applyFill="1"/>
    <xf numFmtId="170" fontId="56" fillId="58" borderId="0" xfId="157" applyNumberFormat="1" applyFont="1" applyFill="1"/>
    <xf numFmtId="2" fontId="48" fillId="25" borderId="0" xfId="0" applyNumberFormat="1" applyFont="1" applyFill="1" applyAlignment="1">
      <alignment horizontal="right"/>
    </xf>
    <xf numFmtId="167" fontId="45" fillId="56" borderId="2" xfId="0" applyNumberFormat="1" applyFont="1" applyFill="1" applyBorder="1"/>
    <xf numFmtId="0" fontId="41" fillId="59" borderId="0" xfId="165" applyFont="1" applyFill="1"/>
    <xf numFmtId="0" fontId="44" fillId="59" borderId="0" xfId="165" applyFont="1" applyFill="1"/>
    <xf numFmtId="170" fontId="41" fillId="59" borderId="0" xfId="157" applyNumberFormat="1" applyFont="1" applyFill="1"/>
    <xf numFmtId="170" fontId="56" fillId="59" borderId="0" xfId="157" applyNumberFormat="1" applyFont="1" applyFill="1"/>
    <xf numFmtId="176" fontId="56" fillId="59" borderId="0" xfId="157" applyNumberFormat="1" applyFont="1" applyFill="1"/>
    <xf numFmtId="176" fontId="41" fillId="59" borderId="0" xfId="157" applyNumberFormat="1" applyFont="1" applyFill="1" applyAlignment="1">
      <alignment horizontal="right"/>
    </xf>
    <xf numFmtId="173" fontId="44" fillId="59" borderId="0" xfId="157" applyNumberFormat="1" applyFont="1" applyFill="1"/>
    <xf numFmtId="213" fontId="41" fillId="59" borderId="0" xfId="157" applyNumberFormat="1" applyFont="1" applyFill="1"/>
  </cellXfs>
  <cellStyles count="1655">
    <cellStyle name="_x0013_" xfId="3" xr:uid="{00000000-0005-0000-0000-000000000000}"/>
    <cellStyle name="$_YRK_LBO" xfId="166" xr:uid="{00000000-0005-0000-0000-000001000000}"/>
    <cellStyle name="$_YRK_LBO_LBO Model_Project Buffalo vCurrent" xfId="167" xr:uid="{00000000-0005-0000-0000-000002000000}"/>
    <cellStyle name="%" xfId="4" xr:uid="{00000000-0005-0000-0000-000003000000}"/>
    <cellStyle name="******************************************" xfId="5" xr:uid="{00000000-0005-0000-0000-000004000000}"/>
    <cellStyle name="_WACC Analysis" xfId="168" xr:uid="{00000000-0005-0000-0000-000005000000}"/>
    <cellStyle name="=C:\WINNT\SYSTEM32\COMMAND.COM" xfId="169" xr:uid="{00000000-0005-0000-0000-000006000000}"/>
    <cellStyle name="=C:\WINNT35\SYSTEM32\COMMAND.COM" xfId="170" xr:uid="{00000000-0005-0000-0000-000007000000}"/>
    <cellStyle name="20% - Accent1 2" xfId="171" xr:uid="{00000000-0005-0000-0000-000008000000}"/>
    <cellStyle name="20% - Accent1 2 10" xfId="172" xr:uid="{00000000-0005-0000-0000-000009000000}"/>
    <cellStyle name="20% - Accent1 2 11" xfId="173" xr:uid="{00000000-0005-0000-0000-00000A000000}"/>
    <cellStyle name="20% - Accent1 2 12" xfId="174" xr:uid="{00000000-0005-0000-0000-00000B000000}"/>
    <cellStyle name="20% - Accent1 2 13" xfId="175" xr:uid="{00000000-0005-0000-0000-00000C000000}"/>
    <cellStyle name="20% - Accent1 2 14" xfId="176" xr:uid="{00000000-0005-0000-0000-00000D000000}"/>
    <cellStyle name="20% - Accent1 2 15" xfId="177" xr:uid="{00000000-0005-0000-0000-00000E000000}"/>
    <cellStyle name="20% - Accent1 2 16" xfId="178" xr:uid="{00000000-0005-0000-0000-00000F000000}"/>
    <cellStyle name="20% - Accent1 2 17" xfId="179" xr:uid="{00000000-0005-0000-0000-000010000000}"/>
    <cellStyle name="20% - Accent1 2 2" xfId="180" xr:uid="{00000000-0005-0000-0000-000011000000}"/>
    <cellStyle name="20% - Accent1 2 3" xfId="181" xr:uid="{00000000-0005-0000-0000-000012000000}"/>
    <cellStyle name="20% - Accent1 2 4" xfId="182" xr:uid="{00000000-0005-0000-0000-000013000000}"/>
    <cellStyle name="20% - Accent1 2 5" xfId="183" xr:uid="{00000000-0005-0000-0000-000014000000}"/>
    <cellStyle name="20% - Accent1 2 6" xfId="184" xr:uid="{00000000-0005-0000-0000-000015000000}"/>
    <cellStyle name="20% - Accent1 2 7" xfId="185" xr:uid="{00000000-0005-0000-0000-000016000000}"/>
    <cellStyle name="20% - Accent1 2 8" xfId="186" xr:uid="{00000000-0005-0000-0000-000017000000}"/>
    <cellStyle name="20% - Accent1 2 9" xfId="187" xr:uid="{00000000-0005-0000-0000-000018000000}"/>
    <cellStyle name="20% - Accent1 2_Expense Material Breakdown" xfId="188" xr:uid="{00000000-0005-0000-0000-000019000000}"/>
    <cellStyle name="20% - Accent1 3" xfId="189" xr:uid="{00000000-0005-0000-0000-00001A000000}"/>
    <cellStyle name="20% - Accent1 3 2" xfId="190" xr:uid="{00000000-0005-0000-0000-00001B000000}"/>
    <cellStyle name="20% - Accent1 4" xfId="191" xr:uid="{00000000-0005-0000-0000-00001C000000}"/>
    <cellStyle name="20% - Accent1 4 2" xfId="192" xr:uid="{00000000-0005-0000-0000-00001D000000}"/>
    <cellStyle name="20% - Accent1 5" xfId="193" xr:uid="{00000000-0005-0000-0000-00001E000000}"/>
    <cellStyle name="20% - Accent1 6" xfId="194" xr:uid="{00000000-0005-0000-0000-00001F000000}"/>
    <cellStyle name="20% - Accent1 7 2" xfId="195" xr:uid="{00000000-0005-0000-0000-000020000000}"/>
    <cellStyle name="20% - Accent1 7 3" xfId="196" xr:uid="{00000000-0005-0000-0000-000021000000}"/>
    <cellStyle name="20% - Accent1 7 4" xfId="197" xr:uid="{00000000-0005-0000-0000-000022000000}"/>
    <cellStyle name="20% - Accent2 2" xfId="198" xr:uid="{00000000-0005-0000-0000-000023000000}"/>
    <cellStyle name="20% - Accent2 2 10" xfId="199" xr:uid="{00000000-0005-0000-0000-000024000000}"/>
    <cellStyle name="20% - Accent2 2 11" xfId="200" xr:uid="{00000000-0005-0000-0000-000025000000}"/>
    <cellStyle name="20% - Accent2 2 12" xfId="201" xr:uid="{00000000-0005-0000-0000-000026000000}"/>
    <cellStyle name="20% - Accent2 2 13" xfId="202" xr:uid="{00000000-0005-0000-0000-000027000000}"/>
    <cellStyle name="20% - Accent2 2 14" xfId="203" xr:uid="{00000000-0005-0000-0000-000028000000}"/>
    <cellStyle name="20% - Accent2 2 15" xfId="204" xr:uid="{00000000-0005-0000-0000-000029000000}"/>
    <cellStyle name="20% - Accent2 2 16" xfId="205" xr:uid="{00000000-0005-0000-0000-00002A000000}"/>
    <cellStyle name="20% - Accent2 2 17" xfId="206" xr:uid="{00000000-0005-0000-0000-00002B000000}"/>
    <cellStyle name="20% - Accent2 2 2" xfId="207" xr:uid="{00000000-0005-0000-0000-00002C000000}"/>
    <cellStyle name="20% - Accent2 2 3" xfId="208" xr:uid="{00000000-0005-0000-0000-00002D000000}"/>
    <cellStyle name="20% - Accent2 2 4" xfId="209" xr:uid="{00000000-0005-0000-0000-00002E000000}"/>
    <cellStyle name="20% - Accent2 2 5" xfId="210" xr:uid="{00000000-0005-0000-0000-00002F000000}"/>
    <cellStyle name="20% - Accent2 2 6" xfId="211" xr:uid="{00000000-0005-0000-0000-000030000000}"/>
    <cellStyle name="20% - Accent2 2 7" xfId="212" xr:uid="{00000000-0005-0000-0000-000031000000}"/>
    <cellStyle name="20% - Accent2 2 8" xfId="213" xr:uid="{00000000-0005-0000-0000-000032000000}"/>
    <cellStyle name="20% - Accent2 2 9" xfId="214" xr:uid="{00000000-0005-0000-0000-000033000000}"/>
    <cellStyle name="20% - Accent2 2_Expense Material Breakdown" xfId="215" xr:uid="{00000000-0005-0000-0000-000034000000}"/>
    <cellStyle name="20% - Accent2 3" xfId="216" xr:uid="{00000000-0005-0000-0000-000035000000}"/>
    <cellStyle name="20% - Accent2 3 2" xfId="217" xr:uid="{00000000-0005-0000-0000-000036000000}"/>
    <cellStyle name="20% - Accent2 4" xfId="218" xr:uid="{00000000-0005-0000-0000-000037000000}"/>
    <cellStyle name="20% - Accent2 4 2" xfId="219" xr:uid="{00000000-0005-0000-0000-000038000000}"/>
    <cellStyle name="20% - Accent2 5" xfId="220" xr:uid="{00000000-0005-0000-0000-000039000000}"/>
    <cellStyle name="20% - Accent2 6" xfId="221" xr:uid="{00000000-0005-0000-0000-00003A000000}"/>
    <cellStyle name="20% - Accent2 7 2" xfId="222" xr:uid="{00000000-0005-0000-0000-00003B000000}"/>
    <cellStyle name="20% - Accent2 7 3" xfId="223" xr:uid="{00000000-0005-0000-0000-00003C000000}"/>
    <cellStyle name="20% - Accent2 7 4" xfId="224" xr:uid="{00000000-0005-0000-0000-00003D000000}"/>
    <cellStyle name="20% - Accent3 2" xfId="225" xr:uid="{00000000-0005-0000-0000-00003E000000}"/>
    <cellStyle name="20% - Accent3 2 10" xfId="226" xr:uid="{00000000-0005-0000-0000-00003F000000}"/>
    <cellStyle name="20% - Accent3 2 11" xfId="227" xr:uid="{00000000-0005-0000-0000-000040000000}"/>
    <cellStyle name="20% - Accent3 2 12" xfId="228" xr:uid="{00000000-0005-0000-0000-000041000000}"/>
    <cellStyle name="20% - Accent3 2 13" xfId="229" xr:uid="{00000000-0005-0000-0000-000042000000}"/>
    <cellStyle name="20% - Accent3 2 14" xfId="230" xr:uid="{00000000-0005-0000-0000-000043000000}"/>
    <cellStyle name="20% - Accent3 2 15" xfId="231" xr:uid="{00000000-0005-0000-0000-000044000000}"/>
    <cellStyle name="20% - Accent3 2 16" xfId="232" xr:uid="{00000000-0005-0000-0000-000045000000}"/>
    <cellStyle name="20% - Accent3 2 17" xfId="233" xr:uid="{00000000-0005-0000-0000-000046000000}"/>
    <cellStyle name="20% - Accent3 2 2" xfId="234" xr:uid="{00000000-0005-0000-0000-000047000000}"/>
    <cellStyle name="20% - Accent3 2 3" xfId="235" xr:uid="{00000000-0005-0000-0000-000048000000}"/>
    <cellStyle name="20% - Accent3 2 4" xfId="236" xr:uid="{00000000-0005-0000-0000-000049000000}"/>
    <cellStyle name="20% - Accent3 2 5" xfId="237" xr:uid="{00000000-0005-0000-0000-00004A000000}"/>
    <cellStyle name="20% - Accent3 2 6" xfId="238" xr:uid="{00000000-0005-0000-0000-00004B000000}"/>
    <cellStyle name="20% - Accent3 2 7" xfId="239" xr:uid="{00000000-0005-0000-0000-00004C000000}"/>
    <cellStyle name="20% - Accent3 2 8" xfId="240" xr:uid="{00000000-0005-0000-0000-00004D000000}"/>
    <cellStyle name="20% - Accent3 2 9" xfId="241" xr:uid="{00000000-0005-0000-0000-00004E000000}"/>
    <cellStyle name="20% - Accent3 2_Expense Material Breakdown" xfId="242" xr:uid="{00000000-0005-0000-0000-00004F000000}"/>
    <cellStyle name="20% - Accent3 3" xfId="243" xr:uid="{00000000-0005-0000-0000-000050000000}"/>
    <cellStyle name="20% - Accent3 3 2" xfId="244" xr:uid="{00000000-0005-0000-0000-000051000000}"/>
    <cellStyle name="20% - Accent3 4" xfId="245" xr:uid="{00000000-0005-0000-0000-000052000000}"/>
    <cellStyle name="20% - Accent3 4 2" xfId="246" xr:uid="{00000000-0005-0000-0000-000053000000}"/>
    <cellStyle name="20% - Accent3 5" xfId="247" xr:uid="{00000000-0005-0000-0000-000054000000}"/>
    <cellStyle name="20% - Accent3 6" xfId="248" xr:uid="{00000000-0005-0000-0000-000055000000}"/>
    <cellStyle name="20% - Accent3 7 2" xfId="249" xr:uid="{00000000-0005-0000-0000-000056000000}"/>
    <cellStyle name="20% - Accent3 7 3" xfId="250" xr:uid="{00000000-0005-0000-0000-000057000000}"/>
    <cellStyle name="20% - Accent3 7 4" xfId="251" xr:uid="{00000000-0005-0000-0000-000058000000}"/>
    <cellStyle name="20% - Accent4 2" xfId="252" xr:uid="{00000000-0005-0000-0000-000059000000}"/>
    <cellStyle name="20% - Accent4 2 10" xfId="253" xr:uid="{00000000-0005-0000-0000-00005A000000}"/>
    <cellStyle name="20% - Accent4 2 11" xfId="254" xr:uid="{00000000-0005-0000-0000-00005B000000}"/>
    <cellStyle name="20% - Accent4 2 12" xfId="255" xr:uid="{00000000-0005-0000-0000-00005C000000}"/>
    <cellStyle name="20% - Accent4 2 13" xfId="256" xr:uid="{00000000-0005-0000-0000-00005D000000}"/>
    <cellStyle name="20% - Accent4 2 14" xfId="257" xr:uid="{00000000-0005-0000-0000-00005E000000}"/>
    <cellStyle name="20% - Accent4 2 15" xfId="258" xr:uid="{00000000-0005-0000-0000-00005F000000}"/>
    <cellStyle name="20% - Accent4 2 16" xfId="259" xr:uid="{00000000-0005-0000-0000-000060000000}"/>
    <cellStyle name="20% - Accent4 2 17" xfId="260" xr:uid="{00000000-0005-0000-0000-000061000000}"/>
    <cellStyle name="20% - Accent4 2 2" xfId="261" xr:uid="{00000000-0005-0000-0000-000062000000}"/>
    <cellStyle name="20% - Accent4 2 3" xfId="262" xr:uid="{00000000-0005-0000-0000-000063000000}"/>
    <cellStyle name="20% - Accent4 2 4" xfId="263" xr:uid="{00000000-0005-0000-0000-000064000000}"/>
    <cellStyle name="20% - Accent4 2 5" xfId="264" xr:uid="{00000000-0005-0000-0000-000065000000}"/>
    <cellStyle name="20% - Accent4 2 6" xfId="265" xr:uid="{00000000-0005-0000-0000-000066000000}"/>
    <cellStyle name="20% - Accent4 2 7" xfId="266" xr:uid="{00000000-0005-0000-0000-000067000000}"/>
    <cellStyle name="20% - Accent4 2 8" xfId="267" xr:uid="{00000000-0005-0000-0000-000068000000}"/>
    <cellStyle name="20% - Accent4 2 9" xfId="268" xr:uid="{00000000-0005-0000-0000-000069000000}"/>
    <cellStyle name="20% - Accent4 2_Expense Material Breakdown" xfId="269" xr:uid="{00000000-0005-0000-0000-00006A000000}"/>
    <cellStyle name="20% - Accent4 3" xfId="270" xr:uid="{00000000-0005-0000-0000-00006B000000}"/>
    <cellStyle name="20% - Accent4 3 2" xfId="271" xr:uid="{00000000-0005-0000-0000-00006C000000}"/>
    <cellStyle name="20% - Accent4 4" xfId="272" xr:uid="{00000000-0005-0000-0000-00006D000000}"/>
    <cellStyle name="20% - Accent4 4 2" xfId="273" xr:uid="{00000000-0005-0000-0000-00006E000000}"/>
    <cellStyle name="20% - Accent4 5" xfId="274" xr:uid="{00000000-0005-0000-0000-00006F000000}"/>
    <cellStyle name="20% - Accent4 6" xfId="275" xr:uid="{00000000-0005-0000-0000-000070000000}"/>
    <cellStyle name="20% - Accent4 7 2" xfId="276" xr:uid="{00000000-0005-0000-0000-000071000000}"/>
    <cellStyle name="20% - Accent4 7 3" xfId="277" xr:uid="{00000000-0005-0000-0000-000072000000}"/>
    <cellStyle name="20% - Accent4 7 4" xfId="278" xr:uid="{00000000-0005-0000-0000-000073000000}"/>
    <cellStyle name="20% - Accent5 2" xfId="279" xr:uid="{00000000-0005-0000-0000-000074000000}"/>
    <cellStyle name="20% - Accent5 2 10" xfId="280" xr:uid="{00000000-0005-0000-0000-000075000000}"/>
    <cellStyle name="20% - Accent5 2 11" xfId="281" xr:uid="{00000000-0005-0000-0000-000076000000}"/>
    <cellStyle name="20% - Accent5 2 12" xfId="282" xr:uid="{00000000-0005-0000-0000-000077000000}"/>
    <cellStyle name="20% - Accent5 2 13" xfId="283" xr:uid="{00000000-0005-0000-0000-000078000000}"/>
    <cellStyle name="20% - Accent5 2 14" xfId="284" xr:uid="{00000000-0005-0000-0000-000079000000}"/>
    <cellStyle name="20% - Accent5 2 15" xfId="285" xr:uid="{00000000-0005-0000-0000-00007A000000}"/>
    <cellStyle name="20% - Accent5 2 16" xfId="286" xr:uid="{00000000-0005-0000-0000-00007B000000}"/>
    <cellStyle name="20% - Accent5 2 17" xfId="287" xr:uid="{00000000-0005-0000-0000-00007C000000}"/>
    <cellStyle name="20% - Accent5 2 2" xfId="288" xr:uid="{00000000-0005-0000-0000-00007D000000}"/>
    <cellStyle name="20% - Accent5 2 3" xfId="289" xr:uid="{00000000-0005-0000-0000-00007E000000}"/>
    <cellStyle name="20% - Accent5 2 4" xfId="290" xr:uid="{00000000-0005-0000-0000-00007F000000}"/>
    <cellStyle name="20% - Accent5 2 5" xfId="291" xr:uid="{00000000-0005-0000-0000-000080000000}"/>
    <cellStyle name="20% - Accent5 2 6" xfId="292" xr:uid="{00000000-0005-0000-0000-000081000000}"/>
    <cellStyle name="20% - Accent5 2 7" xfId="293" xr:uid="{00000000-0005-0000-0000-000082000000}"/>
    <cellStyle name="20% - Accent5 2 8" xfId="294" xr:uid="{00000000-0005-0000-0000-000083000000}"/>
    <cellStyle name="20% - Accent5 2 9" xfId="295" xr:uid="{00000000-0005-0000-0000-000084000000}"/>
    <cellStyle name="20% - Accent5 2_Expense Material Breakdown" xfId="296" xr:uid="{00000000-0005-0000-0000-000085000000}"/>
    <cellStyle name="20% - Accent5 3" xfId="297" xr:uid="{00000000-0005-0000-0000-000086000000}"/>
    <cellStyle name="20% - Accent5 3 2" xfId="298" xr:uid="{00000000-0005-0000-0000-000087000000}"/>
    <cellStyle name="20% - Accent5 4" xfId="299" xr:uid="{00000000-0005-0000-0000-000088000000}"/>
    <cellStyle name="20% - Accent5 4 2" xfId="300" xr:uid="{00000000-0005-0000-0000-000089000000}"/>
    <cellStyle name="20% - Accent5 5" xfId="301" xr:uid="{00000000-0005-0000-0000-00008A000000}"/>
    <cellStyle name="20% - Accent5 6" xfId="302" xr:uid="{00000000-0005-0000-0000-00008B000000}"/>
    <cellStyle name="20% - Accent5 7 2" xfId="303" xr:uid="{00000000-0005-0000-0000-00008C000000}"/>
    <cellStyle name="20% - Accent5 7 3" xfId="304" xr:uid="{00000000-0005-0000-0000-00008D000000}"/>
    <cellStyle name="20% - Accent5 7 4" xfId="305" xr:uid="{00000000-0005-0000-0000-00008E000000}"/>
    <cellStyle name="20% - Accent6 2" xfId="306" xr:uid="{00000000-0005-0000-0000-00008F000000}"/>
    <cellStyle name="20% - Accent6 2 10" xfId="307" xr:uid="{00000000-0005-0000-0000-000090000000}"/>
    <cellStyle name="20% - Accent6 2 11" xfId="308" xr:uid="{00000000-0005-0000-0000-000091000000}"/>
    <cellStyle name="20% - Accent6 2 12" xfId="309" xr:uid="{00000000-0005-0000-0000-000092000000}"/>
    <cellStyle name="20% - Accent6 2 13" xfId="310" xr:uid="{00000000-0005-0000-0000-000093000000}"/>
    <cellStyle name="20% - Accent6 2 14" xfId="311" xr:uid="{00000000-0005-0000-0000-000094000000}"/>
    <cellStyle name="20% - Accent6 2 15" xfId="312" xr:uid="{00000000-0005-0000-0000-000095000000}"/>
    <cellStyle name="20% - Accent6 2 16" xfId="313" xr:uid="{00000000-0005-0000-0000-000096000000}"/>
    <cellStyle name="20% - Accent6 2 17" xfId="314" xr:uid="{00000000-0005-0000-0000-000097000000}"/>
    <cellStyle name="20% - Accent6 2 2" xfId="315" xr:uid="{00000000-0005-0000-0000-000098000000}"/>
    <cellStyle name="20% - Accent6 2 3" xfId="316" xr:uid="{00000000-0005-0000-0000-000099000000}"/>
    <cellStyle name="20% - Accent6 2 4" xfId="317" xr:uid="{00000000-0005-0000-0000-00009A000000}"/>
    <cellStyle name="20% - Accent6 2 5" xfId="318" xr:uid="{00000000-0005-0000-0000-00009B000000}"/>
    <cellStyle name="20% - Accent6 2 6" xfId="319" xr:uid="{00000000-0005-0000-0000-00009C000000}"/>
    <cellStyle name="20% - Accent6 2 7" xfId="320" xr:uid="{00000000-0005-0000-0000-00009D000000}"/>
    <cellStyle name="20% - Accent6 2 8" xfId="321" xr:uid="{00000000-0005-0000-0000-00009E000000}"/>
    <cellStyle name="20% - Accent6 2 9" xfId="322" xr:uid="{00000000-0005-0000-0000-00009F000000}"/>
    <cellStyle name="20% - Accent6 2_Expense Material Breakdown" xfId="323" xr:uid="{00000000-0005-0000-0000-0000A0000000}"/>
    <cellStyle name="20% - Accent6 3" xfId="324" xr:uid="{00000000-0005-0000-0000-0000A1000000}"/>
    <cellStyle name="20% - Accent6 3 2" xfId="325" xr:uid="{00000000-0005-0000-0000-0000A2000000}"/>
    <cellStyle name="20% - Accent6 4" xfId="326" xr:uid="{00000000-0005-0000-0000-0000A3000000}"/>
    <cellStyle name="20% - Accent6 4 2" xfId="327" xr:uid="{00000000-0005-0000-0000-0000A4000000}"/>
    <cellStyle name="20% - Accent6 5" xfId="328" xr:uid="{00000000-0005-0000-0000-0000A5000000}"/>
    <cellStyle name="20% - Accent6 6" xfId="329" xr:uid="{00000000-0005-0000-0000-0000A6000000}"/>
    <cellStyle name="20% - Accent6 7 2" xfId="330" xr:uid="{00000000-0005-0000-0000-0000A7000000}"/>
    <cellStyle name="20% - Accent6 7 3" xfId="331" xr:uid="{00000000-0005-0000-0000-0000A8000000}"/>
    <cellStyle name="20% - Accent6 7 4" xfId="332" xr:uid="{00000000-0005-0000-0000-0000A9000000}"/>
    <cellStyle name="40% - Accent1 2" xfId="333" xr:uid="{00000000-0005-0000-0000-0000AA000000}"/>
    <cellStyle name="40% - Accent1 2 10" xfId="334" xr:uid="{00000000-0005-0000-0000-0000AB000000}"/>
    <cellStyle name="40% - Accent1 2 11" xfId="335" xr:uid="{00000000-0005-0000-0000-0000AC000000}"/>
    <cellStyle name="40% - Accent1 2 12" xfId="336" xr:uid="{00000000-0005-0000-0000-0000AD000000}"/>
    <cellStyle name="40% - Accent1 2 13" xfId="337" xr:uid="{00000000-0005-0000-0000-0000AE000000}"/>
    <cellStyle name="40% - Accent1 2 14" xfId="338" xr:uid="{00000000-0005-0000-0000-0000AF000000}"/>
    <cellStyle name="40% - Accent1 2 15" xfId="339" xr:uid="{00000000-0005-0000-0000-0000B0000000}"/>
    <cellStyle name="40% - Accent1 2 16" xfId="340" xr:uid="{00000000-0005-0000-0000-0000B1000000}"/>
    <cellStyle name="40% - Accent1 2 17" xfId="341" xr:uid="{00000000-0005-0000-0000-0000B2000000}"/>
    <cellStyle name="40% - Accent1 2 2" xfId="342" xr:uid="{00000000-0005-0000-0000-0000B3000000}"/>
    <cellStyle name="40% - Accent1 2 3" xfId="343" xr:uid="{00000000-0005-0000-0000-0000B4000000}"/>
    <cellStyle name="40% - Accent1 2 4" xfId="344" xr:uid="{00000000-0005-0000-0000-0000B5000000}"/>
    <cellStyle name="40% - Accent1 2 5" xfId="345" xr:uid="{00000000-0005-0000-0000-0000B6000000}"/>
    <cellStyle name="40% - Accent1 2 6" xfId="346" xr:uid="{00000000-0005-0000-0000-0000B7000000}"/>
    <cellStyle name="40% - Accent1 2 7" xfId="347" xr:uid="{00000000-0005-0000-0000-0000B8000000}"/>
    <cellStyle name="40% - Accent1 2 8" xfId="348" xr:uid="{00000000-0005-0000-0000-0000B9000000}"/>
    <cellStyle name="40% - Accent1 2 9" xfId="349" xr:uid="{00000000-0005-0000-0000-0000BA000000}"/>
    <cellStyle name="40% - Accent1 2_Expense Material Breakdown" xfId="350" xr:uid="{00000000-0005-0000-0000-0000BB000000}"/>
    <cellStyle name="40% - Accent1 3" xfId="351" xr:uid="{00000000-0005-0000-0000-0000BC000000}"/>
    <cellStyle name="40% - Accent1 3 2" xfId="352" xr:uid="{00000000-0005-0000-0000-0000BD000000}"/>
    <cellStyle name="40% - Accent1 4" xfId="353" xr:uid="{00000000-0005-0000-0000-0000BE000000}"/>
    <cellStyle name="40% - Accent1 4 2" xfId="354" xr:uid="{00000000-0005-0000-0000-0000BF000000}"/>
    <cellStyle name="40% - Accent1 5" xfId="355" xr:uid="{00000000-0005-0000-0000-0000C0000000}"/>
    <cellStyle name="40% - Accent1 6" xfId="356" xr:uid="{00000000-0005-0000-0000-0000C1000000}"/>
    <cellStyle name="40% - Accent1 7 2" xfId="357" xr:uid="{00000000-0005-0000-0000-0000C2000000}"/>
    <cellStyle name="40% - Accent1 7 3" xfId="358" xr:uid="{00000000-0005-0000-0000-0000C3000000}"/>
    <cellStyle name="40% - Accent1 7 4" xfId="359" xr:uid="{00000000-0005-0000-0000-0000C4000000}"/>
    <cellStyle name="40% - Accent2 2" xfId="360" xr:uid="{00000000-0005-0000-0000-0000C5000000}"/>
    <cellStyle name="40% - Accent2 2 10" xfId="361" xr:uid="{00000000-0005-0000-0000-0000C6000000}"/>
    <cellStyle name="40% - Accent2 2 11" xfId="362" xr:uid="{00000000-0005-0000-0000-0000C7000000}"/>
    <cellStyle name="40% - Accent2 2 12" xfId="363" xr:uid="{00000000-0005-0000-0000-0000C8000000}"/>
    <cellStyle name="40% - Accent2 2 13" xfId="364" xr:uid="{00000000-0005-0000-0000-0000C9000000}"/>
    <cellStyle name="40% - Accent2 2 14" xfId="365" xr:uid="{00000000-0005-0000-0000-0000CA000000}"/>
    <cellStyle name="40% - Accent2 2 15" xfId="366" xr:uid="{00000000-0005-0000-0000-0000CB000000}"/>
    <cellStyle name="40% - Accent2 2 16" xfId="367" xr:uid="{00000000-0005-0000-0000-0000CC000000}"/>
    <cellStyle name="40% - Accent2 2 17" xfId="368" xr:uid="{00000000-0005-0000-0000-0000CD000000}"/>
    <cellStyle name="40% - Accent2 2 2" xfId="369" xr:uid="{00000000-0005-0000-0000-0000CE000000}"/>
    <cellStyle name="40% - Accent2 2 3" xfId="370" xr:uid="{00000000-0005-0000-0000-0000CF000000}"/>
    <cellStyle name="40% - Accent2 2 4" xfId="371" xr:uid="{00000000-0005-0000-0000-0000D0000000}"/>
    <cellStyle name="40% - Accent2 2 5" xfId="372" xr:uid="{00000000-0005-0000-0000-0000D1000000}"/>
    <cellStyle name="40% - Accent2 2 6" xfId="373" xr:uid="{00000000-0005-0000-0000-0000D2000000}"/>
    <cellStyle name="40% - Accent2 2 7" xfId="374" xr:uid="{00000000-0005-0000-0000-0000D3000000}"/>
    <cellStyle name="40% - Accent2 2 8" xfId="375" xr:uid="{00000000-0005-0000-0000-0000D4000000}"/>
    <cellStyle name="40% - Accent2 2 9" xfId="376" xr:uid="{00000000-0005-0000-0000-0000D5000000}"/>
    <cellStyle name="40% - Accent2 2_Expense Material Breakdown" xfId="377" xr:uid="{00000000-0005-0000-0000-0000D6000000}"/>
    <cellStyle name="40% - Accent2 3" xfId="378" xr:uid="{00000000-0005-0000-0000-0000D7000000}"/>
    <cellStyle name="40% - Accent2 3 2" xfId="379" xr:uid="{00000000-0005-0000-0000-0000D8000000}"/>
    <cellStyle name="40% - Accent2 4" xfId="380" xr:uid="{00000000-0005-0000-0000-0000D9000000}"/>
    <cellStyle name="40% - Accent2 4 2" xfId="381" xr:uid="{00000000-0005-0000-0000-0000DA000000}"/>
    <cellStyle name="40% - Accent2 5" xfId="382" xr:uid="{00000000-0005-0000-0000-0000DB000000}"/>
    <cellStyle name="40% - Accent2 6" xfId="383" xr:uid="{00000000-0005-0000-0000-0000DC000000}"/>
    <cellStyle name="40% - Accent2 7 2" xfId="384" xr:uid="{00000000-0005-0000-0000-0000DD000000}"/>
    <cellStyle name="40% - Accent2 7 3" xfId="385" xr:uid="{00000000-0005-0000-0000-0000DE000000}"/>
    <cellStyle name="40% - Accent2 7 4" xfId="386" xr:uid="{00000000-0005-0000-0000-0000DF000000}"/>
    <cellStyle name="40% - Accent3 2" xfId="387" xr:uid="{00000000-0005-0000-0000-0000E0000000}"/>
    <cellStyle name="40% - Accent3 2 10" xfId="388" xr:uid="{00000000-0005-0000-0000-0000E1000000}"/>
    <cellStyle name="40% - Accent3 2 11" xfId="389" xr:uid="{00000000-0005-0000-0000-0000E2000000}"/>
    <cellStyle name="40% - Accent3 2 12" xfId="390" xr:uid="{00000000-0005-0000-0000-0000E3000000}"/>
    <cellStyle name="40% - Accent3 2 13" xfId="391" xr:uid="{00000000-0005-0000-0000-0000E4000000}"/>
    <cellStyle name="40% - Accent3 2 14" xfId="392" xr:uid="{00000000-0005-0000-0000-0000E5000000}"/>
    <cellStyle name="40% - Accent3 2 15" xfId="393" xr:uid="{00000000-0005-0000-0000-0000E6000000}"/>
    <cellStyle name="40% - Accent3 2 16" xfId="394" xr:uid="{00000000-0005-0000-0000-0000E7000000}"/>
    <cellStyle name="40% - Accent3 2 17" xfId="395" xr:uid="{00000000-0005-0000-0000-0000E8000000}"/>
    <cellStyle name="40% - Accent3 2 2" xfId="396" xr:uid="{00000000-0005-0000-0000-0000E9000000}"/>
    <cellStyle name="40% - Accent3 2 3" xfId="397" xr:uid="{00000000-0005-0000-0000-0000EA000000}"/>
    <cellStyle name="40% - Accent3 2 4" xfId="398" xr:uid="{00000000-0005-0000-0000-0000EB000000}"/>
    <cellStyle name="40% - Accent3 2 5" xfId="399" xr:uid="{00000000-0005-0000-0000-0000EC000000}"/>
    <cellStyle name="40% - Accent3 2 6" xfId="400" xr:uid="{00000000-0005-0000-0000-0000ED000000}"/>
    <cellStyle name="40% - Accent3 2 7" xfId="401" xr:uid="{00000000-0005-0000-0000-0000EE000000}"/>
    <cellStyle name="40% - Accent3 2 8" xfId="402" xr:uid="{00000000-0005-0000-0000-0000EF000000}"/>
    <cellStyle name="40% - Accent3 2 9" xfId="403" xr:uid="{00000000-0005-0000-0000-0000F0000000}"/>
    <cellStyle name="40% - Accent3 2_Expense Material Breakdown" xfId="404" xr:uid="{00000000-0005-0000-0000-0000F1000000}"/>
    <cellStyle name="40% - Accent3 3" xfId="405" xr:uid="{00000000-0005-0000-0000-0000F2000000}"/>
    <cellStyle name="40% - Accent3 3 2" xfId="406" xr:uid="{00000000-0005-0000-0000-0000F3000000}"/>
    <cellStyle name="40% - Accent3 4" xfId="407" xr:uid="{00000000-0005-0000-0000-0000F4000000}"/>
    <cellStyle name="40% - Accent3 4 2" xfId="408" xr:uid="{00000000-0005-0000-0000-0000F5000000}"/>
    <cellStyle name="40% - Accent3 5" xfId="409" xr:uid="{00000000-0005-0000-0000-0000F6000000}"/>
    <cellStyle name="40% - Accent3 6" xfId="410" xr:uid="{00000000-0005-0000-0000-0000F7000000}"/>
    <cellStyle name="40% - Accent3 7 2" xfId="411" xr:uid="{00000000-0005-0000-0000-0000F8000000}"/>
    <cellStyle name="40% - Accent3 7 3" xfId="412" xr:uid="{00000000-0005-0000-0000-0000F9000000}"/>
    <cellStyle name="40% - Accent3 7 4" xfId="413" xr:uid="{00000000-0005-0000-0000-0000FA000000}"/>
    <cellStyle name="40% - Accent4 2" xfId="414" xr:uid="{00000000-0005-0000-0000-0000FB000000}"/>
    <cellStyle name="40% - Accent4 2 10" xfId="415" xr:uid="{00000000-0005-0000-0000-0000FC000000}"/>
    <cellStyle name="40% - Accent4 2 11" xfId="416" xr:uid="{00000000-0005-0000-0000-0000FD000000}"/>
    <cellStyle name="40% - Accent4 2 12" xfId="417" xr:uid="{00000000-0005-0000-0000-0000FE000000}"/>
    <cellStyle name="40% - Accent4 2 13" xfId="418" xr:uid="{00000000-0005-0000-0000-0000FF000000}"/>
    <cellStyle name="40% - Accent4 2 14" xfId="419" xr:uid="{00000000-0005-0000-0000-000000010000}"/>
    <cellStyle name="40% - Accent4 2 15" xfId="420" xr:uid="{00000000-0005-0000-0000-000001010000}"/>
    <cellStyle name="40% - Accent4 2 16" xfId="421" xr:uid="{00000000-0005-0000-0000-000002010000}"/>
    <cellStyle name="40% - Accent4 2 17" xfId="422" xr:uid="{00000000-0005-0000-0000-000003010000}"/>
    <cellStyle name="40% - Accent4 2 2" xfId="423" xr:uid="{00000000-0005-0000-0000-000004010000}"/>
    <cellStyle name="40% - Accent4 2 3" xfId="424" xr:uid="{00000000-0005-0000-0000-000005010000}"/>
    <cellStyle name="40% - Accent4 2 4" xfId="425" xr:uid="{00000000-0005-0000-0000-000006010000}"/>
    <cellStyle name="40% - Accent4 2 5" xfId="426" xr:uid="{00000000-0005-0000-0000-000007010000}"/>
    <cellStyle name="40% - Accent4 2 6" xfId="427" xr:uid="{00000000-0005-0000-0000-000008010000}"/>
    <cellStyle name="40% - Accent4 2 7" xfId="428" xr:uid="{00000000-0005-0000-0000-000009010000}"/>
    <cellStyle name="40% - Accent4 2 8" xfId="429" xr:uid="{00000000-0005-0000-0000-00000A010000}"/>
    <cellStyle name="40% - Accent4 2 9" xfId="430" xr:uid="{00000000-0005-0000-0000-00000B010000}"/>
    <cellStyle name="40% - Accent4 2_Expense Material Breakdown" xfId="431" xr:uid="{00000000-0005-0000-0000-00000C010000}"/>
    <cellStyle name="40% - Accent4 3" xfId="432" xr:uid="{00000000-0005-0000-0000-00000D010000}"/>
    <cellStyle name="40% - Accent4 3 2" xfId="433" xr:uid="{00000000-0005-0000-0000-00000E010000}"/>
    <cellStyle name="40% - Accent4 4" xfId="434" xr:uid="{00000000-0005-0000-0000-00000F010000}"/>
    <cellStyle name="40% - Accent4 4 2" xfId="435" xr:uid="{00000000-0005-0000-0000-000010010000}"/>
    <cellStyle name="40% - Accent4 5" xfId="436" xr:uid="{00000000-0005-0000-0000-000011010000}"/>
    <cellStyle name="40% - Accent4 6" xfId="437" xr:uid="{00000000-0005-0000-0000-000012010000}"/>
    <cellStyle name="40% - Accent4 7 2" xfId="438" xr:uid="{00000000-0005-0000-0000-000013010000}"/>
    <cellStyle name="40% - Accent4 7 3" xfId="439" xr:uid="{00000000-0005-0000-0000-000014010000}"/>
    <cellStyle name="40% - Accent4 7 4" xfId="440" xr:uid="{00000000-0005-0000-0000-000015010000}"/>
    <cellStyle name="40% - Accent5 2" xfId="441" xr:uid="{00000000-0005-0000-0000-000016010000}"/>
    <cellStyle name="40% - Accent5 2 10" xfId="442" xr:uid="{00000000-0005-0000-0000-000017010000}"/>
    <cellStyle name="40% - Accent5 2 11" xfId="443" xr:uid="{00000000-0005-0000-0000-000018010000}"/>
    <cellStyle name="40% - Accent5 2 12" xfId="444" xr:uid="{00000000-0005-0000-0000-000019010000}"/>
    <cellStyle name="40% - Accent5 2 13" xfId="445" xr:uid="{00000000-0005-0000-0000-00001A010000}"/>
    <cellStyle name="40% - Accent5 2 14" xfId="446" xr:uid="{00000000-0005-0000-0000-00001B010000}"/>
    <cellStyle name="40% - Accent5 2 15" xfId="447" xr:uid="{00000000-0005-0000-0000-00001C010000}"/>
    <cellStyle name="40% - Accent5 2 16" xfId="448" xr:uid="{00000000-0005-0000-0000-00001D010000}"/>
    <cellStyle name="40% - Accent5 2 17" xfId="449" xr:uid="{00000000-0005-0000-0000-00001E010000}"/>
    <cellStyle name="40% - Accent5 2 2" xfId="450" xr:uid="{00000000-0005-0000-0000-00001F010000}"/>
    <cellStyle name="40% - Accent5 2 3" xfId="451" xr:uid="{00000000-0005-0000-0000-000020010000}"/>
    <cellStyle name="40% - Accent5 2 4" xfId="452" xr:uid="{00000000-0005-0000-0000-000021010000}"/>
    <cellStyle name="40% - Accent5 2 5" xfId="453" xr:uid="{00000000-0005-0000-0000-000022010000}"/>
    <cellStyle name="40% - Accent5 2 6" xfId="454" xr:uid="{00000000-0005-0000-0000-000023010000}"/>
    <cellStyle name="40% - Accent5 2 7" xfId="455" xr:uid="{00000000-0005-0000-0000-000024010000}"/>
    <cellStyle name="40% - Accent5 2 8" xfId="456" xr:uid="{00000000-0005-0000-0000-000025010000}"/>
    <cellStyle name="40% - Accent5 2 9" xfId="457" xr:uid="{00000000-0005-0000-0000-000026010000}"/>
    <cellStyle name="40% - Accent5 2_Expense Material Breakdown" xfId="458" xr:uid="{00000000-0005-0000-0000-000027010000}"/>
    <cellStyle name="40% - Accent5 3" xfId="459" xr:uid="{00000000-0005-0000-0000-000028010000}"/>
    <cellStyle name="40% - Accent5 3 2" xfId="460" xr:uid="{00000000-0005-0000-0000-000029010000}"/>
    <cellStyle name="40% - Accent5 4" xfId="461" xr:uid="{00000000-0005-0000-0000-00002A010000}"/>
    <cellStyle name="40% - Accent5 4 2" xfId="462" xr:uid="{00000000-0005-0000-0000-00002B010000}"/>
    <cellStyle name="40% - Accent5 5" xfId="463" xr:uid="{00000000-0005-0000-0000-00002C010000}"/>
    <cellStyle name="40% - Accent5 6" xfId="464" xr:uid="{00000000-0005-0000-0000-00002D010000}"/>
    <cellStyle name="40% - Accent5 7 2" xfId="465" xr:uid="{00000000-0005-0000-0000-00002E010000}"/>
    <cellStyle name="40% - Accent5 7 3" xfId="466" xr:uid="{00000000-0005-0000-0000-00002F010000}"/>
    <cellStyle name="40% - Accent5 7 4" xfId="467" xr:uid="{00000000-0005-0000-0000-000030010000}"/>
    <cellStyle name="40% - Accent6 2" xfId="468" xr:uid="{00000000-0005-0000-0000-000031010000}"/>
    <cellStyle name="40% - Accent6 2 10" xfId="469" xr:uid="{00000000-0005-0000-0000-000032010000}"/>
    <cellStyle name="40% - Accent6 2 11" xfId="470" xr:uid="{00000000-0005-0000-0000-000033010000}"/>
    <cellStyle name="40% - Accent6 2 12" xfId="471" xr:uid="{00000000-0005-0000-0000-000034010000}"/>
    <cellStyle name="40% - Accent6 2 13" xfId="472" xr:uid="{00000000-0005-0000-0000-000035010000}"/>
    <cellStyle name="40% - Accent6 2 14" xfId="473" xr:uid="{00000000-0005-0000-0000-000036010000}"/>
    <cellStyle name="40% - Accent6 2 15" xfId="474" xr:uid="{00000000-0005-0000-0000-000037010000}"/>
    <cellStyle name="40% - Accent6 2 16" xfId="475" xr:uid="{00000000-0005-0000-0000-000038010000}"/>
    <cellStyle name="40% - Accent6 2 17" xfId="476" xr:uid="{00000000-0005-0000-0000-000039010000}"/>
    <cellStyle name="40% - Accent6 2 2" xfId="477" xr:uid="{00000000-0005-0000-0000-00003A010000}"/>
    <cellStyle name="40% - Accent6 2 3" xfId="478" xr:uid="{00000000-0005-0000-0000-00003B010000}"/>
    <cellStyle name="40% - Accent6 2 4" xfId="479" xr:uid="{00000000-0005-0000-0000-00003C010000}"/>
    <cellStyle name="40% - Accent6 2 5" xfId="480" xr:uid="{00000000-0005-0000-0000-00003D010000}"/>
    <cellStyle name="40% - Accent6 2 6" xfId="481" xr:uid="{00000000-0005-0000-0000-00003E010000}"/>
    <cellStyle name="40% - Accent6 2 7" xfId="482" xr:uid="{00000000-0005-0000-0000-00003F010000}"/>
    <cellStyle name="40% - Accent6 2 8" xfId="483" xr:uid="{00000000-0005-0000-0000-000040010000}"/>
    <cellStyle name="40% - Accent6 2 9" xfId="484" xr:uid="{00000000-0005-0000-0000-000041010000}"/>
    <cellStyle name="40% - Accent6 2_Expense Material Breakdown" xfId="485" xr:uid="{00000000-0005-0000-0000-000042010000}"/>
    <cellStyle name="40% - Accent6 3" xfId="486" xr:uid="{00000000-0005-0000-0000-000043010000}"/>
    <cellStyle name="40% - Accent6 3 2" xfId="487" xr:uid="{00000000-0005-0000-0000-000044010000}"/>
    <cellStyle name="40% - Accent6 4" xfId="488" xr:uid="{00000000-0005-0000-0000-000045010000}"/>
    <cellStyle name="40% - Accent6 4 2" xfId="489" xr:uid="{00000000-0005-0000-0000-000046010000}"/>
    <cellStyle name="40% - Accent6 5" xfId="490" xr:uid="{00000000-0005-0000-0000-000047010000}"/>
    <cellStyle name="40% - Accent6 6" xfId="491" xr:uid="{00000000-0005-0000-0000-000048010000}"/>
    <cellStyle name="40% - Accent6 7 2" xfId="492" xr:uid="{00000000-0005-0000-0000-000049010000}"/>
    <cellStyle name="40% - Accent6 7 3" xfId="493" xr:uid="{00000000-0005-0000-0000-00004A010000}"/>
    <cellStyle name="40% - Accent6 7 4" xfId="494" xr:uid="{00000000-0005-0000-0000-00004B010000}"/>
    <cellStyle name="60% - Accent1 2" xfId="495" xr:uid="{00000000-0005-0000-0000-00004C010000}"/>
    <cellStyle name="60% - Accent1 2 2" xfId="496" xr:uid="{00000000-0005-0000-0000-00004D010000}"/>
    <cellStyle name="60% - Accent1 2 3" xfId="497" xr:uid="{00000000-0005-0000-0000-00004E010000}"/>
    <cellStyle name="60% - Accent1 2 4" xfId="498" xr:uid="{00000000-0005-0000-0000-00004F010000}"/>
    <cellStyle name="60% - Accent1 2 5" xfId="499" xr:uid="{00000000-0005-0000-0000-000050010000}"/>
    <cellStyle name="60% - Accent1 2 6" xfId="500" xr:uid="{00000000-0005-0000-0000-000051010000}"/>
    <cellStyle name="60% - Accent1 3" xfId="501" xr:uid="{00000000-0005-0000-0000-000052010000}"/>
    <cellStyle name="60% - Accent1 3 2" xfId="502" xr:uid="{00000000-0005-0000-0000-000053010000}"/>
    <cellStyle name="60% - Accent1 4" xfId="503" xr:uid="{00000000-0005-0000-0000-000054010000}"/>
    <cellStyle name="60% - Accent1 4 2" xfId="504" xr:uid="{00000000-0005-0000-0000-000055010000}"/>
    <cellStyle name="60% - Accent1 5" xfId="505" xr:uid="{00000000-0005-0000-0000-000056010000}"/>
    <cellStyle name="60% - Accent1 6" xfId="506" xr:uid="{00000000-0005-0000-0000-000057010000}"/>
    <cellStyle name="60% - Accent1 7 2" xfId="507" xr:uid="{00000000-0005-0000-0000-000058010000}"/>
    <cellStyle name="60% - Accent1 7 3" xfId="508" xr:uid="{00000000-0005-0000-0000-000059010000}"/>
    <cellStyle name="60% - Accent1 7 4" xfId="509" xr:uid="{00000000-0005-0000-0000-00005A010000}"/>
    <cellStyle name="60% - Accent2 2" xfId="510" xr:uid="{00000000-0005-0000-0000-00005B010000}"/>
    <cellStyle name="60% - Accent2 2 2" xfId="511" xr:uid="{00000000-0005-0000-0000-00005C010000}"/>
    <cellStyle name="60% - Accent2 2 3" xfId="512" xr:uid="{00000000-0005-0000-0000-00005D010000}"/>
    <cellStyle name="60% - Accent2 2 4" xfId="513" xr:uid="{00000000-0005-0000-0000-00005E010000}"/>
    <cellStyle name="60% - Accent2 2 5" xfId="514" xr:uid="{00000000-0005-0000-0000-00005F010000}"/>
    <cellStyle name="60% - Accent2 2 6" xfId="515" xr:uid="{00000000-0005-0000-0000-000060010000}"/>
    <cellStyle name="60% - Accent2 3" xfId="516" xr:uid="{00000000-0005-0000-0000-000061010000}"/>
    <cellStyle name="60% - Accent2 3 2" xfId="517" xr:uid="{00000000-0005-0000-0000-000062010000}"/>
    <cellStyle name="60% - Accent2 4" xfId="518" xr:uid="{00000000-0005-0000-0000-000063010000}"/>
    <cellStyle name="60% - Accent2 4 2" xfId="519" xr:uid="{00000000-0005-0000-0000-000064010000}"/>
    <cellStyle name="60% - Accent2 5" xfId="520" xr:uid="{00000000-0005-0000-0000-000065010000}"/>
    <cellStyle name="60% - Accent2 6" xfId="521" xr:uid="{00000000-0005-0000-0000-000066010000}"/>
    <cellStyle name="60% - Accent2 7 2" xfId="522" xr:uid="{00000000-0005-0000-0000-000067010000}"/>
    <cellStyle name="60% - Accent2 7 3" xfId="523" xr:uid="{00000000-0005-0000-0000-000068010000}"/>
    <cellStyle name="60% - Accent2 7 4" xfId="524" xr:uid="{00000000-0005-0000-0000-000069010000}"/>
    <cellStyle name="60% - Accent3 2" xfId="525" xr:uid="{00000000-0005-0000-0000-00006A010000}"/>
    <cellStyle name="60% - Accent3 2 2" xfId="526" xr:uid="{00000000-0005-0000-0000-00006B010000}"/>
    <cellStyle name="60% - Accent3 2 3" xfId="527" xr:uid="{00000000-0005-0000-0000-00006C010000}"/>
    <cellStyle name="60% - Accent3 2 4" xfId="528" xr:uid="{00000000-0005-0000-0000-00006D010000}"/>
    <cellStyle name="60% - Accent3 2 5" xfId="529" xr:uid="{00000000-0005-0000-0000-00006E010000}"/>
    <cellStyle name="60% - Accent3 2 6" xfId="530" xr:uid="{00000000-0005-0000-0000-00006F010000}"/>
    <cellStyle name="60% - Accent3 3" xfId="531" xr:uid="{00000000-0005-0000-0000-000070010000}"/>
    <cellStyle name="60% - Accent3 3 2" xfId="532" xr:uid="{00000000-0005-0000-0000-000071010000}"/>
    <cellStyle name="60% - Accent3 4" xfId="533" xr:uid="{00000000-0005-0000-0000-000072010000}"/>
    <cellStyle name="60% - Accent3 4 2" xfId="534" xr:uid="{00000000-0005-0000-0000-000073010000}"/>
    <cellStyle name="60% - Accent3 5" xfId="535" xr:uid="{00000000-0005-0000-0000-000074010000}"/>
    <cellStyle name="60% - Accent3 6" xfId="536" xr:uid="{00000000-0005-0000-0000-000075010000}"/>
    <cellStyle name="60% - Accent3 7 2" xfId="537" xr:uid="{00000000-0005-0000-0000-000076010000}"/>
    <cellStyle name="60% - Accent3 7 3" xfId="538" xr:uid="{00000000-0005-0000-0000-000077010000}"/>
    <cellStyle name="60% - Accent3 7 4" xfId="539" xr:uid="{00000000-0005-0000-0000-000078010000}"/>
    <cellStyle name="60% - Accent4 2" xfId="540" xr:uid="{00000000-0005-0000-0000-000079010000}"/>
    <cellStyle name="60% - Accent4 2 2" xfId="541" xr:uid="{00000000-0005-0000-0000-00007A010000}"/>
    <cellStyle name="60% - Accent4 2 3" xfId="542" xr:uid="{00000000-0005-0000-0000-00007B010000}"/>
    <cellStyle name="60% - Accent4 2 4" xfId="543" xr:uid="{00000000-0005-0000-0000-00007C010000}"/>
    <cellStyle name="60% - Accent4 2 5" xfId="544" xr:uid="{00000000-0005-0000-0000-00007D010000}"/>
    <cellStyle name="60% - Accent4 2 6" xfId="545" xr:uid="{00000000-0005-0000-0000-00007E010000}"/>
    <cellStyle name="60% - Accent4 3" xfId="546" xr:uid="{00000000-0005-0000-0000-00007F010000}"/>
    <cellStyle name="60% - Accent4 3 2" xfId="547" xr:uid="{00000000-0005-0000-0000-000080010000}"/>
    <cellStyle name="60% - Accent4 4" xfId="548" xr:uid="{00000000-0005-0000-0000-000081010000}"/>
    <cellStyle name="60% - Accent4 4 2" xfId="549" xr:uid="{00000000-0005-0000-0000-000082010000}"/>
    <cellStyle name="60% - Accent4 5" xfId="550" xr:uid="{00000000-0005-0000-0000-000083010000}"/>
    <cellStyle name="60% - Accent4 6" xfId="551" xr:uid="{00000000-0005-0000-0000-000084010000}"/>
    <cellStyle name="60% - Accent4 7 2" xfId="552" xr:uid="{00000000-0005-0000-0000-000085010000}"/>
    <cellStyle name="60% - Accent4 7 3" xfId="553" xr:uid="{00000000-0005-0000-0000-000086010000}"/>
    <cellStyle name="60% - Accent4 7 4" xfId="554" xr:uid="{00000000-0005-0000-0000-000087010000}"/>
    <cellStyle name="60% - Accent5 2" xfId="555" xr:uid="{00000000-0005-0000-0000-000088010000}"/>
    <cellStyle name="60% - Accent5 2 2" xfId="556" xr:uid="{00000000-0005-0000-0000-000089010000}"/>
    <cellStyle name="60% - Accent5 2 3" xfId="557" xr:uid="{00000000-0005-0000-0000-00008A010000}"/>
    <cellStyle name="60% - Accent5 2 4" xfId="558" xr:uid="{00000000-0005-0000-0000-00008B010000}"/>
    <cellStyle name="60% - Accent5 2 5" xfId="559" xr:uid="{00000000-0005-0000-0000-00008C010000}"/>
    <cellStyle name="60% - Accent5 2 6" xfId="560" xr:uid="{00000000-0005-0000-0000-00008D010000}"/>
    <cellStyle name="60% - Accent5 3" xfId="561" xr:uid="{00000000-0005-0000-0000-00008E010000}"/>
    <cellStyle name="60% - Accent5 3 2" xfId="562" xr:uid="{00000000-0005-0000-0000-00008F010000}"/>
    <cellStyle name="60% - Accent5 4" xfId="563" xr:uid="{00000000-0005-0000-0000-000090010000}"/>
    <cellStyle name="60% - Accent5 4 2" xfId="564" xr:uid="{00000000-0005-0000-0000-000091010000}"/>
    <cellStyle name="60% - Accent5 5" xfId="565" xr:uid="{00000000-0005-0000-0000-000092010000}"/>
    <cellStyle name="60% - Accent5 6" xfId="566" xr:uid="{00000000-0005-0000-0000-000093010000}"/>
    <cellStyle name="60% - Accent5 7 2" xfId="567" xr:uid="{00000000-0005-0000-0000-000094010000}"/>
    <cellStyle name="60% - Accent5 7 3" xfId="568" xr:uid="{00000000-0005-0000-0000-000095010000}"/>
    <cellStyle name="60% - Accent5 7 4" xfId="569" xr:uid="{00000000-0005-0000-0000-000096010000}"/>
    <cellStyle name="60% - Accent6 2" xfId="570" xr:uid="{00000000-0005-0000-0000-000097010000}"/>
    <cellStyle name="60% - Accent6 2 2" xfId="571" xr:uid="{00000000-0005-0000-0000-000098010000}"/>
    <cellStyle name="60% - Accent6 2 3" xfId="572" xr:uid="{00000000-0005-0000-0000-000099010000}"/>
    <cellStyle name="60% - Accent6 2 4" xfId="573" xr:uid="{00000000-0005-0000-0000-00009A010000}"/>
    <cellStyle name="60% - Accent6 2 5" xfId="574" xr:uid="{00000000-0005-0000-0000-00009B010000}"/>
    <cellStyle name="60% - Accent6 2 6" xfId="575" xr:uid="{00000000-0005-0000-0000-00009C010000}"/>
    <cellStyle name="60% - Accent6 3" xfId="576" xr:uid="{00000000-0005-0000-0000-00009D010000}"/>
    <cellStyle name="60% - Accent6 3 2" xfId="577" xr:uid="{00000000-0005-0000-0000-00009E010000}"/>
    <cellStyle name="60% - Accent6 4" xfId="578" xr:uid="{00000000-0005-0000-0000-00009F010000}"/>
    <cellStyle name="60% - Accent6 4 2" xfId="579" xr:uid="{00000000-0005-0000-0000-0000A0010000}"/>
    <cellStyle name="60% - Accent6 5" xfId="580" xr:uid="{00000000-0005-0000-0000-0000A1010000}"/>
    <cellStyle name="60% - Accent6 6" xfId="581" xr:uid="{00000000-0005-0000-0000-0000A2010000}"/>
    <cellStyle name="60% - Accent6 7 2" xfId="582" xr:uid="{00000000-0005-0000-0000-0000A3010000}"/>
    <cellStyle name="60% - Accent6 7 3" xfId="583" xr:uid="{00000000-0005-0000-0000-0000A4010000}"/>
    <cellStyle name="60% - Accent6 7 4" xfId="584" xr:uid="{00000000-0005-0000-0000-0000A5010000}"/>
    <cellStyle name="ac" xfId="6" xr:uid="{00000000-0005-0000-0000-0000A6010000}"/>
    <cellStyle name="Accent1 2" xfId="585" xr:uid="{00000000-0005-0000-0000-0000A7010000}"/>
    <cellStyle name="Accent1 2 2" xfId="586" xr:uid="{00000000-0005-0000-0000-0000A8010000}"/>
    <cellStyle name="Accent1 2 3" xfId="587" xr:uid="{00000000-0005-0000-0000-0000A9010000}"/>
    <cellStyle name="Accent1 2 4" xfId="588" xr:uid="{00000000-0005-0000-0000-0000AA010000}"/>
    <cellStyle name="Accent1 2 5" xfId="589" xr:uid="{00000000-0005-0000-0000-0000AB010000}"/>
    <cellStyle name="Accent1 2 6" xfId="590" xr:uid="{00000000-0005-0000-0000-0000AC010000}"/>
    <cellStyle name="Accent1 3" xfId="591" xr:uid="{00000000-0005-0000-0000-0000AD010000}"/>
    <cellStyle name="Accent1 3 2" xfId="592" xr:uid="{00000000-0005-0000-0000-0000AE010000}"/>
    <cellStyle name="Accent1 4" xfId="593" xr:uid="{00000000-0005-0000-0000-0000AF010000}"/>
    <cellStyle name="Accent1 4 2" xfId="594" xr:uid="{00000000-0005-0000-0000-0000B0010000}"/>
    <cellStyle name="Accent1 5" xfId="595" xr:uid="{00000000-0005-0000-0000-0000B1010000}"/>
    <cellStyle name="Accent1 6" xfId="596" xr:uid="{00000000-0005-0000-0000-0000B2010000}"/>
    <cellStyle name="Accent1 7 2" xfId="597" xr:uid="{00000000-0005-0000-0000-0000B3010000}"/>
    <cellStyle name="Accent1 7 3" xfId="598" xr:uid="{00000000-0005-0000-0000-0000B4010000}"/>
    <cellStyle name="Accent1 7 4" xfId="599" xr:uid="{00000000-0005-0000-0000-0000B5010000}"/>
    <cellStyle name="Accent2 2" xfId="600" xr:uid="{00000000-0005-0000-0000-0000B6010000}"/>
    <cellStyle name="Accent2 2 2" xfId="601" xr:uid="{00000000-0005-0000-0000-0000B7010000}"/>
    <cellStyle name="Accent2 2 3" xfId="602" xr:uid="{00000000-0005-0000-0000-0000B8010000}"/>
    <cellStyle name="Accent2 2 4" xfId="603" xr:uid="{00000000-0005-0000-0000-0000B9010000}"/>
    <cellStyle name="Accent2 2 5" xfId="604" xr:uid="{00000000-0005-0000-0000-0000BA010000}"/>
    <cellStyle name="Accent2 2 6" xfId="605" xr:uid="{00000000-0005-0000-0000-0000BB010000}"/>
    <cellStyle name="Accent2 3" xfId="606" xr:uid="{00000000-0005-0000-0000-0000BC010000}"/>
    <cellStyle name="Accent2 3 2" xfId="607" xr:uid="{00000000-0005-0000-0000-0000BD010000}"/>
    <cellStyle name="Accent2 4" xfId="608" xr:uid="{00000000-0005-0000-0000-0000BE010000}"/>
    <cellStyle name="Accent2 4 2" xfId="609" xr:uid="{00000000-0005-0000-0000-0000BF010000}"/>
    <cellStyle name="Accent2 5" xfId="610" xr:uid="{00000000-0005-0000-0000-0000C0010000}"/>
    <cellStyle name="Accent2 6" xfId="611" xr:uid="{00000000-0005-0000-0000-0000C1010000}"/>
    <cellStyle name="Accent2 7 2" xfId="612" xr:uid="{00000000-0005-0000-0000-0000C2010000}"/>
    <cellStyle name="Accent2 7 3" xfId="613" xr:uid="{00000000-0005-0000-0000-0000C3010000}"/>
    <cellStyle name="Accent2 7 4" xfId="614" xr:uid="{00000000-0005-0000-0000-0000C4010000}"/>
    <cellStyle name="Accent3 2" xfId="615" xr:uid="{00000000-0005-0000-0000-0000C5010000}"/>
    <cellStyle name="Accent3 2 2" xfId="616" xr:uid="{00000000-0005-0000-0000-0000C6010000}"/>
    <cellStyle name="Accent3 2 3" xfId="617" xr:uid="{00000000-0005-0000-0000-0000C7010000}"/>
    <cellStyle name="Accent3 2 4" xfId="618" xr:uid="{00000000-0005-0000-0000-0000C8010000}"/>
    <cellStyle name="Accent3 2 5" xfId="619" xr:uid="{00000000-0005-0000-0000-0000C9010000}"/>
    <cellStyle name="Accent3 2 6" xfId="620" xr:uid="{00000000-0005-0000-0000-0000CA010000}"/>
    <cellStyle name="Accent3 3" xfId="621" xr:uid="{00000000-0005-0000-0000-0000CB010000}"/>
    <cellStyle name="Accent3 3 2" xfId="622" xr:uid="{00000000-0005-0000-0000-0000CC010000}"/>
    <cellStyle name="Accent3 4" xfId="623" xr:uid="{00000000-0005-0000-0000-0000CD010000}"/>
    <cellStyle name="Accent3 4 2" xfId="624" xr:uid="{00000000-0005-0000-0000-0000CE010000}"/>
    <cellStyle name="Accent3 5" xfId="625" xr:uid="{00000000-0005-0000-0000-0000CF010000}"/>
    <cellStyle name="Accent3 6" xfId="626" xr:uid="{00000000-0005-0000-0000-0000D0010000}"/>
    <cellStyle name="Accent3 7 2" xfId="627" xr:uid="{00000000-0005-0000-0000-0000D1010000}"/>
    <cellStyle name="Accent3 7 3" xfId="628" xr:uid="{00000000-0005-0000-0000-0000D2010000}"/>
    <cellStyle name="Accent3 7 4" xfId="629" xr:uid="{00000000-0005-0000-0000-0000D3010000}"/>
    <cellStyle name="Accent4 2" xfId="630" xr:uid="{00000000-0005-0000-0000-0000D4010000}"/>
    <cellStyle name="Accent4 2 2" xfId="631" xr:uid="{00000000-0005-0000-0000-0000D5010000}"/>
    <cellStyle name="Accent4 2 3" xfId="632" xr:uid="{00000000-0005-0000-0000-0000D6010000}"/>
    <cellStyle name="Accent4 2 4" xfId="633" xr:uid="{00000000-0005-0000-0000-0000D7010000}"/>
    <cellStyle name="Accent4 2 5" xfId="634" xr:uid="{00000000-0005-0000-0000-0000D8010000}"/>
    <cellStyle name="Accent4 2 6" xfId="635" xr:uid="{00000000-0005-0000-0000-0000D9010000}"/>
    <cellStyle name="Accent4 3" xfId="636" xr:uid="{00000000-0005-0000-0000-0000DA010000}"/>
    <cellStyle name="Accent4 3 2" xfId="637" xr:uid="{00000000-0005-0000-0000-0000DB010000}"/>
    <cellStyle name="Accent4 4" xfId="638" xr:uid="{00000000-0005-0000-0000-0000DC010000}"/>
    <cellStyle name="Accent4 4 2" xfId="639" xr:uid="{00000000-0005-0000-0000-0000DD010000}"/>
    <cellStyle name="Accent4 5" xfId="640" xr:uid="{00000000-0005-0000-0000-0000DE010000}"/>
    <cellStyle name="Accent4 6" xfId="641" xr:uid="{00000000-0005-0000-0000-0000DF010000}"/>
    <cellStyle name="Accent4 7 2" xfId="642" xr:uid="{00000000-0005-0000-0000-0000E0010000}"/>
    <cellStyle name="Accent4 7 3" xfId="643" xr:uid="{00000000-0005-0000-0000-0000E1010000}"/>
    <cellStyle name="Accent4 7 4" xfId="644" xr:uid="{00000000-0005-0000-0000-0000E2010000}"/>
    <cellStyle name="Accent5 2" xfId="645" xr:uid="{00000000-0005-0000-0000-0000E3010000}"/>
    <cellStyle name="Accent5 2 2" xfId="646" xr:uid="{00000000-0005-0000-0000-0000E4010000}"/>
    <cellStyle name="Accent5 2 3" xfId="647" xr:uid="{00000000-0005-0000-0000-0000E5010000}"/>
    <cellStyle name="Accent5 2 4" xfId="648" xr:uid="{00000000-0005-0000-0000-0000E6010000}"/>
    <cellStyle name="Accent5 2 5" xfId="649" xr:uid="{00000000-0005-0000-0000-0000E7010000}"/>
    <cellStyle name="Accent5 2 6" xfId="650" xr:uid="{00000000-0005-0000-0000-0000E8010000}"/>
    <cellStyle name="Accent5 3" xfId="651" xr:uid="{00000000-0005-0000-0000-0000E9010000}"/>
    <cellStyle name="Accent5 3 2" xfId="652" xr:uid="{00000000-0005-0000-0000-0000EA010000}"/>
    <cellStyle name="Accent5 4" xfId="653" xr:uid="{00000000-0005-0000-0000-0000EB010000}"/>
    <cellStyle name="Accent5 4 2" xfId="654" xr:uid="{00000000-0005-0000-0000-0000EC010000}"/>
    <cellStyle name="Accent5 5" xfId="655" xr:uid="{00000000-0005-0000-0000-0000ED010000}"/>
    <cellStyle name="Accent5 6" xfId="656" xr:uid="{00000000-0005-0000-0000-0000EE010000}"/>
    <cellStyle name="Accent5 7 2" xfId="657" xr:uid="{00000000-0005-0000-0000-0000EF010000}"/>
    <cellStyle name="Accent5 7 3" xfId="658" xr:uid="{00000000-0005-0000-0000-0000F0010000}"/>
    <cellStyle name="Accent5 7 4" xfId="659" xr:uid="{00000000-0005-0000-0000-0000F1010000}"/>
    <cellStyle name="Accent6 2" xfId="660" xr:uid="{00000000-0005-0000-0000-0000F2010000}"/>
    <cellStyle name="Accent6 2 2" xfId="661" xr:uid="{00000000-0005-0000-0000-0000F3010000}"/>
    <cellStyle name="Accent6 2 3" xfId="662" xr:uid="{00000000-0005-0000-0000-0000F4010000}"/>
    <cellStyle name="Accent6 2 4" xfId="663" xr:uid="{00000000-0005-0000-0000-0000F5010000}"/>
    <cellStyle name="Accent6 2 5" xfId="664" xr:uid="{00000000-0005-0000-0000-0000F6010000}"/>
    <cellStyle name="Accent6 2 6" xfId="665" xr:uid="{00000000-0005-0000-0000-0000F7010000}"/>
    <cellStyle name="Accent6 3" xfId="666" xr:uid="{00000000-0005-0000-0000-0000F8010000}"/>
    <cellStyle name="Accent6 3 2" xfId="667" xr:uid="{00000000-0005-0000-0000-0000F9010000}"/>
    <cellStyle name="Accent6 4" xfId="668" xr:uid="{00000000-0005-0000-0000-0000FA010000}"/>
    <cellStyle name="Accent6 4 2" xfId="669" xr:uid="{00000000-0005-0000-0000-0000FB010000}"/>
    <cellStyle name="Accent6 5" xfId="670" xr:uid="{00000000-0005-0000-0000-0000FC010000}"/>
    <cellStyle name="Accent6 6" xfId="671" xr:uid="{00000000-0005-0000-0000-0000FD010000}"/>
    <cellStyle name="Accent6 7 2" xfId="672" xr:uid="{00000000-0005-0000-0000-0000FE010000}"/>
    <cellStyle name="Accent6 7 3" xfId="673" xr:uid="{00000000-0005-0000-0000-0000FF010000}"/>
    <cellStyle name="Accent6 7 4" xfId="674" xr:uid="{00000000-0005-0000-0000-000000020000}"/>
    <cellStyle name="AccountRows" xfId="7" xr:uid="{00000000-0005-0000-0000-000001020000}"/>
    <cellStyle name="AFE" xfId="8" xr:uid="{00000000-0005-0000-0000-000002020000}"/>
    <cellStyle name="ANCLAS,REZONES Y SUS PARTES,DE FUNDICION,DE HIERRO O DE ACERO" xfId="1611" xr:uid="{00000000-0005-0000-0000-000003020000}"/>
    <cellStyle name="Arial 10" xfId="9" xr:uid="{00000000-0005-0000-0000-000004020000}"/>
    <cellStyle name="Arial 12" xfId="10" xr:uid="{00000000-0005-0000-0000-000005020000}"/>
    <cellStyle name="Bad 2" xfId="675" xr:uid="{00000000-0005-0000-0000-000006020000}"/>
    <cellStyle name="Bad 2 2" xfId="676" xr:uid="{00000000-0005-0000-0000-000007020000}"/>
    <cellStyle name="Bad 2 3" xfId="677" xr:uid="{00000000-0005-0000-0000-000008020000}"/>
    <cellStyle name="Bad 2 4" xfId="678" xr:uid="{00000000-0005-0000-0000-000009020000}"/>
    <cellStyle name="Bad 2 5" xfId="679" xr:uid="{00000000-0005-0000-0000-00000A020000}"/>
    <cellStyle name="Bad 2 6" xfId="680" xr:uid="{00000000-0005-0000-0000-00000B020000}"/>
    <cellStyle name="Bad 3" xfId="681" xr:uid="{00000000-0005-0000-0000-00000C020000}"/>
    <cellStyle name="Bad 3 2" xfId="682" xr:uid="{00000000-0005-0000-0000-00000D020000}"/>
    <cellStyle name="Bad 4" xfId="683" xr:uid="{00000000-0005-0000-0000-00000E020000}"/>
    <cellStyle name="Bad 4 2" xfId="684" xr:uid="{00000000-0005-0000-0000-00000F020000}"/>
    <cellStyle name="Bad 5" xfId="685" xr:uid="{00000000-0005-0000-0000-000010020000}"/>
    <cellStyle name="Bad 6" xfId="686" xr:uid="{00000000-0005-0000-0000-000011020000}"/>
    <cellStyle name="Bad 7 2" xfId="687" xr:uid="{00000000-0005-0000-0000-000012020000}"/>
    <cellStyle name="Bad 7 3" xfId="688" xr:uid="{00000000-0005-0000-0000-000013020000}"/>
    <cellStyle name="Bad 7 4" xfId="689" xr:uid="{00000000-0005-0000-0000-000014020000}"/>
    <cellStyle name="Body_%" xfId="11" xr:uid="{00000000-0005-0000-0000-000015020000}"/>
    <cellStyle name="British Pound" xfId="12" xr:uid="{00000000-0005-0000-0000-000016020000}"/>
    <cellStyle name="Calc Currency (0)" xfId="690" xr:uid="{00000000-0005-0000-0000-000017020000}"/>
    <cellStyle name="Calculation 2" xfId="691" xr:uid="{00000000-0005-0000-0000-000018020000}"/>
    <cellStyle name="Calculation 2 10" xfId="692" xr:uid="{00000000-0005-0000-0000-000019020000}"/>
    <cellStyle name="Calculation 2 11" xfId="693" xr:uid="{00000000-0005-0000-0000-00001A020000}"/>
    <cellStyle name="Calculation 2 12" xfId="694" xr:uid="{00000000-0005-0000-0000-00001B020000}"/>
    <cellStyle name="Calculation 2 13" xfId="695" xr:uid="{00000000-0005-0000-0000-00001C020000}"/>
    <cellStyle name="Calculation 2 14" xfId="696" xr:uid="{00000000-0005-0000-0000-00001D020000}"/>
    <cellStyle name="Calculation 2 15" xfId="697" xr:uid="{00000000-0005-0000-0000-00001E020000}"/>
    <cellStyle name="Calculation 2 16" xfId="698" xr:uid="{00000000-0005-0000-0000-00001F020000}"/>
    <cellStyle name="Calculation 2 2" xfId="699" xr:uid="{00000000-0005-0000-0000-000020020000}"/>
    <cellStyle name="Calculation 2 2 10" xfId="700" xr:uid="{00000000-0005-0000-0000-000021020000}"/>
    <cellStyle name="Calculation 2 2 11" xfId="701" xr:uid="{00000000-0005-0000-0000-000022020000}"/>
    <cellStyle name="Calculation 2 2 12" xfId="702" xr:uid="{00000000-0005-0000-0000-000023020000}"/>
    <cellStyle name="Calculation 2 2 13" xfId="703" xr:uid="{00000000-0005-0000-0000-000024020000}"/>
    <cellStyle name="Calculation 2 2 14" xfId="704" xr:uid="{00000000-0005-0000-0000-000025020000}"/>
    <cellStyle name="Calculation 2 2 15" xfId="705" xr:uid="{00000000-0005-0000-0000-000026020000}"/>
    <cellStyle name="Calculation 2 2 2" xfId="706" xr:uid="{00000000-0005-0000-0000-000027020000}"/>
    <cellStyle name="Calculation 2 2 2 10" xfId="707" xr:uid="{00000000-0005-0000-0000-000028020000}"/>
    <cellStyle name="Calculation 2 2 2 11" xfId="708" xr:uid="{00000000-0005-0000-0000-000029020000}"/>
    <cellStyle name="Calculation 2 2 2 2" xfId="709" xr:uid="{00000000-0005-0000-0000-00002A020000}"/>
    <cellStyle name="Calculation 2 2 2 3" xfId="710" xr:uid="{00000000-0005-0000-0000-00002B020000}"/>
    <cellStyle name="Calculation 2 2 2 4" xfId="711" xr:uid="{00000000-0005-0000-0000-00002C020000}"/>
    <cellStyle name="Calculation 2 2 2 5" xfId="712" xr:uid="{00000000-0005-0000-0000-00002D020000}"/>
    <cellStyle name="Calculation 2 2 2 6" xfId="713" xr:uid="{00000000-0005-0000-0000-00002E020000}"/>
    <cellStyle name="Calculation 2 2 2 7" xfId="714" xr:uid="{00000000-0005-0000-0000-00002F020000}"/>
    <cellStyle name="Calculation 2 2 2 8" xfId="715" xr:uid="{00000000-0005-0000-0000-000030020000}"/>
    <cellStyle name="Calculation 2 2 2 9" xfId="716" xr:uid="{00000000-0005-0000-0000-000031020000}"/>
    <cellStyle name="Calculation 2 2 3" xfId="717" xr:uid="{00000000-0005-0000-0000-000032020000}"/>
    <cellStyle name="Calculation 2 2 4" xfId="718" xr:uid="{00000000-0005-0000-0000-000033020000}"/>
    <cellStyle name="Calculation 2 2 5" xfId="719" xr:uid="{00000000-0005-0000-0000-000034020000}"/>
    <cellStyle name="Calculation 2 2 6" xfId="720" xr:uid="{00000000-0005-0000-0000-000035020000}"/>
    <cellStyle name="Calculation 2 2 7" xfId="721" xr:uid="{00000000-0005-0000-0000-000036020000}"/>
    <cellStyle name="Calculation 2 2 8" xfId="722" xr:uid="{00000000-0005-0000-0000-000037020000}"/>
    <cellStyle name="Calculation 2 2 9" xfId="723" xr:uid="{00000000-0005-0000-0000-000038020000}"/>
    <cellStyle name="Calculation 2 3" xfId="724" xr:uid="{00000000-0005-0000-0000-000039020000}"/>
    <cellStyle name="Calculation 2 3 10" xfId="725" xr:uid="{00000000-0005-0000-0000-00003A020000}"/>
    <cellStyle name="Calculation 2 3 11" xfId="726" xr:uid="{00000000-0005-0000-0000-00003B020000}"/>
    <cellStyle name="Calculation 2 3 2" xfId="727" xr:uid="{00000000-0005-0000-0000-00003C020000}"/>
    <cellStyle name="Calculation 2 3 3" xfId="728" xr:uid="{00000000-0005-0000-0000-00003D020000}"/>
    <cellStyle name="Calculation 2 3 4" xfId="729" xr:uid="{00000000-0005-0000-0000-00003E020000}"/>
    <cellStyle name="Calculation 2 3 5" xfId="730" xr:uid="{00000000-0005-0000-0000-00003F020000}"/>
    <cellStyle name="Calculation 2 3 6" xfId="731" xr:uid="{00000000-0005-0000-0000-000040020000}"/>
    <cellStyle name="Calculation 2 3 7" xfId="732" xr:uid="{00000000-0005-0000-0000-000041020000}"/>
    <cellStyle name="Calculation 2 3 8" xfId="733" xr:uid="{00000000-0005-0000-0000-000042020000}"/>
    <cellStyle name="Calculation 2 3 9" xfId="734" xr:uid="{00000000-0005-0000-0000-000043020000}"/>
    <cellStyle name="Calculation 2 4" xfId="735" xr:uid="{00000000-0005-0000-0000-000044020000}"/>
    <cellStyle name="Calculation 2 5" xfId="736" xr:uid="{00000000-0005-0000-0000-000045020000}"/>
    <cellStyle name="Calculation 2 6" xfId="737" xr:uid="{00000000-0005-0000-0000-000046020000}"/>
    <cellStyle name="Calculation 2 7" xfId="738" xr:uid="{00000000-0005-0000-0000-000047020000}"/>
    <cellStyle name="Calculation 2 8" xfId="739" xr:uid="{00000000-0005-0000-0000-000048020000}"/>
    <cellStyle name="Calculation 2 9" xfId="740" xr:uid="{00000000-0005-0000-0000-000049020000}"/>
    <cellStyle name="Calculation 3" xfId="741" xr:uid="{00000000-0005-0000-0000-00004A020000}"/>
    <cellStyle name="Calculation 3 2" xfId="742" xr:uid="{00000000-0005-0000-0000-00004B020000}"/>
    <cellStyle name="Calculation 4" xfId="743" xr:uid="{00000000-0005-0000-0000-00004C020000}"/>
    <cellStyle name="Calculation 4 2" xfId="744" xr:uid="{00000000-0005-0000-0000-00004D020000}"/>
    <cellStyle name="Calculation 5" xfId="745" xr:uid="{00000000-0005-0000-0000-00004E020000}"/>
    <cellStyle name="Calculation 6" xfId="746" xr:uid="{00000000-0005-0000-0000-00004F020000}"/>
    <cellStyle name="Calculation 7 2" xfId="747" xr:uid="{00000000-0005-0000-0000-000050020000}"/>
    <cellStyle name="Calculation 7 3" xfId="748" xr:uid="{00000000-0005-0000-0000-000051020000}"/>
    <cellStyle name="Calculation 7 4" xfId="749" xr:uid="{00000000-0005-0000-0000-000052020000}"/>
    <cellStyle name="Ch, Column Header" xfId="13" xr:uid="{00000000-0005-0000-0000-000053020000}"/>
    <cellStyle name="Check Cell 2" xfId="750" xr:uid="{00000000-0005-0000-0000-000054020000}"/>
    <cellStyle name="Check Cell 2 2" xfId="751" xr:uid="{00000000-0005-0000-0000-000055020000}"/>
    <cellStyle name="Check Cell 2 3" xfId="752" xr:uid="{00000000-0005-0000-0000-000056020000}"/>
    <cellStyle name="Check Cell 2 4" xfId="753" xr:uid="{00000000-0005-0000-0000-000057020000}"/>
    <cellStyle name="Check Cell 2 5" xfId="754" xr:uid="{00000000-0005-0000-0000-000058020000}"/>
    <cellStyle name="Check Cell 2 6" xfId="755" xr:uid="{00000000-0005-0000-0000-000059020000}"/>
    <cellStyle name="Check Cell 3" xfId="756" xr:uid="{00000000-0005-0000-0000-00005A020000}"/>
    <cellStyle name="Check Cell 3 2" xfId="757" xr:uid="{00000000-0005-0000-0000-00005B020000}"/>
    <cellStyle name="Check Cell 4" xfId="758" xr:uid="{00000000-0005-0000-0000-00005C020000}"/>
    <cellStyle name="Check Cell 4 2" xfId="759" xr:uid="{00000000-0005-0000-0000-00005D020000}"/>
    <cellStyle name="Check Cell 5" xfId="760" xr:uid="{00000000-0005-0000-0000-00005E020000}"/>
    <cellStyle name="Check Cell 6" xfId="761" xr:uid="{00000000-0005-0000-0000-00005F020000}"/>
    <cellStyle name="Check Cell 7 2" xfId="762" xr:uid="{00000000-0005-0000-0000-000060020000}"/>
    <cellStyle name="Check Cell 7 3" xfId="763" xr:uid="{00000000-0005-0000-0000-000061020000}"/>
    <cellStyle name="Check Cell 7 4" xfId="764" xr:uid="{00000000-0005-0000-0000-000062020000}"/>
    <cellStyle name="Comma" xfId="1" builtinId="3"/>
    <cellStyle name="Comma  - Style1" xfId="14" xr:uid="{00000000-0005-0000-0000-000064020000}"/>
    <cellStyle name="Comma  - Style2" xfId="15" xr:uid="{00000000-0005-0000-0000-000065020000}"/>
    <cellStyle name="Comma  - Style3" xfId="16" xr:uid="{00000000-0005-0000-0000-000066020000}"/>
    <cellStyle name="Comma  - Style4" xfId="17" xr:uid="{00000000-0005-0000-0000-000067020000}"/>
    <cellStyle name="Comma  - Style5" xfId="18" xr:uid="{00000000-0005-0000-0000-000068020000}"/>
    <cellStyle name="Comma  - Style6" xfId="19" xr:uid="{00000000-0005-0000-0000-000069020000}"/>
    <cellStyle name="Comma  - Style7" xfId="20" xr:uid="{00000000-0005-0000-0000-00006A020000}"/>
    <cellStyle name="Comma  - Style8" xfId="21" xr:uid="{00000000-0005-0000-0000-00006B020000}"/>
    <cellStyle name="Comma [0] Total" xfId="22" xr:uid="{00000000-0005-0000-0000-00006C020000}"/>
    <cellStyle name="Comma [0] Total 2" xfId="1613" xr:uid="{00000000-0005-0000-0000-00006D020000}"/>
    <cellStyle name="Comma [1]" xfId="23" xr:uid="{00000000-0005-0000-0000-00006E020000}"/>
    <cellStyle name="Comma [1] Total" xfId="24" xr:uid="{00000000-0005-0000-0000-00006F020000}"/>
    <cellStyle name="Comma [1] Total 2" xfId="1614" xr:uid="{00000000-0005-0000-0000-000070020000}"/>
    <cellStyle name="Comma [2]" xfId="25" xr:uid="{00000000-0005-0000-0000-000071020000}"/>
    <cellStyle name="Comma [2] 2" xfId="26" xr:uid="{00000000-0005-0000-0000-000072020000}"/>
    <cellStyle name="Comma [2] Total" xfId="27" xr:uid="{00000000-0005-0000-0000-000073020000}"/>
    <cellStyle name="Comma [2] Total 2" xfId="1615" xr:uid="{00000000-0005-0000-0000-000074020000}"/>
    <cellStyle name="Comma [2]_Funds Flow 01" xfId="28" xr:uid="{00000000-0005-0000-0000-000075020000}"/>
    <cellStyle name="Comma 10" xfId="1651" xr:uid="{13032462-76F7-48E8-85B9-5FF9CE83E0D2}"/>
    <cellStyle name="Comma 10 3" xfId="1653" xr:uid="{BE5AEDA2-7CFF-4506-B9A8-0BAD5725AA6D}"/>
    <cellStyle name="Comma 2" xfId="765" xr:uid="{00000000-0005-0000-0000-000076020000}"/>
    <cellStyle name="Comma 2 10" xfId="766" xr:uid="{00000000-0005-0000-0000-000077020000}"/>
    <cellStyle name="Comma 2 11" xfId="767" xr:uid="{00000000-0005-0000-0000-000078020000}"/>
    <cellStyle name="Comma 2 12" xfId="768" xr:uid="{00000000-0005-0000-0000-000079020000}"/>
    <cellStyle name="Comma 2 13" xfId="769" xr:uid="{00000000-0005-0000-0000-00007A020000}"/>
    <cellStyle name="Comma 2 14" xfId="770" xr:uid="{00000000-0005-0000-0000-00007B020000}"/>
    <cellStyle name="Comma 2 2" xfId="29" xr:uid="{00000000-0005-0000-0000-00007C020000}"/>
    <cellStyle name="Comma 2 2 10" xfId="771" xr:uid="{00000000-0005-0000-0000-00007D020000}"/>
    <cellStyle name="Comma 2 2 11" xfId="772" xr:uid="{00000000-0005-0000-0000-00007E020000}"/>
    <cellStyle name="Comma 2 2 12" xfId="773" xr:uid="{00000000-0005-0000-0000-00007F020000}"/>
    <cellStyle name="Comma 2 2 13" xfId="774" xr:uid="{00000000-0005-0000-0000-000080020000}"/>
    <cellStyle name="Comma 2 2 13 2" xfId="775" xr:uid="{00000000-0005-0000-0000-000081020000}"/>
    <cellStyle name="Comma 2 2 13 2 2" xfId="776" xr:uid="{00000000-0005-0000-0000-000082020000}"/>
    <cellStyle name="Comma 2 2 13 2 3" xfId="777" xr:uid="{00000000-0005-0000-0000-000083020000}"/>
    <cellStyle name="Comma 2 2 13 2 4" xfId="778" xr:uid="{00000000-0005-0000-0000-000084020000}"/>
    <cellStyle name="Comma 2 2 13 2 5" xfId="779" xr:uid="{00000000-0005-0000-0000-000085020000}"/>
    <cellStyle name="Comma 2 2 13 3" xfId="780" xr:uid="{00000000-0005-0000-0000-000086020000}"/>
    <cellStyle name="Comma 2 2 13 4" xfId="781" xr:uid="{00000000-0005-0000-0000-000087020000}"/>
    <cellStyle name="Comma 2 2 13 5" xfId="782" xr:uid="{00000000-0005-0000-0000-000088020000}"/>
    <cellStyle name="Comma 2 2 14" xfId="783" xr:uid="{00000000-0005-0000-0000-000089020000}"/>
    <cellStyle name="Comma 2 2 15" xfId="784" xr:uid="{00000000-0005-0000-0000-00008A020000}"/>
    <cellStyle name="Comma 2 2 16" xfId="785" xr:uid="{00000000-0005-0000-0000-00008B020000}"/>
    <cellStyle name="Comma 2 2 17" xfId="786" xr:uid="{00000000-0005-0000-0000-00008C020000}"/>
    <cellStyle name="Comma 2 2 18" xfId="787" xr:uid="{00000000-0005-0000-0000-00008D020000}"/>
    <cellStyle name="Comma 2 2 19" xfId="788" xr:uid="{00000000-0005-0000-0000-00008E020000}"/>
    <cellStyle name="Comma 2 2 2" xfId="789" xr:uid="{00000000-0005-0000-0000-00008F020000}"/>
    <cellStyle name="Comma 2 2 2 10" xfId="790" xr:uid="{00000000-0005-0000-0000-000090020000}"/>
    <cellStyle name="Comma 2 2 2 11" xfId="791" xr:uid="{00000000-0005-0000-0000-000091020000}"/>
    <cellStyle name="Comma 2 2 2 12" xfId="159" xr:uid="{00000000-0005-0000-0000-000092020000}"/>
    <cellStyle name="Comma 2 2 2 13" xfId="792" xr:uid="{00000000-0005-0000-0000-000093020000}"/>
    <cellStyle name="Comma 2 2 2 2" xfId="793" xr:uid="{00000000-0005-0000-0000-000094020000}"/>
    <cellStyle name="Comma 2 2 2 2 10" xfId="794" xr:uid="{00000000-0005-0000-0000-000095020000}"/>
    <cellStyle name="Comma 2 2 2 2 11" xfId="795" xr:uid="{00000000-0005-0000-0000-000096020000}"/>
    <cellStyle name="Comma 2 2 2 2 12" xfId="796" xr:uid="{00000000-0005-0000-0000-000097020000}"/>
    <cellStyle name="Comma 2 2 2 2 13" xfId="797" xr:uid="{00000000-0005-0000-0000-000098020000}"/>
    <cellStyle name="Comma 2 2 2 2 2" xfId="798" xr:uid="{00000000-0005-0000-0000-000099020000}"/>
    <cellStyle name="Comma 2 2 2 2 2 10" xfId="799" xr:uid="{00000000-0005-0000-0000-00009A020000}"/>
    <cellStyle name="Comma 2 2 2 2 2 11" xfId="800" xr:uid="{00000000-0005-0000-0000-00009B020000}"/>
    <cellStyle name="Comma 2 2 2 2 2 12" xfId="801" xr:uid="{00000000-0005-0000-0000-00009C020000}"/>
    <cellStyle name="Comma 2 2 2 2 2 2" xfId="802" xr:uid="{00000000-0005-0000-0000-00009D020000}"/>
    <cellStyle name="Comma 2 2 2 2 2 2 10" xfId="803" xr:uid="{00000000-0005-0000-0000-00009E020000}"/>
    <cellStyle name="Comma 2 2 2 2 2 2 11" xfId="804" xr:uid="{00000000-0005-0000-0000-00009F020000}"/>
    <cellStyle name="Comma 2 2 2 2 2 2 12" xfId="805" xr:uid="{00000000-0005-0000-0000-0000A0020000}"/>
    <cellStyle name="Comma 2 2 2 2 2 2 2" xfId="806" xr:uid="{00000000-0005-0000-0000-0000A1020000}"/>
    <cellStyle name="Comma 2 2 2 2 2 2 2 2" xfId="807" xr:uid="{00000000-0005-0000-0000-0000A2020000}"/>
    <cellStyle name="Comma 2 2 2 2 2 2 2 2 2" xfId="808" xr:uid="{00000000-0005-0000-0000-0000A3020000}"/>
    <cellStyle name="Comma 2 2 2 2 2 2 2 2 2 2" xfId="809" xr:uid="{00000000-0005-0000-0000-0000A4020000}"/>
    <cellStyle name="Comma 2 2 2 2 2 2 2 2 2 2 2" xfId="810" xr:uid="{00000000-0005-0000-0000-0000A5020000}"/>
    <cellStyle name="Comma 2 2 2 2 2 2 2 2 2 2 2 2" xfId="811" xr:uid="{00000000-0005-0000-0000-0000A6020000}"/>
    <cellStyle name="Comma 2 2 2 2 2 2 2 2 2 2 2 3" xfId="812" xr:uid="{00000000-0005-0000-0000-0000A7020000}"/>
    <cellStyle name="Comma 2 2 2 2 2 2 2 2 2 2 2 4" xfId="813" xr:uid="{00000000-0005-0000-0000-0000A8020000}"/>
    <cellStyle name="Comma 2 2 2 2 2 2 2 2 2 2 3" xfId="814" xr:uid="{00000000-0005-0000-0000-0000A9020000}"/>
    <cellStyle name="Comma 2 2 2 2 2 2 2 2 2 2 4" xfId="815" xr:uid="{00000000-0005-0000-0000-0000AA020000}"/>
    <cellStyle name="Comma 2 2 2 2 2 2 2 2 2 2 5" xfId="816" xr:uid="{00000000-0005-0000-0000-0000AB020000}"/>
    <cellStyle name="Comma 2 2 2 2 2 2 2 2 2 2 6" xfId="817" xr:uid="{00000000-0005-0000-0000-0000AC020000}"/>
    <cellStyle name="Comma 2 2 2 2 2 2 2 2 2 2 7" xfId="818" xr:uid="{00000000-0005-0000-0000-0000AD020000}"/>
    <cellStyle name="Comma 2 2 2 2 2 2 2 2 2 3" xfId="819" xr:uid="{00000000-0005-0000-0000-0000AE020000}"/>
    <cellStyle name="Comma 2 2 2 2 2 2 2 2 2 4" xfId="820" xr:uid="{00000000-0005-0000-0000-0000AF020000}"/>
    <cellStyle name="Comma 2 2 2 2 2 2 2 2 2 5" xfId="821" xr:uid="{00000000-0005-0000-0000-0000B0020000}"/>
    <cellStyle name="Comma 2 2 2 2 2 2 2 2 2 6" xfId="822" xr:uid="{00000000-0005-0000-0000-0000B1020000}"/>
    <cellStyle name="Comma 2 2 2 2 2 2 2 2 2 7" xfId="823" xr:uid="{00000000-0005-0000-0000-0000B2020000}"/>
    <cellStyle name="Comma 2 2 2 2 2 2 2 2 3" xfId="824" xr:uid="{00000000-0005-0000-0000-0000B3020000}"/>
    <cellStyle name="Comma 2 2 2 2 2 2 2 2 4" xfId="825" xr:uid="{00000000-0005-0000-0000-0000B4020000}"/>
    <cellStyle name="Comma 2 2 2 2 2 2 2 2 5" xfId="826" xr:uid="{00000000-0005-0000-0000-0000B5020000}"/>
    <cellStyle name="Comma 2 2 2 2 2 2 2 2 6" xfId="827" xr:uid="{00000000-0005-0000-0000-0000B6020000}"/>
    <cellStyle name="Comma 2 2 2 2 2 2 2 2 7" xfId="828" xr:uid="{00000000-0005-0000-0000-0000B7020000}"/>
    <cellStyle name="Comma 2 2 2 2 2 2 2 2 8" xfId="829" xr:uid="{00000000-0005-0000-0000-0000B8020000}"/>
    <cellStyle name="Comma 2 2 2 2 2 2 2 3" xfId="830" xr:uid="{00000000-0005-0000-0000-0000B9020000}"/>
    <cellStyle name="Comma 2 2 2 2 2 2 2 3 2" xfId="831" xr:uid="{00000000-0005-0000-0000-0000BA020000}"/>
    <cellStyle name="Comma 2 2 2 2 2 2 2 3 3" xfId="832" xr:uid="{00000000-0005-0000-0000-0000BB020000}"/>
    <cellStyle name="Comma 2 2 2 2 2 2 2 3 4" xfId="833" xr:uid="{00000000-0005-0000-0000-0000BC020000}"/>
    <cellStyle name="Comma 2 2 2 2 2 2 2 3 5" xfId="834" xr:uid="{00000000-0005-0000-0000-0000BD020000}"/>
    <cellStyle name="Comma 2 2 2 2 2 2 2 4" xfId="835" xr:uid="{00000000-0005-0000-0000-0000BE020000}"/>
    <cellStyle name="Comma 2 2 2 2 2 2 2 5" xfId="836" xr:uid="{00000000-0005-0000-0000-0000BF020000}"/>
    <cellStyle name="Comma 2 2 2 2 2 2 2 6" xfId="837" xr:uid="{00000000-0005-0000-0000-0000C0020000}"/>
    <cellStyle name="Comma 2 2 2 2 2 2 2 7" xfId="838" xr:uid="{00000000-0005-0000-0000-0000C1020000}"/>
    <cellStyle name="Comma 2 2 2 2 2 2 2 8" xfId="839" xr:uid="{00000000-0005-0000-0000-0000C2020000}"/>
    <cellStyle name="Comma 2 2 2 2 2 2 3" xfId="840" xr:uid="{00000000-0005-0000-0000-0000C3020000}"/>
    <cellStyle name="Comma 2 2 2 2 2 2 4" xfId="841" xr:uid="{00000000-0005-0000-0000-0000C4020000}"/>
    <cellStyle name="Comma 2 2 2 2 2 2 5" xfId="842" xr:uid="{00000000-0005-0000-0000-0000C5020000}"/>
    <cellStyle name="Comma 2 2 2 2 2 2 6" xfId="843" xr:uid="{00000000-0005-0000-0000-0000C6020000}"/>
    <cellStyle name="Comma 2 2 2 2 2 2 6 2" xfId="844" xr:uid="{00000000-0005-0000-0000-0000C7020000}"/>
    <cellStyle name="Comma 2 2 2 2 2 2 6 2 2" xfId="845" xr:uid="{00000000-0005-0000-0000-0000C8020000}"/>
    <cellStyle name="Comma 2 2 2 2 2 2 6 2 3" xfId="846" xr:uid="{00000000-0005-0000-0000-0000C9020000}"/>
    <cellStyle name="Comma 2 2 2 2 2 2 6 2 4" xfId="847" xr:uid="{00000000-0005-0000-0000-0000CA020000}"/>
    <cellStyle name="Comma 2 2 2 2 2 2 6 2 5" xfId="848" xr:uid="{00000000-0005-0000-0000-0000CB020000}"/>
    <cellStyle name="Comma 2 2 2 2 2 2 6 3" xfId="849" xr:uid="{00000000-0005-0000-0000-0000CC020000}"/>
    <cellStyle name="Comma 2 2 2 2 2 2 6 4" xfId="850" xr:uid="{00000000-0005-0000-0000-0000CD020000}"/>
    <cellStyle name="Comma 2 2 2 2 2 2 6 5" xfId="851" xr:uid="{00000000-0005-0000-0000-0000CE020000}"/>
    <cellStyle name="Comma 2 2 2 2 2 2 7" xfId="852" xr:uid="{00000000-0005-0000-0000-0000CF020000}"/>
    <cellStyle name="Comma 2 2 2 2 2 2 8" xfId="853" xr:uid="{00000000-0005-0000-0000-0000D0020000}"/>
    <cellStyle name="Comma 2 2 2 2 2 2 9" xfId="854" xr:uid="{00000000-0005-0000-0000-0000D1020000}"/>
    <cellStyle name="Comma 2 2 2 2 2 3" xfId="855" xr:uid="{00000000-0005-0000-0000-0000D2020000}"/>
    <cellStyle name="Comma 2 2 2 2 2 3 2" xfId="856" xr:uid="{00000000-0005-0000-0000-0000D3020000}"/>
    <cellStyle name="Comma 2 2 2 2 2 3 2 2" xfId="857" xr:uid="{00000000-0005-0000-0000-0000D4020000}"/>
    <cellStyle name="Comma 2 2 2 2 2 3 2 2 2" xfId="858" xr:uid="{00000000-0005-0000-0000-0000D5020000}"/>
    <cellStyle name="Comma 2 2 2 2 2 3 2 2 2 2" xfId="859" xr:uid="{00000000-0005-0000-0000-0000D6020000}"/>
    <cellStyle name="Comma 2 2 2 2 2 3 2 2 2 3" xfId="860" xr:uid="{00000000-0005-0000-0000-0000D7020000}"/>
    <cellStyle name="Comma 2 2 2 2 2 3 2 2 2 4" xfId="861" xr:uid="{00000000-0005-0000-0000-0000D8020000}"/>
    <cellStyle name="Comma 2 2 2 2 2 3 2 2 2 5" xfId="862" xr:uid="{00000000-0005-0000-0000-0000D9020000}"/>
    <cellStyle name="Comma 2 2 2 2 2 3 2 2 3" xfId="863" xr:uid="{00000000-0005-0000-0000-0000DA020000}"/>
    <cellStyle name="Comma 2 2 2 2 2 3 2 2 4" xfId="864" xr:uid="{00000000-0005-0000-0000-0000DB020000}"/>
    <cellStyle name="Comma 2 2 2 2 2 3 2 2 5" xfId="865" xr:uid="{00000000-0005-0000-0000-0000DC020000}"/>
    <cellStyle name="Comma 2 2 2 2 2 3 2 3" xfId="866" xr:uid="{00000000-0005-0000-0000-0000DD020000}"/>
    <cellStyle name="Comma 2 2 2 2 2 3 2 4" xfId="867" xr:uid="{00000000-0005-0000-0000-0000DE020000}"/>
    <cellStyle name="Comma 2 2 2 2 2 3 2 5" xfId="868" xr:uid="{00000000-0005-0000-0000-0000DF020000}"/>
    <cellStyle name="Comma 2 2 2 2 2 3 2 6" xfId="869" xr:uid="{00000000-0005-0000-0000-0000E0020000}"/>
    <cellStyle name="Comma 2 2 2 2 2 3 3" xfId="870" xr:uid="{00000000-0005-0000-0000-0000E1020000}"/>
    <cellStyle name="Comma 2 2 2 2 2 3 3 2" xfId="871" xr:uid="{00000000-0005-0000-0000-0000E2020000}"/>
    <cellStyle name="Comma 2 2 2 2 2 3 3 3" xfId="872" xr:uid="{00000000-0005-0000-0000-0000E3020000}"/>
    <cellStyle name="Comma 2 2 2 2 2 3 3 4" xfId="873" xr:uid="{00000000-0005-0000-0000-0000E4020000}"/>
    <cellStyle name="Comma 2 2 2 2 2 3 3 5" xfId="874" xr:uid="{00000000-0005-0000-0000-0000E5020000}"/>
    <cellStyle name="Comma 2 2 2 2 2 3 4" xfId="875" xr:uid="{00000000-0005-0000-0000-0000E6020000}"/>
    <cellStyle name="Comma 2 2 2 2 2 3 5" xfId="876" xr:uid="{00000000-0005-0000-0000-0000E7020000}"/>
    <cellStyle name="Comma 2 2 2 2 2 3 6" xfId="877" xr:uid="{00000000-0005-0000-0000-0000E8020000}"/>
    <cellStyle name="Comma 2 2 2 2 2 4" xfId="878" xr:uid="{00000000-0005-0000-0000-0000E9020000}"/>
    <cellStyle name="Comma 2 2 2 2 2 5" xfId="879" xr:uid="{00000000-0005-0000-0000-0000EA020000}"/>
    <cellStyle name="Comma 2 2 2 2 2 6" xfId="880" xr:uid="{00000000-0005-0000-0000-0000EB020000}"/>
    <cellStyle name="Comma 2 2 2 2 2 6 2" xfId="881" xr:uid="{00000000-0005-0000-0000-0000EC020000}"/>
    <cellStyle name="Comma 2 2 2 2 2 6 2 2" xfId="882" xr:uid="{00000000-0005-0000-0000-0000ED020000}"/>
    <cellStyle name="Comma 2 2 2 2 2 6 2 3" xfId="883" xr:uid="{00000000-0005-0000-0000-0000EE020000}"/>
    <cellStyle name="Comma 2 2 2 2 2 6 2 4" xfId="884" xr:uid="{00000000-0005-0000-0000-0000EF020000}"/>
    <cellStyle name="Comma 2 2 2 2 2 6 2 5" xfId="885" xr:uid="{00000000-0005-0000-0000-0000F0020000}"/>
    <cellStyle name="Comma 2 2 2 2 2 6 3" xfId="886" xr:uid="{00000000-0005-0000-0000-0000F1020000}"/>
    <cellStyle name="Comma 2 2 2 2 2 6 4" xfId="887" xr:uid="{00000000-0005-0000-0000-0000F2020000}"/>
    <cellStyle name="Comma 2 2 2 2 2 6 5" xfId="888" xr:uid="{00000000-0005-0000-0000-0000F3020000}"/>
    <cellStyle name="Comma 2 2 2 2 2 7" xfId="889" xr:uid="{00000000-0005-0000-0000-0000F4020000}"/>
    <cellStyle name="Comma 2 2 2 2 2 8" xfId="890" xr:uid="{00000000-0005-0000-0000-0000F5020000}"/>
    <cellStyle name="Comma 2 2 2 2 2 9" xfId="891" xr:uid="{00000000-0005-0000-0000-0000F6020000}"/>
    <cellStyle name="Comma 2 2 2 2 3" xfId="892" xr:uid="{00000000-0005-0000-0000-0000F7020000}"/>
    <cellStyle name="Comma 2 2 2 2 3 2" xfId="893" xr:uid="{00000000-0005-0000-0000-0000F8020000}"/>
    <cellStyle name="Comma 2 2 2 2 3 2 2" xfId="894" xr:uid="{00000000-0005-0000-0000-0000F9020000}"/>
    <cellStyle name="Comma 2 2 2 2 3 2 2 2" xfId="895" xr:uid="{00000000-0005-0000-0000-0000FA020000}"/>
    <cellStyle name="Comma 2 2 2 2 3 2 2 2 2" xfId="896" xr:uid="{00000000-0005-0000-0000-0000FB020000}"/>
    <cellStyle name="Comma 2 2 2 2 3 2 2 2 3" xfId="897" xr:uid="{00000000-0005-0000-0000-0000FC020000}"/>
    <cellStyle name="Comma 2 2 2 2 3 2 2 2 4" xfId="898" xr:uid="{00000000-0005-0000-0000-0000FD020000}"/>
    <cellStyle name="Comma 2 2 2 2 3 2 2 2 5" xfId="899" xr:uid="{00000000-0005-0000-0000-0000FE020000}"/>
    <cellStyle name="Comma 2 2 2 2 3 2 2 3" xfId="900" xr:uid="{00000000-0005-0000-0000-0000FF020000}"/>
    <cellStyle name="Comma 2 2 2 2 3 2 2 4" xfId="901" xr:uid="{00000000-0005-0000-0000-000000030000}"/>
    <cellStyle name="Comma 2 2 2 2 3 2 2 5" xfId="902" xr:uid="{00000000-0005-0000-0000-000001030000}"/>
    <cellStyle name="Comma 2 2 2 2 3 2 3" xfId="903" xr:uid="{00000000-0005-0000-0000-000002030000}"/>
    <cellStyle name="Comma 2 2 2 2 3 2 4" xfId="904" xr:uid="{00000000-0005-0000-0000-000003030000}"/>
    <cellStyle name="Comma 2 2 2 2 3 2 5" xfId="905" xr:uid="{00000000-0005-0000-0000-000004030000}"/>
    <cellStyle name="Comma 2 2 2 2 3 2 6" xfId="906" xr:uid="{00000000-0005-0000-0000-000005030000}"/>
    <cellStyle name="Comma 2 2 2 2 3 3" xfId="907" xr:uid="{00000000-0005-0000-0000-000006030000}"/>
    <cellStyle name="Comma 2 2 2 2 3 3 2" xfId="908" xr:uid="{00000000-0005-0000-0000-000007030000}"/>
    <cellStyle name="Comma 2 2 2 2 3 3 3" xfId="909" xr:uid="{00000000-0005-0000-0000-000008030000}"/>
    <cellStyle name="Comma 2 2 2 2 3 3 4" xfId="910" xr:uid="{00000000-0005-0000-0000-000009030000}"/>
    <cellStyle name="Comma 2 2 2 2 3 3 5" xfId="911" xr:uid="{00000000-0005-0000-0000-00000A030000}"/>
    <cellStyle name="Comma 2 2 2 2 3 4" xfId="912" xr:uid="{00000000-0005-0000-0000-00000B030000}"/>
    <cellStyle name="Comma 2 2 2 2 3 5" xfId="913" xr:uid="{00000000-0005-0000-0000-00000C030000}"/>
    <cellStyle name="Comma 2 2 2 2 3 6" xfId="914" xr:uid="{00000000-0005-0000-0000-00000D030000}"/>
    <cellStyle name="Comma 2 2 2 2 4" xfId="915" xr:uid="{00000000-0005-0000-0000-00000E030000}"/>
    <cellStyle name="Comma 2 2 2 2 5" xfId="916" xr:uid="{00000000-0005-0000-0000-00000F030000}"/>
    <cellStyle name="Comma 2 2 2 2 6" xfId="917" xr:uid="{00000000-0005-0000-0000-000010030000}"/>
    <cellStyle name="Comma 2 2 2 2 7" xfId="918" xr:uid="{00000000-0005-0000-0000-000011030000}"/>
    <cellStyle name="Comma 2 2 2 2 7 2" xfId="919" xr:uid="{00000000-0005-0000-0000-000012030000}"/>
    <cellStyle name="Comma 2 2 2 2 7 2 2" xfId="920" xr:uid="{00000000-0005-0000-0000-000013030000}"/>
    <cellStyle name="Comma 2 2 2 2 7 2 3" xfId="921" xr:uid="{00000000-0005-0000-0000-000014030000}"/>
    <cellStyle name="Comma 2 2 2 2 7 2 4" xfId="922" xr:uid="{00000000-0005-0000-0000-000015030000}"/>
    <cellStyle name="Comma 2 2 2 2 7 2 5" xfId="923" xr:uid="{00000000-0005-0000-0000-000016030000}"/>
    <cellStyle name="Comma 2 2 2 2 7 3" xfId="924" xr:uid="{00000000-0005-0000-0000-000017030000}"/>
    <cellStyle name="Comma 2 2 2 2 7 4" xfId="925" xr:uid="{00000000-0005-0000-0000-000018030000}"/>
    <cellStyle name="Comma 2 2 2 2 7 5" xfId="926" xr:uid="{00000000-0005-0000-0000-000019030000}"/>
    <cellStyle name="Comma 2 2 2 2 8" xfId="927" xr:uid="{00000000-0005-0000-0000-00001A030000}"/>
    <cellStyle name="Comma 2 2 2 2 9" xfId="928" xr:uid="{00000000-0005-0000-0000-00001B030000}"/>
    <cellStyle name="Comma 2 2 2 3" xfId="929" xr:uid="{00000000-0005-0000-0000-00001C030000}"/>
    <cellStyle name="Comma 2 2 2 3 2" xfId="930" xr:uid="{00000000-0005-0000-0000-00001D030000}"/>
    <cellStyle name="Comma 2 2 2 3 2 2" xfId="931" xr:uid="{00000000-0005-0000-0000-00001E030000}"/>
    <cellStyle name="Comma 2 2 2 3 2 2 2" xfId="932" xr:uid="{00000000-0005-0000-0000-00001F030000}"/>
    <cellStyle name="Comma 2 2 2 3 2 2 2 2" xfId="933" xr:uid="{00000000-0005-0000-0000-000020030000}"/>
    <cellStyle name="Comma 2 2 2 3 2 2 2 3" xfId="934" xr:uid="{00000000-0005-0000-0000-000021030000}"/>
    <cellStyle name="Comma 2 2 2 3 2 2 2 4" xfId="935" xr:uid="{00000000-0005-0000-0000-000022030000}"/>
    <cellStyle name="Comma 2 2 2 3 2 2 2 5" xfId="936" xr:uid="{00000000-0005-0000-0000-000023030000}"/>
    <cellStyle name="Comma 2 2 2 3 2 2 3" xfId="937" xr:uid="{00000000-0005-0000-0000-000024030000}"/>
    <cellStyle name="Comma 2 2 2 3 2 2 4" xfId="938" xr:uid="{00000000-0005-0000-0000-000025030000}"/>
    <cellStyle name="Comma 2 2 2 3 2 2 5" xfId="939" xr:uid="{00000000-0005-0000-0000-000026030000}"/>
    <cellStyle name="Comma 2 2 2 3 2 3" xfId="940" xr:uid="{00000000-0005-0000-0000-000027030000}"/>
    <cellStyle name="Comma 2 2 2 3 2 4" xfId="941" xr:uid="{00000000-0005-0000-0000-000028030000}"/>
    <cellStyle name="Comma 2 2 2 3 2 5" xfId="942" xr:uid="{00000000-0005-0000-0000-000029030000}"/>
    <cellStyle name="Comma 2 2 2 3 2 6" xfId="943" xr:uid="{00000000-0005-0000-0000-00002A030000}"/>
    <cellStyle name="Comma 2 2 2 3 3" xfId="944" xr:uid="{00000000-0005-0000-0000-00002B030000}"/>
    <cellStyle name="Comma 2 2 2 3 3 2" xfId="945" xr:uid="{00000000-0005-0000-0000-00002C030000}"/>
    <cellStyle name="Comma 2 2 2 3 3 3" xfId="946" xr:uid="{00000000-0005-0000-0000-00002D030000}"/>
    <cellStyle name="Comma 2 2 2 3 3 4" xfId="947" xr:uid="{00000000-0005-0000-0000-00002E030000}"/>
    <cellStyle name="Comma 2 2 2 3 3 5" xfId="948" xr:uid="{00000000-0005-0000-0000-00002F030000}"/>
    <cellStyle name="Comma 2 2 2 3 4" xfId="949" xr:uid="{00000000-0005-0000-0000-000030030000}"/>
    <cellStyle name="Comma 2 2 2 3 5" xfId="950" xr:uid="{00000000-0005-0000-0000-000031030000}"/>
    <cellStyle name="Comma 2 2 2 3 6" xfId="951" xr:uid="{00000000-0005-0000-0000-000032030000}"/>
    <cellStyle name="Comma 2 2 2 4" xfId="952" xr:uid="{00000000-0005-0000-0000-000033030000}"/>
    <cellStyle name="Comma 2 2 2 5" xfId="953" xr:uid="{00000000-0005-0000-0000-000034030000}"/>
    <cellStyle name="Comma 2 2 2 6" xfId="954" xr:uid="{00000000-0005-0000-0000-000035030000}"/>
    <cellStyle name="Comma 2 2 2 7" xfId="955" xr:uid="{00000000-0005-0000-0000-000036030000}"/>
    <cellStyle name="Comma 2 2 2 7 2" xfId="956" xr:uid="{00000000-0005-0000-0000-000037030000}"/>
    <cellStyle name="Comma 2 2 2 7 2 2" xfId="957" xr:uid="{00000000-0005-0000-0000-000038030000}"/>
    <cellStyle name="Comma 2 2 2 7 2 3" xfId="958" xr:uid="{00000000-0005-0000-0000-000039030000}"/>
    <cellStyle name="Comma 2 2 2 7 2 4" xfId="959" xr:uid="{00000000-0005-0000-0000-00003A030000}"/>
    <cellStyle name="Comma 2 2 2 7 2 5" xfId="960" xr:uid="{00000000-0005-0000-0000-00003B030000}"/>
    <cellStyle name="Comma 2 2 2 7 3" xfId="961" xr:uid="{00000000-0005-0000-0000-00003C030000}"/>
    <cellStyle name="Comma 2 2 2 7 4" xfId="962" xr:uid="{00000000-0005-0000-0000-00003D030000}"/>
    <cellStyle name="Comma 2 2 2 7 5" xfId="963" xr:uid="{00000000-0005-0000-0000-00003E030000}"/>
    <cellStyle name="Comma 2 2 2 8" xfId="964" xr:uid="{00000000-0005-0000-0000-00003F030000}"/>
    <cellStyle name="Comma 2 2 2 9" xfId="965" xr:uid="{00000000-0005-0000-0000-000040030000}"/>
    <cellStyle name="Comma 2 2 3" xfId="966" xr:uid="{00000000-0005-0000-0000-000041030000}"/>
    <cellStyle name="Comma 2 2 4" xfId="967" xr:uid="{00000000-0005-0000-0000-000042030000}"/>
    <cellStyle name="Comma 2 2 5" xfId="968" xr:uid="{00000000-0005-0000-0000-000043030000}"/>
    <cellStyle name="Comma 2 2 6" xfId="969" xr:uid="{00000000-0005-0000-0000-000044030000}"/>
    <cellStyle name="Comma 2 2 7" xfId="970" xr:uid="{00000000-0005-0000-0000-000045030000}"/>
    <cellStyle name="Comma 2 2 8" xfId="971" xr:uid="{00000000-0005-0000-0000-000046030000}"/>
    <cellStyle name="Comma 2 2 9" xfId="972" xr:uid="{00000000-0005-0000-0000-000047030000}"/>
    <cellStyle name="Comma 2 2 9 2" xfId="973" xr:uid="{00000000-0005-0000-0000-000048030000}"/>
    <cellStyle name="Comma 2 2 9 2 2" xfId="974" xr:uid="{00000000-0005-0000-0000-000049030000}"/>
    <cellStyle name="Comma 2 2 9 2 2 2" xfId="975" xr:uid="{00000000-0005-0000-0000-00004A030000}"/>
    <cellStyle name="Comma 2 2 9 2 2 2 2" xfId="976" xr:uid="{00000000-0005-0000-0000-00004B030000}"/>
    <cellStyle name="Comma 2 2 9 2 2 2 3" xfId="977" xr:uid="{00000000-0005-0000-0000-00004C030000}"/>
    <cellStyle name="Comma 2 2 9 2 2 2 4" xfId="978" xr:uid="{00000000-0005-0000-0000-00004D030000}"/>
    <cellStyle name="Comma 2 2 9 2 2 2 5" xfId="979" xr:uid="{00000000-0005-0000-0000-00004E030000}"/>
    <cellStyle name="Comma 2 2 9 2 2 3" xfId="980" xr:uid="{00000000-0005-0000-0000-00004F030000}"/>
    <cellStyle name="Comma 2 2 9 2 2 4" xfId="981" xr:uid="{00000000-0005-0000-0000-000050030000}"/>
    <cellStyle name="Comma 2 2 9 2 2 5" xfId="982" xr:uid="{00000000-0005-0000-0000-000051030000}"/>
    <cellStyle name="Comma 2 2 9 2 3" xfId="983" xr:uid="{00000000-0005-0000-0000-000052030000}"/>
    <cellStyle name="Comma 2 2 9 2 4" xfId="984" xr:uid="{00000000-0005-0000-0000-000053030000}"/>
    <cellStyle name="Comma 2 2 9 2 5" xfId="985" xr:uid="{00000000-0005-0000-0000-000054030000}"/>
    <cellStyle name="Comma 2 2 9 2 6" xfId="986" xr:uid="{00000000-0005-0000-0000-000055030000}"/>
    <cellStyle name="Comma 2 2 9 3" xfId="987" xr:uid="{00000000-0005-0000-0000-000056030000}"/>
    <cellStyle name="Comma 2 2 9 3 2" xfId="988" xr:uid="{00000000-0005-0000-0000-000057030000}"/>
    <cellStyle name="Comma 2 2 9 3 3" xfId="989" xr:uid="{00000000-0005-0000-0000-000058030000}"/>
    <cellStyle name="Comma 2 2 9 3 4" xfId="990" xr:uid="{00000000-0005-0000-0000-000059030000}"/>
    <cellStyle name="Comma 2 2 9 3 5" xfId="991" xr:uid="{00000000-0005-0000-0000-00005A030000}"/>
    <cellStyle name="Comma 2 2 9 4" xfId="992" xr:uid="{00000000-0005-0000-0000-00005B030000}"/>
    <cellStyle name="Comma 2 2 9 5" xfId="993" xr:uid="{00000000-0005-0000-0000-00005C030000}"/>
    <cellStyle name="Comma 2 2 9 6" xfId="994" xr:uid="{00000000-0005-0000-0000-00005D030000}"/>
    <cellStyle name="Comma 2 3" xfId="30" xr:uid="{00000000-0005-0000-0000-00005E030000}"/>
    <cellStyle name="Comma 2 4" xfId="31" xr:uid="{00000000-0005-0000-0000-00005F030000}"/>
    <cellStyle name="Comma 2 5" xfId="995" xr:uid="{00000000-0005-0000-0000-000060030000}"/>
    <cellStyle name="Comma 2 6" xfId="996" xr:uid="{00000000-0005-0000-0000-000061030000}"/>
    <cellStyle name="Comma 2 7" xfId="997" xr:uid="{00000000-0005-0000-0000-000062030000}"/>
    <cellStyle name="Comma 2 8" xfId="998" xr:uid="{00000000-0005-0000-0000-000063030000}"/>
    <cellStyle name="Comma 2 9" xfId="999" xr:uid="{00000000-0005-0000-0000-000064030000}"/>
    <cellStyle name="Comma 3" xfId="32" xr:uid="{00000000-0005-0000-0000-000065030000}"/>
    <cellStyle name="Comma 3 2" xfId="1000" xr:uid="{00000000-0005-0000-0000-000066030000}"/>
    <cellStyle name="Comma 3 3" xfId="1001" xr:uid="{00000000-0005-0000-0000-000067030000}"/>
    <cellStyle name="Comma 3 4" xfId="1002" xr:uid="{00000000-0005-0000-0000-000068030000}"/>
    <cellStyle name="Comma 3 5" xfId="1003" xr:uid="{00000000-0005-0000-0000-000069030000}"/>
    <cellStyle name="Comma 3 6" xfId="1004" xr:uid="{00000000-0005-0000-0000-00006A030000}"/>
    <cellStyle name="Comma 3 7" xfId="1005" xr:uid="{00000000-0005-0000-0000-00006B030000}"/>
    <cellStyle name="Comma 3_HUTC Model vCurrent 3-30-12" xfId="1006" xr:uid="{00000000-0005-0000-0000-00006C030000}"/>
    <cellStyle name="Comma 4" xfId="33" xr:uid="{00000000-0005-0000-0000-00006D030000}"/>
    <cellStyle name="Comma 4 2" xfId="1007" xr:uid="{00000000-0005-0000-0000-00006E030000}"/>
    <cellStyle name="Comma 4 3" xfId="1008" xr:uid="{00000000-0005-0000-0000-00006F030000}"/>
    <cellStyle name="Comma 4 4" xfId="1009" xr:uid="{00000000-0005-0000-0000-000070030000}"/>
    <cellStyle name="Comma 5" xfId="1010" xr:uid="{00000000-0005-0000-0000-000071030000}"/>
    <cellStyle name="Comma 6" xfId="1011" xr:uid="{00000000-0005-0000-0000-000072030000}"/>
    <cellStyle name="Comma 7" xfId="1012" xr:uid="{00000000-0005-0000-0000-000073030000}"/>
    <cellStyle name="Comma 7 2" xfId="1013" xr:uid="{00000000-0005-0000-0000-000074030000}"/>
    <cellStyle name="Comma 7 3" xfId="1014" xr:uid="{00000000-0005-0000-0000-000075030000}"/>
    <cellStyle name="Comma 8" xfId="1608" xr:uid="{00000000-0005-0000-0000-000076030000}"/>
    <cellStyle name="Comma 9" xfId="1015" xr:uid="{00000000-0005-0000-0000-000077030000}"/>
    <cellStyle name="Comma 9 2" xfId="1016" xr:uid="{00000000-0005-0000-0000-000078030000}"/>
    <cellStyle name="comma zerodec" xfId="1017" xr:uid="{00000000-0005-0000-0000-000079030000}"/>
    <cellStyle name="Comma_Nextag One Pager - 01.18.11" xfId="160" xr:uid="{00000000-0005-0000-0000-00007A030000}"/>
    <cellStyle name="Comma0" xfId="34" xr:uid="{00000000-0005-0000-0000-00007B030000}"/>
    <cellStyle name="Curren - Style2" xfId="1018" xr:uid="{00000000-0005-0000-0000-00007C030000}"/>
    <cellStyle name="Currency [0] Total" xfId="35" xr:uid="{00000000-0005-0000-0000-00007E030000}"/>
    <cellStyle name="Currency [0] Total 2" xfId="1616" xr:uid="{00000000-0005-0000-0000-00007F030000}"/>
    <cellStyle name="Currency [1]" xfId="36" xr:uid="{00000000-0005-0000-0000-000080030000}"/>
    <cellStyle name="Currency [1] 2" xfId="37" xr:uid="{00000000-0005-0000-0000-000081030000}"/>
    <cellStyle name="Currency [1] Total" xfId="38" xr:uid="{00000000-0005-0000-0000-000082030000}"/>
    <cellStyle name="Currency [1] Total 2" xfId="1617" xr:uid="{00000000-0005-0000-0000-000083030000}"/>
    <cellStyle name="Currency [1]_Funds Flow 01" xfId="39" xr:uid="{00000000-0005-0000-0000-000084030000}"/>
    <cellStyle name="Currency [2]" xfId="40" xr:uid="{00000000-0005-0000-0000-000085030000}"/>
    <cellStyle name="Currency [2] 2" xfId="41" xr:uid="{00000000-0005-0000-0000-000086030000}"/>
    <cellStyle name="Currency [2] Total" xfId="42" xr:uid="{00000000-0005-0000-0000-000087030000}"/>
    <cellStyle name="Currency [2] Total 2" xfId="1618" xr:uid="{00000000-0005-0000-0000-000088030000}"/>
    <cellStyle name="Currency 2" xfId="162" xr:uid="{00000000-0005-0000-0000-000089030000}"/>
    <cellStyle name="Currency 2 2" xfId="43" xr:uid="{00000000-0005-0000-0000-00008A030000}"/>
    <cellStyle name="Currency 2 3" xfId="44" xr:uid="{00000000-0005-0000-0000-00008B030000}"/>
    <cellStyle name="Currency 2 4" xfId="45" xr:uid="{00000000-0005-0000-0000-00008C030000}"/>
    <cellStyle name="Currency 2 5" xfId="1619" xr:uid="{00000000-0005-0000-0000-00008D030000}"/>
    <cellStyle name="Currency 2 5 2" xfId="1620" xr:uid="{00000000-0005-0000-0000-00008E030000}"/>
    <cellStyle name="Currency 2 5 2 2" xfId="1641" xr:uid="{1503B40E-AF91-41BB-BD6B-AB136A2763C0}"/>
    <cellStyle name="Currency 2 5 3" xfId="1640" xr:uid="{61A5AB7A-2A59-4D39-8257-594DE331E80E}"/>
    <cellStyle name="Currency 3" xfId="46" xr:uid="{00000000-0005-0000-0000-00008F030000}"/>
    <cellStyle name="Currency 3 2" xfId="1019" xr:uid="{00000000-0005-0000-0000-000090030000}"/>
    <cellStyle name="Currency 3 3" xfId="1020" xr:uid="{00000000-0005-0000-0000-000091030000}"/>
    <cellStyle name="Currency 4" xfId="1621" xr:uid="{00000000-0005-0000-0000-000092030000}"/>
    <cellStyle name="Currency$_0" xfId="1021" xr:uid="{00000000-0005-0000-0000-000093030000}"/>
    <cellStyle name="Currency£_0" xfId="1022" xr:uid="{00000000-0005-0000-0000-000094030000}"/>
    <cellStyle name="Currency€_0" xfId="1023" xr:uid="{00000000-0005-0000-0000-000095030000}"/>
    <cellStyle name="Currency1" xfId="1024" xr:uid="{00000000-0005-0000-0000-000096030000}"/>
    <cellStyle name="DetailRows" xfId="47" xr:uid="{00000000-0005-0000-0000-000097030000}"/>
    <cellStyle name="Dollar (zero dec)" xfId="1025" xr:uid="{00000000-0005-0000-0000-000098030000}"/>
    <cellStyle name="Double Accounting" xfId="48" xr:uid="{00000000-0005-0000-0000-000099030000}"/>
    <cellStyle name="DrStd" xfId="49" xr:uid="{00000000-0005-0000-0000-00009A030000}"/>
    <cellStyle name="DrStd 2" xfId="1622" xr:uid="{00000000-0005-0000-0000-00009B030000}"/>
    <cellStyle name="EP3" xfId="1026" xr:uid="{00000000-0005-0000-0000-00009C030000}"/>
    <cellStyle name="Euro" xfId="50" xr:uid="{00000000-0005-0000-0000-00009D030000}"/>
    <cellStyle name="Explanatory Text 2" xfId="1027" xr:uid="{00000000-0005-0000-0000-00009E030000}"/>
    <cellStyle name="Explanatory Text 2 2" xfId="1028" xr:uid="{00000000-0005-0000-0000-00009F030000}"/>
    <cellStyle name="Explanatory Text 2 3" xfId="1029" xr:uid="{00000000-0005-0000-0000-0000A0030000}"/>
    <cellStyle name="Explanatory Text 2 4" xfId="1030" xr:uid="{00000000-0005-0000-0000-0000A1030000}"/>
    <cellStyle name="Explanatory Text 2 5" xfId="1031" xr:uid="{00000000-0005-0000-0000-0000A2030000}"/>
    <cellStyle name="Explanatory Text 2 6" xfId="1032" xr:uid="{00000000-0005-0000-0000-0000A3030000}"/>
    <cellStyle name="Explanatory Text 3" xfId="1033" xr:uid="{00000000-0005-0000-0000-0000A4030000}"/>
    <cellStyle name="Explanatory Text 3 2" xfId="1034" xr:uid="{00000000-0005-0000-0000-0000A5030000}"/>
    <cellStyle name="Explanatory Text 4" xfId="1035" xr:uid="{00000000-0005-0000-0000-0000A6030000}"/>
    <cellStyle name="Explanatory Text 4 2" xfId="1036" xr:uid="{00000000-0005-0000-0000-0000A7030000}"/>
    <cellStyle name="Explanatory Text 5" xfId="1037" xr:uid="{00000000-0005-0000-0000-0000A8030000}"/>
    <cellStyle name="Explanatory Text 6" xfId="1038" xr:uid="{00000000-0005-0000-0000-0000A9030000}"/>
    <cellStyle name="Explanatory Text 7 2" xfId="1039" xr:uid="{00000000-0005-0000-0000-0000AA030000}"/>
    <cellStyle name="Explanatory Text 7 3" xfId="1040" xr:uid="{00000000-0005-0000-0000-0000AB030000}"/>
    <cellStyle name="Explanatory Text 7 4" xfId="1041" xr:uid="{00000000-0005-0000-0000-0000AC030000}"/>
    <cellStyle name="Good 2" xfId="1042" xr:uid="{00000000-0005-0000-0000-0000AD030000}"/>
    <cellStyle name="Good 2 2" xfId="1043" xr:uid="{00000000-0005-0000-0000-0000AE030000}"/>
    <cellStyle name="Good 2 3" xfId="1044" xr:uid="{00000000-0005-0000-0000-0000AF030000}"/>
    <cellStyle name="Good 2 4" xfId="1045" xr:uid="{00000000-0005-0000-0000-0000B0030000}"/>
    <cellStyle name="Good 2 5" xfId="1046" xr:uid="{00000000-0005-0000-0000-0000B1030000}"/>
    <cellStyle name="Good 2 6" xfId="1047" xr:uid="{00000000-0005-0000-0000-0000B2030000}"/>
    <cellStyle name="Good 3" xfId="1048" xr:uid="{00000000-0005-0000-0000-0000B3030000}"/>
    <cellStyle name="Good 3 2" xfId="1049" xr:uid="{00000000-0005-0000-0000-0000B4030000}"/>
    <cellStyle name="Good 4" xfId="1050" xr:uid="{00000000-0005-0000-0000-0000B5030000}"/>
    <cellStyle name="Good 4 2" xfId="1051" xr:uid="{00000000-0005-0000-0000-0000B6030000}"/>
    <cellStyle name="Good 5" xfId="1052" xr:uid="{00000000-0005-0000-0000-0000B7030000}"/>
    <cellStyle name="Good 6" xfId="1053" xr:uid="{00000000-0005-0000-0000-0000B8030000}"/>
    <cellStyle name="Good 7 2" xfId="1054" xr:uid="{00000000-0005-0000-0000-0000B9030000}"/>
    <cellStyle name="Good 7 3" xfId="1055" xr:uid="{00000000-0005-0000-0000-0000BA030000}"/>
    <cellStyle name="Good 7 4" xfId="1056" xr:uid="{00000000-0005-0000-0000-0000BB030000}"/>
    <cellStyle name="Grand Total" xfId="51" xr:uid="{00000000-0005-0000-0000-0000BC030000}"/>
    <cellStyle name="Grey" xfId="52" xr:uid="{00000000-0005-0000-0000-0000BD030000}"/>
    <cellStyle name="Header1" xfId="53" xr:uid="{00000000-0005-0000-0000-0000BE030000}"/>
    <cellStyle name="Header2" xfId="54" xr:uid="{00000000-0005-0000-0000-0000BF030000}"/>
    <cellStyle name="Header2 10" xfId="1057" xr:uid="{00000000-0005-0000-0000-0000C0030000}"/>
    <cellStyle name="Header2 11" xfId="1058" xr:uid="{00000000-0005-0000-0000-0000C1030000}"/>
    <cellStyle name="Header2 12" xfId="1059" xr:uid="{00000000-0005-0000-0000-0000C2030000}"/>
    <cellStyle name="Header2 13" xfId="1060" xr:uid="{00000000-0005-0000-0000-0000C3030000}"/>
    <cellStyle name="Header2 14" xfId="1061" xr:uid="{00000000-0005-0000-0000-0000C4030000}"/>
    <cellStyle name="Header2 15" xfId="1062" xr:uid="{00000000-0005-0000-0000-0000C5030000}"/>
    <cellStyle name="Header2 2" xfId="1063" xr:uid="{00000000-0005-0000-0000-0000C6030000}"/>
    <cellStyle name="Header2 2 10" xfId="1064" xr:uid="{00000000-0005-0000-0000-0000C7030000}"/>
    <cellStyle name="Header2 2 11" xfId="1065" xr:uid="{00000000-0005-0000-0000-0000C8030000}"/>
    <cellStyle name="Header2 2 2" xfId="1066" xr:uid="{00000000-0005-0000-0000-0000C9030000}"/>
    <cellStyle name="Header2 2 3" xfId="1067" xr:uid="{00000000-0005-0000-0000-0000CA030000}"/>
    <cellStyle name="Header2 2 4" xfId="1068" xr:uid="{00000000-0005-0000-0000-0000CB030000}"/>
    <cellStyle name="Header2 2 5" xfId="1069" xr:uid="{00000000-0005-0000-0000-0000CC030000}"/>
    <cellStyle name="Header2 2 6" xfId="1070" xr:uid="{00000000-0005-0000-0000-0000CD030000}"/>
    <cellStyle name="Header2 2 7" xfId="1071" xr:uid="{00000000-0005-0000-0000-0000CE030000}"/>
    <cellStyle name="Header2 2 8" xfId="1072" xr:uid="{00000000-0005-0000-0000-0000CF030000}"/>
    <cellStyle name="Header2 2 9" xfId="1073" xr:uid="{00000000-0005-0000-0000-0000D0030000}"/>
    <cellStyle name="Header2 3" xfId="1074" xr:uid="{00000000-0005-0000-0000-0000D1030000}"/>
    <cellStyle name="Header2 4" xfId="1075" xr:uid="{00000000-0005-0000-0000-0000D2030000}"/>
    <cellStyle name="Header2 5" xfId="1076" xr:uid="{00000000-0005-0000-0000-0000D3030000}"/>
    <cellStyle name="Header2 6" xfId="1077" xr:uid="{00000000-0005-0000-0000-0000D4030000}"/>
    <cellStyle name="Header2 7" xfId="1078" xr:uid="{00000000-0005-0000-0000-0000D5030000}"/>
    <cellStyle name="Header2 8" xfId="1079" xr:uid="{00000000-0005-0000-0000-0000D6030000}"/>
    <cellStyle name="Header2 9" xfId="1080" xr:uid="{00000000-0005-0000-0000-0000D7030000}"/>
    <cellStyle name="Heading 1 2" xfId="1081" xr:uid="{00000000-0005-0000-0000-0000D8030000}"/>
    <cellStyle name="Heading 1 2 2" xfId="1082" xr:uid="{00000000-0005-0000-0000-0000D9030000}"/>
    <cellStyle name="Heading 1 2 3" xfId="1083" xr:uid="{00000000-0005-0000-0000-0000DA030000}"/>
    <cellStyle name="Heading 1 2 4" xfId="1084" xr:uid="{00000000-0005-0000-0000-0000DB030000}"/>
    <cellStyle name="Heading 1 2 5" xfId="1085" xr:uid="{00000000-0005-0000-0000-0000DC030000}"/>
    <cellStyle name="Heading 1 2 6" xfId="1086" xr:uid="{00000000-0005-0000-0000-0000DD030000}"/>
    <cellStyle name="Heading 1 3" xfId="1087" xr:uid="{00000000-0005-0000-0000-0000DE030000}"/>
    <cellStyle name="Heading 1 3 2" xfId="1088" xr:uid="{00000000-0005-0000-0000-0000DF030000}"/>
    <cellStyle name="Heading 1 4" xfId="1089" xr:uid="{00000000-0005-0000-0000-0000E0030000}"/>
    <cellStyle name="Heading 1 4 2" xfId="1090" xr:uid="{00000000-0005-0000-0000-0000E1030000}"/>
    <cellStyle name="Heading 1 5" xfId="1091" xr:uid="{00000000-0005-0000-0000-0000E2030000}"/>
    <cellStyle name="Heading 1 6" xfId="1092" xr:uid="{00000000-0005-0000-0000-0000E3030000}"/>
    <cellStyle name="Heading 1 7 2" xfId="1093" xr:uid="{00000000-0005-0000-0000-0000E4030000}"/>
    <cellStyle name="Heading 1 7 3" xfId="1094" xr:uid="{00000000-0005-0000-0000-0000E5030000}"/>
    <cellStyle name="Heading 1 7 4" xfId="1095" xr:uid="{00000000-0005-0000-0000-0000E6030000}"/>
    <cellStyle name="Heading 2 2" xfId="1096" xr:uid="{00000000-0005-0000-0000-0000E7030000}"/>
    <cellStyle name="Heading 2 2 2" xfId="1097" xr:uid="{00000000-0005-0000-0000-0000E8030000}"/>
    <cellStyle name="Heading 2 2 3" xfId="1098" xr:uid="{00000000-0005-0000-0000-0000E9030000}"/>
    <cellStyle name="Heading 2 2 4" xfId="1099" xr:uid="{00000000-0005-0000-0000-0000EA030000}"/>
    <cellStyle name="Heading 2 2 5" xfId="1100" xr:uid="{00000000-0005-0000-0000-0000EB030000}"/>
    <cellStyle name="Heading 2 2 6" xfId="1101" xr:uid="{00000000-0005-0000-0000-0000EC030000}"/>
    <cellStyle name="Heading 2 3" xfId="1102" xr:uid="{00000000-0005-0000-0000-0000ED030000}"/>
    <cellStyle name="Heading 2 3 2" xfId="1103" xr:uid="{00000000-0005-0000-0000-0000EE030000}"/>
    <cellStyle name="Heading 2 4" xfId="1104" xr:uid="{00000000-0005-0000-0000-0000EF030000}"/>
    <cellStyle name="Heading 2 4 2" xfId="1105" xr:uid="{00000000-0005-0000-0000-0000F0030000}"/>
    <cellStyle name="Heading 2 5" xfId="1106" xr:uid="{00000000-0005-0000-0000-0000F1030000}"/>
    <cellStyle name="Heading 2 6" xfId="1107" xr:uid="{00000000-0005-0000-0000-0000F2030000}"/>
    <cellStyle name="Heading 2 7 2" xfId="1108" xr:uid="{00000000-0005-0000-0000-0000F3030000}"/>
    <cellStyle name="Heading 2 7 3" xfId="1109" xr:uid="{00000000-0005-0000-0000-0000F4030000}"/>
    <cellStyle name="Heading 2 7 4" xfId="1110" xr:uid="{00000000-0005-0000-0000-0000F5030000}"/>
    <cellStyle name="Heading 3 2" xfId="1111" xr:uid="{00000000-0005-0000-0000-0000F6030000}"/>
    <cellStyle name="Heading 3 2 2" xfId="1112" xr:uid="{00000000-0005-0000-0000-0000F7030000}"/>
    <cellStyle name="Heading 3 2 3" xfId="1113" xr:uid="{00000000-0005-0000-0000-0000F8030000}"/>
    <cellStyle name="Heading 3 2 4" xfId="1114" xr:uid="{00000000-0005-0000-0000-0000F9030000}"/>
    <cellStyle name="Heading 3 2 5" xfId="1115" xr:uid="{00000000-0005-0000-0000-0000FA030000}"/>
    <cellStyle name="Heading 3 2 6" xfId="1116" xr:uid="{00000000-0005-0000-0000-0000FB030000}"/>
    <cellStyle name="Heading 3 3" xfId="1117" xr:uid="{00000000-0005-0000-0000-0000FC030000}"/>
    <cellStyle name="Heading 3 3 2" xfId="1118" xr:uid="{00000000-0005-0000-0000-0000FD030000}"/>
    <cellStyle name="Heading 3 4" xfId="1119" xr:uid="{00000000-0005-0000-0000-0000FE030000}"/>
    <cellStyle name="Heading 3 4 2" xfId="1120" xr:uid="{00000000-0005-0000-0000-0000FF030000}"/>
    <cellStyle name="Heading 3 5" xfId="1121" xr:uid="{00000000-0005-0000-0000-000000040000}"/>
    <cellStyle name="Heading 3 6" xfId="1122" xr:uid="{00000000-0005-0000-0000-000001040000}"/>
    <cellStyle name="Heading 3 7 2" xfId="1123" xr:uid="{00000000-0005-0000-0000-000002040000}"/>
    <cellStyle name="Heading 3 7 3" xfId="1124" xr:uid="{00000000-0005-0000-0000-000003040000}"/>
    <cellStyle name="Heading 3 7 4" xfId="1125" xr:uid="{00000000-0005-0000-0000-000004040000}"/>
    <cellStyle name="Heading 4 2" xfId="1126" xr:uid="{00000000-0005-0000-0000-000005040000}"/>
    <cellStyle name="Heading 4 2 2" xfId="1127" xr:uid="{00000000-0005-0000-0000-000006040000}"/>
    <cellStyle name="Heading 4 2 3" xfId="1128" xr:uid="{00000000-0005-0000-0000-000007040000}"/>
    <cellStyle name="Heading 4 2 4" xfId="1129" xr:uid="{00000000-0005-0000-0000-000008040000}"/>
    <cellStyle name="Heading 4 2 5" xfId="1130" xr:uid="{00000000-0005-0000-0000-000009040000}"/>
    <cellStyle name="Heading 4 2 6" xfId="1131" xr:uid="{00000000-0005-0000-0000-00000A040000}"/>
    <cellStyle name="Heading 4 3" xfId="1132" xr:uid="{00000000-0005-0000-0000-00000B040000}"/>
    <cellStyle name="Heading 4 3 2" xfId="1133" xr:uid="{00000000-0005-0000-0000-00000C040000}"/>
    <cellStyle name="Heading 4 4" xfId="1134" xr:uid="{00000000-0005-0000-0000-00000D040000}"/>
    <cellStyle name="Heading 4 4 2" xfId="1135" xr:uid="{00000000-0005-0000-0000-00000E040000}"/>
    <cellStyle name="Heading 4 5" xfId="1136" xr:uid="{00000000-0005-0000-0000-00000F040000}"/>
    <cellStyle name="Heading 4 6" xfId="1137" xr:uid="{00000000-0005-0000-0000-000010040000}"/>
    <cellStyle name="Heading 4 7 2" xfId="1138" xr:uid="{00000000-0005-0000-0000-000011040000}"/>
    <cellStyle name="Heading 4 7 3" xfId="1139" xr:uid="{00000000-0005-0000-0000-000012040000}"/>
    <cellStyle name="Heading 4 7 4" xfId="1140" xr:uid="{00000000-0005-0000-0000-000013040000}"/>
    <cellStyle name="Input [yellow]" xfId="55" xr:uid="{00000000-0005-0000-0000-000014040000}"/>
    <cellStyle name="Input [yellow] 10" xfId="1141" xr:uid="{00000000-0005-0000-0000-000015040000}"/>
    <cellStyle name="Input [yellow] 11" xfId="1142" xr:uid="{00000000-0005-0000-0000-000016040000}"/>
    <cellStyle name="Input [yellow] 12" xfId="1143" xr:uid="{00000000-0005-0000-0000-000017040000}"/>
    <cellStyle name="Input [yellow] 13" xfId="1144" xr:uid="{00000000-0005-0000-0000-000018040000}"/>
    <cellStyle name="Input [yellow] 14" xfId="1145" xr:uid="{00000000-0005-0000-0000-000019040000}"/>
    <cellStyle name="Input [yellow] 15" xfId="1146" xr:uid="{00000000-0005-0000-0000-00001A040000}"/>
    <cellStyle name="Input [yellow] 2" xfId="1147" xr:uid="{00000000-0005-0000-0000-00001B040000}"/>
    <cellStyle name="Input [yellow] 2 10" xfId="1148" xr:uid="{00000000-0005-0000-0000-00001C040000}"/>
    <cellStyle name="Input [yellow] 2 11" xfId="1149" xr:uid="{00000000-0005-0000-0000-00001D040000}"/>
    <cellStyle name="Input [yellow] 2 2" xfId="1150" xr:uid="{00000000-0005-0000-0000-00001E040000}"/>
    <cellStyle name="Input [yellow] 2 3" xfId="1151" xr:uid="{00000000-0005-0000-0000-00001F040000}"/>
    <cellStyle name="Input [yellow] 2 4" xfId="1152" xr:uid="{00000000-0005-0000-0000-000020040000}"/>
    <cellStyle name="Input [yellow] 2 5" xfId="1153" xr:uid="{00000000-0005-0000-0000-000021040000}"/>
    <cellStyle name="Input [yellow] 2 6" xfId="1154" xr:uid="{00000000-0005-0000-0000-000022040000}"/>
    <cellStyle name="Input [yellow] 2 7" xfId="1155" xr:uid="{00000000-0005-0000-0000-000023040000}"/>
    <cellStyle name="Input [yellow] 2 8" xfId="1156" xr:uid="{00000000-0005-0000-0000-000024040000}"/>
    <cellStyle name="Input [yellow] 2 9" xfId="1157" xr:uid="{00000000-0005-0000-0000-000025040000}"/>
    <cellStyle name="Input [yellow] 3" xfId="1158" xr:uid="{00000000-0005-0000-0000-000026040000}"/>
    <cellStyle name="Input [yellow] 4" xfId="1159" xr:uid="{00000000-0005-0000-0000-000027040000}"/>
    <cellStyle name="Input [yellow] 5" xfId="1160" xr:uid="{00000000-0005-0000-0000-000028040000}"/>
    <cellStyle name="Input [yellow] 6" xfId="1161" xr:uid="{00000000-0005-0000-0000-000029040000}"/>
    <cellStyle name="Input [yellow] 7" xfId="1162" xr:uid="{00000000-0005-0000-0000-00002A040000}"/>
    <cellStyle name="Input [yellow] 8" xfId="1163" xr:uid="{00000000-0005-0000-0000-00002B040000}"/>
    <cellStyle name="Input [yellow] 9" xfId="1164" xr:uid="{00000000-0005-0000-0000-00002C040000}"/>
    <cellStyle name="Input 2" xfId="1165" xr:uid="{00000000-0005-0000-0000-00002D040000}"/>
    <cellStyle name="Input 2 10" xfId="1166" xr:uid="{00000000-0005-0000-0000-00002E040000}"/>
    <cellStyle name="Input 2 11" xfId="1167" xr:uid="{00000000-0005-0000-0000-00002F040000}"/>
    <cellStyle name="Input 2 12" xfId="1168" xr:uid="{00000000-0005-0000-0000-000030040000}"/>
    <cellStyle name="Input 2 13" xfId="1169" xr:uid="{00000000-0005-0000-0000-000031040000}"/>
    <cellStyle name="Input 2 14" xfId="1170" xr:uid="{00000000-0005-0000-0000-000032040000}"/>
    <cellStyle name="Input 2 15" xfId="1171" xr:uid="{00000000-0005-0000-0000-000033040000}"/>
    <cellStyle name="Input 2 16" xfId="1172" xr:uid="{00000000-0005-0000-0000-000034040000}"/>
    <cellStyle name="Input 2 2" xfId="1173" xr:uid="{00000000-0005-0000-0000-000035040000}"/>
    <cellStyle name="Input 2 2 10" xfId="1174" xr:uid="{00000000-0005-0000-0000-000036040000}"/>
    <cellStyle name="Input 2 2 11" xfId="1175" xr:uid="{00000000-0005-0000-0000-000037040000}"/>
    <cellStyle name="Input 2 2 12" xfId="1176" xr:uid="{00000000-0005-0000-0000-000038040000}"/>
    <cellStyle name="Input 2 2 13" xfId="1177" xr:uid="{00000000-0005-0000-0000-000039040000}"/>
    <cellStyle name="Input 2 2 14" xfId="1178" xr:uid="{00000000-0005-0000-0000-00003A040000}"/>
    <cellStyle name="Input 2 2 15" xfId="1179" xr:uid="{00000000-0005-0000-0000-00003B040000}"/>
    <cellStyle name="Input 2 2 2" xfId="1180" xr:uid="{00000000-0005-0000-0000-00003C040000}"/>
    <cellStyle name="Input 2 2 2 10" xfId="1181" xr:uid="{00000000-0005-0000-0000-00003D040000}"/>
    <cellStyle name="Input 2 2 2 11" xfId="1182" xr:uid="{00000000-0005-0000-0000-00003E040000}"/>
    <cellStyle name="Input 2 2 2 2" xfId="1183" xr:uid="{00000000-0005-0000-0000-00003F040000}"/>
    <cellStyle name="Input 2 2 2 3" xfId="1184" xr:uid="{00000000-0005-0000-0000-000040040000}"/>
    <cellStyle name="Input 2 2 2 4" xfId="1185" xr:uid="{00000000-0005-0000-0000-000041040000}"/>
    <cellStyle name="Input 2 2 2 5" xfId="1186" xr:uid="{00000000-0005-0000-0000-000042040000}"/>
    <cellStyle name="Input 2 2 2 6" xfId="1187" xr:uid="{00000000-0005-0000-0000-000043040000}"/>
    <cellStyle name="Input 2 2 2 7" xfId="1188" xr:uid="{00000000-0005-0000-0000-000044040000}"/>
    <cellStyle name="Input 2 2 2 8" xfId="1189" xr:uid="{00000000-0005-0000-0000-000045040000}"/>
    <cellStyle name="Input 2 2 2 9" xfId="1190" xr:uid="{00000000-0005-0000-0000-000046040000}"/>
    <cellStyle name="Input 2 2 3" xfId="1191" xr:uid="{00000000-0005-0000-0000-000047040000}"/>
    <cellStyle name="Input 2 2 4" xfId="1192" xr:uid="{00000000-0005-0000-0000-000048040000}"/>
    <cellStyle name="Input 2 2 5" xfId="1193" xr:uid="{00000000-0005-0000-0000-000049040000}"/>
    <cellStyle name="Input 2 2 6" xfId="1194" xr:uid="{00000000-0005-0000-0000-00004A040000}"/>
    <cellStyle name="Input 2 2 7" xfId="1195" xr:uid="{00000000-0005-0000-0000-00004B040000}"/>
    <cellStyle name="Input 2 2 8" xfId="1196" xr:uid="{00000000-0005-0000-0000-00004C040000}"/>
    <cellStyle name="Input 2 2 9" xfId="1197" xr:uid="{00000000-0005-0000-0000-00004D040000}"/>
    <cellStyle name="Input 2 3" xfId="1198" xr:uid="{00000000-0005-0000-0000-00004E040000}"/>
    <cellStyle name="Input 2 3 10" xfId="1199" xr:uid="{00000000-0005-0000-0000-00004F040000}"/>
    <cellStyle name="Input 2 3 11" xfId="1200" xr:uid="{00000000-0005-0000-0000-000050040000}"/>
    <cellStyle name="Input 2 3 2" xfId="1201" xr:uid="{00000000-0005-0000-0000-000051040000}"/>
    <cellStyle name="Input 2 3 3" xfId="1202" xr:uid="{00000000-0005-0000-0000-000052040000}"/>
    <cellStyle name="Input 2 3 4" xfId="1203" xr:uid="{00000000-0005-0000-0000-000053040000}"/>
    <cellStyle name="Input 2 3 5" xfId="1204" xr:uid="{00000000-0005-0000-0000-000054040000}"/>
    <cellStyle name="Input 2 3 6" xfId="1205" xr:uid="{00000000-0005-0000-0000-000055040000}"/>
    <cellStyle name="Input 2 3 7" xfId="1206" xr:uid="{00000000-0005-0000-0000-000056040000}"/>
    <cellStyle name="Input 2 3 8" xfId="1207" xr:uid="{00000000-0005-0000-0000-000057040000}"/>
    <cellStyle name="Input 2 3 9" xfId="1208" xr:uid="{00000000-0005-0000-0000-000058040000}"/>
    <cellStyle name="Input 2 4" xfId="1209" xr:uid="{00000000-0005-0000-0000-000059040000}"/>
    <cellStyle name="Input 2 5" xfId="1210" xr:uid="{00000000-0005-0000-0000-00005A040000}"/>
    <cellStyle name="Input 2 6" xfId="1211" xr:uid="{00000000-0005-0000-0000-00005B040000}"/>
    <cellStyle name="Input 2 7" xfId="1212" xr:uid="{00000000-0005-0000-0000-00005C040000}"/>
    <cellStyle name="Input 2 8" xfId="1213" xr:uid="{00000000-0005-0000-0000-00005D040000}"/>
    <cellStyle name="Input 2 9" xfId="1214" xr:uid="{00000000-0005-0000-0000-00005E040000}"/>
    <cellStyle name="Input 3" xfId="1215" xr:uid="{00000000-0005-0000-0000-00005F040000}"/>
    <cellStyle name="Input 3 2" xfId="1216" xr:uid="{00000000-0005-0000-0000-000060040000}"/>
    <cellStyle name="Input 4" xfId="1217" xr:uid="{00000000-0005-0000-0000-000061040000}"/>
    <cellStyle name="Input 4 2" xfId="1218" xr:uid="{00000000-0005-0000-0000-000062040000}"/>
    <cellStyle name="Input 5" xfId="1219" xr:uid="{00000000-0005-0000-0000-000063040000}"/>
    <cellStyle name="Input 6" xfId="1220" xr:uid="{00000000-0005-0000-0000-000064040000}"/>
    <cellStyle name="Input 7" xfId="1221" xr:uid="{00000000-0005-0000-0000-000065040000}"/>
    <cellStyle name="Input 8 2" xfId="1222" xr:uid="{00000000-0005-0000-0000-000066040000}"/>
    <cellStyle name="Input 8 3" xfId="1223" xr:uid="{00000000-0005-0000-0000-000067040000}"/>
    <cellStyle name="Input 8 4" xfId="1224" xr:uid="{00000000-0005-0000-0000-000068040000}"/>
    <cellStyle name="Legal 8½ x 14 in" xfId="56" xr:uid="{00000000-0005-0000-0000-000069040000}"/>
    <cellStyle name="Link_%" xfId="1225" xr:uid="{00000000-0005-0000-0000-00006A040000}"/>
    <cellStyle name="Linked Cell 2" xfId="1226" xr:uid="{00000000-0005-0000-0000-00006B040000}"/>
    <cellStyle name="Linked Cell 2 2" xfId="1227" xr:uid="{00000000-0005-0000-0000-00006C040000}"/>
    <cellStyle name="Linked Cell 2 3" xfId="1228" xr:uid="{00000000-0005-0000-0000-00006D040000}"/>
    <cellStyle name="Linked Cell 2 4" xfId="1229" xr:uid="{00000000-0005-0000-0000-00006E040000}"/>
    <cellStyle name="Linked Cell 2 5" xfId="1230" xr:uid="{00000000-0005-0000-0000-00006F040000}"/>
    <cellStyle name="Linked Cell 2 6" xfId="1231" xr:uid="{00000000-0005-0000-0000-000070040000}"/>
    <cellStyle name="Linked Cell 3" xfId="1232" xr:uid="{00000000-0005-0000-0000-000071040000}"/>
    <cellStyle name="Linked Cell 3 2" xfId="1233" xr:uid="{00000000-0005-0000-0000-000072040000}"/>
    <cellStyle name="Linked Cell 4" xfId="1234" xr:uid="{00000000-0005-0000-0000-000073040000}"/>
    <cellStyle name="Linked Cell 4 2" xfId="1235" xr:uid="{00000000-0005-0000-0000-000074040000}"/>
    <cellStyle name="Linked Cell 5" xfId="1236" xr:uid="{00000000-0005-0000-0000-000075040000}"/>
    <cellStyle name="Linked Cell 6" xfId="1237" xr:uid="{00000000-0005-0000-0000-000076040000}"/>
    <cellStyle name="Linked Cell 7 2" xfId="1238" xr:uid="{00000000-0005-0000-0000-000077040000}"/>
    <cellStyle name="Linked Cell 7 3" xfId="1239" xr:uid="{00000000-0005-0000-0000-000078040000}"/>
    <cellStyle name="Linked Cell 7 4" xfId="1240" xr:uid="{00000000-0005-0000-0000-000079040000}"/>
    <cellStyle name="MLComma0" xfId="57" xr:uid="{00000000-0005-0000-0000-00007A040000}"/>
    <cellStyle name="Moeda [0]_aola" xfId="1241" xr:uid="{00000000-0005-0000-0000-00007B040000}"/>
    <cellStyle name="Moeda_aola" xfId="1242" xr:uid="{00000000-0005-0000-0000-00007C040000}"/>
    <cellStyle name="Neutral 2" xfId="1243" xr:uid="{00000000-0005-0000-0000-00007D040000}"/>
    <cellStyle name="Neutral 2 2" xfId="1244" xr:uid="{00000000-0005-0000-0000-00007E040000}"/>
    <cellStyle name="Neutral 2 3" xfId="1245" xr:uid="{00000000-0005-0000-0000-00007F040000}"/>
    <cellStyle name="Neutral 2 4" xfId="1246" xr:uid="{00000000-0005-0000-0000-000080040000}"/>
    <cellStyle name="Neutral 2 5" xfId="1247" xr:uid="{00000000-0005-0000-0000-000081040000}"/>
    <cellStyle name="Neutral 2 6" xfId="1248" xr:uid="{00000000-0005-0000-0000-000082040000}"/>
    <cellStyle name="Neutral 3" xfId="1249" xr:uid="{00000000-0005-0000-0000-000083040000}"/>
    <cellStyle name="Neutral 3 2" xfId="1250" xr:uid="{00000000-0005-0000-0000-000084040000}"/>
    <cellStyle name="Neutral 4" xfId="1251" xr:uid="{00000000-0005-0000-0000-000085040000}"/>
    <cellStyle name="Neutral 4 2" xfId="1252" xr:uid="{00000000-0005-0000-0000-000086040000}"/>
    <cellStyle name="Neutral 5" xfId="1253" xr:uid="{00000000-0005-0000-0000-000087040000}"/>
    <cellStyle name="Neutral 6" xfId="1254" xr:uid="{00000000-0005-0000-0000-000088040000}"/>
    <cellStyle name="Neutral 7 2" xfId="1255" xr:uid="{00000000-0005-0000-0000-000089040000}"/>
    <cellStyle name="Neutral 7 3" xfId="1256" xr:uid="{00000000-0005-0000-0000-00008A040000}"/>
    <cellStyle name="Neutral 7 4" xfId="1257" xr:uid="{00000000-0005-0000-0000-00008B040000}"/>
    <cellStyle name="no dec" xfId="58" xr:uid="{00000000-0005-0000-0000-00008C040000}"/>
    <cellStyle name="Norm੎੎" xfId="1258" xr:uid="{00000000-0005-0000-0000-00008D040000}"/>
    <cellStyle name="Normal" xfId="0" builtinId="0"/>
    <cellStyle name="Normal - Style1" xfId="59" xr:uid="{00000000-0005-0000-0000-00008F040000}"/>
    <cellStyle name="Normal - ｵ鮖蘯ｺ1" xfId="1259" xr:uid="{00000000-0005-0000-0000-000090040000}"/>
    <cellStyle name="Normal 10" xfId="1260" xr:uid="{00000000-0005-0000-0000-000091040000}"/>
    <cellStyle name="Normal 10 11" xfId="1261" xr:uid="{00000000-0005-0000-0000-000092040000}"/>
    <cellStyle name="Normal 10 11 2" xfId="1623" xr:uid="{00000000-0005-0000-0000-000093040000}"/>
    <cellStyle name="Normal 10_Model 1-14-12" xfId="1262" xr:uid="{00000000-0005-0000-0000-000094040000}"/>
    <cellStyle name="Normal 11" xfId="1263" xr:uid="{00000000-0005-0000-0000-000095040000}"/>
    <cellStyle name="Normal 12" xfId="1264" xr:uid="{00000000-0005-0000-0000-000096040000}"/>
    <cellStyle name="Normal 13" xfId="1265" xr:uid="{00000000-0005-0000-0000-000097040000}"/>
    <cellStyle name="Normal 14" xfId="1266" xr:uid="{00000000-0005-0000-0000-000098040000}"/>
    <cellStyle name="Normal 15" xfId="1612" xr:uid="{00000000-0005-0000-0000-000099040000}"/>
    <cellStyle name="Normal 16" xfId="1624" xr:uid="{00000000-0005-0000-0000-00009A040000}"/>
    <cellStyle name="Normal 16 2" xfId="1642" xr:uid="{8EDD8D23-647A-43DE-B77B-072CB006ECA3}"/>
    <cellStyle name="Normal 17" xfId="1625" xr:uid="{00000000-0005-0000-0000-00009B040000}"/>
    <cellStyle name="Normal 18" xfId="1626" xr:uid="{00000000-0005-0000-0000-00009C040000}"/>
    <cellStyle name="Normal 18 2" xfId="1643" xr:uid="{F183FDCE-C59A-4C5A-BDB4-86805623FDC2}"/>
    <cellStyle name="Normal 19" xfId="1627" xr:uid="{00000000-0005-0000-0000-00009D040000}"/>
    <cellStyle name="Normal 19 2" xfId="1644" xr:uid="{70DEFD9B-33AA-415C-958B-7A1023D7985F}"/>
    <cellStyle name="Normal 2" xfId="60" xr:uid="{00000000-0005-0000-0000-00009E040000}"/>
    <cellStyle name="Normal 2 2" xfId="164" xr:uid="{00000000-0005-0000-0000-00009F040000}"/>
    <cellStyle name="Normal 2 2 10" xfId="1267" xr:uid="{00000000-0005-0000-0000-0000A0040000}"/>
    <cellStyle name="Normal 2 2 11" xfId="1268" xr:uid="{00000000-0005-0000-0000-0000A1040000}"/>
    <cellStyle name="Normal 2 2 12" xfId="1269" xr:uid="{00000000-0005-0000-0000-0000A2040000}"/>
    <cellStyle name="Normal 2 2 13" xfId="1270" xr:uid="{00000000-0005-0000-0000-0000A3040000}"/>
    <cellStyle name="Normal 2 2 14" xfId="1271" xr:uid="{00000000-0005-0000-0000-0000A4040000}"/>
    <cellStyle name="Normal 2 2 15" xfId="1272" xr:uid="{00000000-0005-0000-0000-0000A5040000}"/>
    <cellStyle name="Normal 2 2 16" xfId="1273" xr:uid="{00000000-0005-0000-0000-0000A6040000}"/>
    <cellStyle name="Normal 2 2 17" xfId="1274" xr:uid="{00000000-0005-0000-0000-0000A7040000}"/>
    <cellStyle name="Normal 2 2 18" xfId="1275" xr:uid="{00000000-0005-0000-0000-0000A8040000}"/>
    <cellStyle name="Normal 2 2 19" xfId="1276" xr:uid="{00000000-0005-0000-0000-0000A9040000}"/>
    <cellStyle name="Normal 2 2 2" xfId="1277" xr:uid="{00000000-0005-0000-0000-0000AA040000}"/>
    <cellStyle name="Normal 2 2 2 2" xfId="1278" xr:uid="{00000000-0005-0000-0000-0000AB040000}"/>
    <cellStyle name="Normal 2 2 2 2 2" xfId="1279" xr:uid="{00000000-0005-0000-0000-0000AC040000}"/>
    <cellStyle name="Normal 2 2 2 2 3" xfId="1280" xr:uid="{00000000-0005-0000-0000-0000AD040000}"/>
    <cellStyle name="Normal 2 2 2 2 4" xfId="1281" xr:uid="{00000000-0005-0000-0000-0000AE040000}"/>
    <cellStyle name="Normal 2 2 2 2 5" xfId="1282" xr:uid="{00000000-0005-0000-0000-0000AF040000}"/>
    <cellStyle name="Normal 2 2 2 2 6" xfId="1283" xr:uid="{00000000-0005-0000-0000-0000B0040000}"/>
    <cellStyle name="Normal 2 2 2 2 7" xfId="1284" xr:uid="{00000000-0005-0000-0000-0000B1040000}"/>
    <cellStyle name="Normal 2 2 2 2_Expense Material Breakdown" xfId="1285" xr:uid="{00000000-0005-0000-0000-0000B2040000}"/>
    <cellStyle name="Normal 2 2 2 3" xfId="1286" xr:uid="{00000000-0005-0000-0000-0000B3040000}"/>
    <cellStyle name="Normal 2 2 2 4" xfId="1287" xr:uid="{00000000-0005-0000-0000-0000B4040000}"/>
    <cellStyle name="Normal 2 2 2 5" xfId="1288" xr:uid="{00000000-0005-0000-0000-0000B5040000}"/>
    <cellStyle name="Normal 2 2 2 6" xfId="1289" xr:uid="{00000000-0005-0000-0000-0000B6040000}"/>
    <cellStyle name="Normal 2 2 2 7" xfId="1290" xr:uid="{00000000-0005-0000-0000-0000B7040000}"/>
    <cellStyle name="Normal 2 2 2_GLSA" xfId="1291" xr:uid="{00000000-0005-0000-0000-0000B8040000}"/>
    <cellStyle name="Normal 2 2 20" xfId="1292" xr:uid="{00000000-0005-0000-0000-0000B9040000}"/>
    <cellStyle name="Normal 2 2 3" xfId="1293" xr:uid="{00000000-0005-0000-0000-0000BA040000}"/>
    <cellStyle name="Normal 2 2 4" xfId="1294" xr:uid="{00000000-0005-0000-0000-0000BB040000}"/>
    <cellStyle name="Normal 2 2 5" xfId="1295" xr:uid="{00000000-0005-0000-0000-0000BC040000}"/>
    <cellStyle name="Normal 2 2 6" xfId="1296" xr:uid="{00000000-0005-0000-0000-0000BD040000}"/>
    <cellStyle name="Normal 2 2 7" xfId="1297" xr:uid="{00000000-0005-0000-0000-0000BE040000}"/>
    <cellStyle name="Normal 2 2 8" xfId="1298" xr:uid="{00000000-0005-0000-0000-0000BF040000}"/>
    <cellStyle name="Normal 2 2 9" xfId="1299" xr:uid="{00000000-0005-0000-0000-0000C0040000}"/>
    <cellStyle name="Normal 2 2_Inventory Reserve Workbook (wTax Effect and JE) 2009-11-19 TC" xfId="1300" xr:uid="{00000000-0005-0000-0000-0000C1040000}"/>
    <cellStyle name="Normal 2 3" xfId="61" xr:uid="{00000000-0005-0000-0000-0000C2040000}"/>
    <cellStyle name="Normal 2 3 10" xfId="1301" xr:uid="{00000000-0005-0000-0000-0000C3040000}"/>
    <cellStyle name="Normal 2 3 11" xfId="1302" xr:uid="{00000000-0005-0000-0000-0000C4040000}"/>
    <cellStyle name="Normal 2 3 12" xfId="1303" xr:uid="{00000000-0005-0000-0000-0000C5040000}"/>
    <cellStyle name="Normal 2 3 2" xfId="1304" xr:uid="{00000000-0005-0000-0000-0000C6040000}"/>
    <cellStyle name="Normal 2 3 3" xfId="1305" xr:uid="{00000000-0005-0000-0000-0000C7040000}"/>
    <cellStyle name="Normal 2 3 4" xfId="1306" xr:uid="{00000000-0005-0000-0000-0000C8040000}"/>
    <cellStyle name="Normal 2 3 5" xfId="1307" xr:uid="{00000000-0005-0000-0000-0000C9040000}"/>
    <cellStyle name="Normal 2 3 6" xfId="1308" xr:uid="{00000000-0005-0000-0000-0000CA040000}"/>
    <cellStyle name="Normal 2 3 7" xfId="1309" xr:uid="{00000000-0005-0000-0000-0000CB040000}"/>
    <cellStyle name="Normal 2 3 8" xfId="1310" xr:uid="{00000000-0005-0000-0000-0000CC040000}"/>
    <cellStyle name="Normal 2 3 9" xfId="1311" xr:uid="{00000000-0005-0000-0000-0000CD040000}"/>
    <cellStyle name="Normal 2 3_Bridge" xfId="1628" xr:uid="{00000000-0005-0000-0000-0000CE040000}"/>
    <cellStyle name="Normal 2 4" xfId="1312" xr:uid="{00000000-0005-0000-0000-0000CF040000}"/>
    <cellStyle name="Normal 2 5" xfId="1313" xr:uid="{00000000-0005-0000-0000-0000D0040000}"/>
    <cellStyle name="Normal 2 5 2" xfId="1652" xr:uid="{341B2893-AB49-420D-9B48-E4B537B66FE0}"/>
    <cellStyle name="Normal 2 6" xfId="1314" xr:uid="{00000000-0005-0000-0000-0000D1040000}"/>
    <cellStyle name="Normal 2 7" xfId="1315" xr:uid="{00000000-0005-0000-0000-0000D2040000}"/>
    <cellStyle name="Normal 2 8" xfId="1316" xr:uid="{00000000-0005-0000-0000-0000D3040000}"/>
    <cellStyle name="Normal 2 9" xfId="1629" xr:uid="{00000000-0005-0000-0000-0000D4040000}"/>
    <cellStyle name="Normal 2 9 2" xfId="1630" xr:uid="{00000000-0005-0000-0000-0000D5040000}"/>
    <cellStyle name="Normal 2 9 2 2" xfId="1646" xr:uid="{E5662B47-155A-4EF4-B6AE-F2735E11311C}"/>
    <cellStyle name="Normal 2 9 3" xfId="1645" xr:uid="{6D327A67-034C-412D-B9BF-67A9020C5951}"/>
    <cellStyle name="Normal 2_HUTC Model vCurrent 3-30-12" xfId="1317" xr:uid="{00000000-0005-0000-0000-0000D6040000}"/>
    <cellStyle name="Normal 21" xfId="1648" xr:uid="{A4E84419-3EEE-4756-9AF5-0399CF3F393B}"/>
    <cellStyle name="Normal 21 2" xfId="1650" xr:uid="{DE9E60A0-AFEF-47FE-A4A1-74A5315B1081}"/>
    <cellStyle name="Normal 3" xfId="62" xr:uid="{00000000-0005-0000-0000-0000D7040000}"/>
    <cellStyle name="Normal 3 2" xfId="1318" xr:uid="{00000000-0005-0000-0000-0000D8040000}"/>
    <cellStyle name="Normal 3 2 2" xfId="1319" xr:uid="{00000000-0005-0000-0000-0000D9040000}"/>
    <cellStyle name="Normal 3 2_Expense Material Breakdown" xfId="1320" xr:uid="{00000000-0005-0000-0000-0000DA040000}"/>
    <cellStyle name="Normal 3 3" xfId="63" xr:uid="{00000000-0005-0000-0000-0000DB040000}"/>
    <cellStyle name="Normal 3 4" xfId="1321" xr:uid="{00000000-0005-0000-0000-0000DC040000}"/>
    <cellStyle name="Normal 3_Bridge" xfId="1631" xr:uid="{00000000-0005-0000-0000-0000DD040000}"/>
    <cellStyle name="Normal 37" xfId="1322" xr:uid="{00000000-0005-0000-0000-0000DE040000}"/>
    <cellStyle name="Normal 4" xfId="64" xr:uid="{00000000-0005-0000-0000-0000DF040000}"/>
    <cellStyle name="Normal 4 2" xfId="1323" xr:uid="{00000000-0005-0000-0000-0000E0040000}"/>
    <cellStyle name="Normal 4 3" xfId="1324" xr:uid="{00000000-0005-0000-0000-0000E1040000}"/>
    <cellStyle name="Normal 4 4" xfId="1325" xr:uid="{00000000-0005-0000-0000-0000E2040000}"/>
    <cellStyle name="Normal 4 5" xfId="1326" xr:uid="{00000000-0005-0000-0000-0000E3040000}"/>
    <cellStyle name="Normal 4 6" xfId="1327" xr:uid="{00000000-0005-0000-0000-0000E4040000}"/>
    <cellStyle name="Normal 4_Bridge" xfId="1632" xr:uid="{00000000-0005-0000-0000-0000E5040000}"/>
    <cellStyle name="Normal 41" xfId="1328" xr:uid="{00000000-0005-0000-0000-0000E6040000}"/>
    <cellStyle name="Normal 42" xfId="1329" xr:uid="{00000000-0005-0000-0000-0000E7040000}"/>
    <cellStyle name="Normal 43" xfId="1330" xr:uid="{00000000-0005-0000-0000-0000E8040000}"/>
    <cellStyle name="Normal 45" xfId="158" xr:uid="{00000000-0005-0000-0000-0000E9040000}"/>
    <cellStyle name="Normal 46" xfId="157" xr:uid="{00000000-0005-0000-0000-0000EA040000}"/>
    <cellStyle name="Normal 5" xfId="163" xr:uid="{00000000-0005-0000-0000-0000EB040000}"/>
    <cellStyle name="Normal 5 2" xfId="1331" xr:uid="{00000000-0005-0000-0000-0000EC040000}"/>
    <cellStyle name="Normal 5 3" xfId="1332" xr:uid="{00000000-0005-0000-0000-0000ED040000}"/>
    <cellStyle name="Normal 5 4" xfId="1333" xr:uid="{00000000-0005-0000-0000-0000EE040000}"/>
    <cellStyle name="Normal 6" xfId="1334" xr:uid="{00000000-0005-0000-0000-0000EF040000}"/>
    <cellStyle name="Normal 6 2" xfId="1335" xr:uid="{00000000-0005-0000-0000-0000F0040000}"/>
    <cellStyle name="Normal 6 3" xfId="1336" xr:uid="{00000000-0005-0000-0000-0000F1040000}"/>
    <cellStyle name="Normal 6 4" xfId="1337" xr:uid="{00000000-0005-0000-0000-0000F2040000}"/>
    <cellStyle name="Normal 62" xfId="1647" xr:uid="{7AE2FB1B-1BF1-4C5D-957E-912331279DBC}"/>
    <cellStyle name="Normal 7" xfId="1338" xr:uid="{00000000-0005-0000-0000-0000F3040000}"/>
    <cellStyle name="Normal 8" xfId="1339" xr:uid="{00000000-0005-0000-0000-0000F4040000}"/>
    <cellStyle name="Normal 9" xfId="1340" xr:uid="{00000000-0005-0000-0000-0000F5040000}"/>
    <cellStyle name="Normal_Nextag One Pager - 01.18.11" xfId="165" xr:uid="{00000000-0005-0000-0000-0000F8040000}"/>
    <cellStyle name="Note 2" xfId="1341" xr:uid="{00000000-0005-0000-0000-0000FB040000}"/>
    <cellStyle name="Note 2 10" xfId="1342" xr:uid="{00000000-0005-0000-0000-0000FC040000}"/>
    <cellStyle name="Note 2 11" xfId="1343" xr:uid="{00000000-0005-0000-0000-0000FD040000}"/>
    <cellStyle name="Note 2 12" xfId="1344" xr:uid="{00000000-0005-0000-0000-0000FE040000}"/>
    <cellStyle name="Note 2 13" xfId="1345" xr:uid="{00000000-0005-0000-0000-0000FF040000}"/>
    <cellStyle name="Note 2 14" xfId="1346" xr:uid="{00000000-0005-0000-0000-000000050000}"/>
    <cellStyle name="Note 2 15" xfId="1347" xr:uid="{00000000-0005-0000-0000-000001050000}"/>
    <cellStyle name="Note 2 16" xfId="1348" xr:uid="{00000000-0005-0000-0000-000002050000}"/>
    <cellStyle name="Note 2 17" xfId="1349" xr:uid="{00000000-0005-0000-0000-000003050000}"/>
    <cellStyle name="Note 2 2" xfId="1350" xr:uid="{00000000-0005-0000-0000-000004050000}"/>
    <cellStyle name="Note 2 2 10" xfId="1351" xr:uid="{00000000-0005-0000-0000-000005050000}"/>
    <cellStyle name="Note 2 2 11" xfId="1352" xr:uid="{00000000-0005-0000-0000-000006050000}"/>
    <cellStyle name="Note 2 2 12" xfId="1353" xr:uid="{00000000-0005-0000-0000-000007050000}"/>
    <cellStyle name="Note 2 2 13" xfId="1354" xr:uid="{00000000-0005-0000-0000-000008050000}"/>
    <cellStyle name="Note 2 2 14" xfId="1355" xr:uid="{00000000-0005-0000-0000-000009050000}"/>
    <cellStyle name="Note 2 2 15" xfId="1356" xr:uid="{00000000-0005-0000-0000-00000A050000}"/>
    <cellStyle name="Note 2 2 2" xfId="1357" xr:uid="{00000000-0005-0000-0000-00000B050000}"/>
    <cellStyle name="Note 2 2 2 10" xfId="1358" xr:uid="{00000000-0005-0000-0000-00000C050000}"/>
    <cellStyle name="Note 2 2 2 11" xfId="1359" xr:uid="{00000000-0005-0000-0000-00000D050000}"/>
    <cellStyle name="Note 2 2 2 2" xfId="1360" xr:uid="{00000000-0005-0000-0000-00000E050000}"/>
    <cellStyle name="Note 2 2 2 3" xfId="1361" xr:uid="{00000000-0005-0000-0000-00000F050000}"/>
    <cellStyle name="Note 2 2 2 4" xfId="1362" xr:uid="{00000000-0005-0000-0000-000010050000}"/>
    <cellStyle name="Note 2 2 2 5" xfId="1363" xr:uid="{00000000-0005-0000-0000-000011050000}"/>
    <cellStyle name="Note 2 2 2 6" xfId="1364" xr:uid="{00000000-0005-0000-0000-000012050000}"/>
    <cellStyle name="Note 2 2 2 7" xfId="1365" xr:uid="{00000000-0005-0000-0000-000013050000}"/>
    <cellStyle name="Note 2 2 2 8" xfId="1366" xr:uid="{00000000-0005-0000-0000-000014050000}"/>
    <cellStyle name="Note 2 2 2 9" xfId="1367" xr:uid="{00000000-0005-0000-0000-000015050000}"/>
    <cellStyle name="Note 2 2 3" xfId="1368" xr:uid="{00000000-0005-0000-0000-000016050000}"/>
    <cellStyle name="Note 2 2 4" xfId="1369" xr:uid="{00000000-0005-0000-0000-000017050000}"/>
    <cellStyle name="Note 2 2 5" xfId="1370" xr:uid="{00000000-0005-0000-0000-000018050000}"/>
    <cellStyle name="Note 2 2 6" xfId="1371" xr:uid="{00000000-0005-0000-0000-000019050000}"/>
    <cellStyle name="Note 2 2 7" xfId="1372" xr:uid="{00000000-0005-0000-0000-00001A050000}"/>
    <cellStyle name="Note 2 2 8" xfId="1373" xr:uid="{00000000-0005-0000-0000-00001B050000}"/>
    <cellStyle name="Note 2 2 9" xfId="1374" xr:uid="{00000000-0005-0000-0000-00001C050000}"/>
    <cellStyle name="Note 2 3" xfId="1375" xr:uid="{00000000-0005-0000-0000-00001D050000}"/>
    <cellStyle name="Note 2 3 10" xfId="1376" xr:uid="{00000000-0005-0000-0000-00001E050000}"/>
    <cellStyle name="Note 2 3 11" xfId="1377" xr:uid="{00000000-0005-0000-0000-00001F050000}"/>
    <cellStyle name="Note 2 3 2" xfId="1378" xr:uid="{00000000-0005-0000-0000-000020050000}"/>
    <cellStyle name="Note 2 3 3" xfId="1379" xr:uid="{00000000-0005-0000-0000-000021050000}"/>
    <cellStyle name="Note 2 3 4" xfId="1380" xr:uid="{00000000-0005-0000-0000-000022050000}"/>
    <cellStyle name="Note 2 3 5" xfId="1381" xr:uid="{00000000-0005-0000-0000-000023050000}"/>
    <cellStyle name="Note 2 3 6" xfId="1382" xr:uid="{00000000-0005-0000-0000-000024050000}"/>
    <cellStyle name="Note 2 3 7" xfId="1383" xr:uid="{00000000-0005-0000-0000-000025050000}"/>
    <cellStyle name="Note 2 3 8" xfId="1384" xr:uid="{00000000-0005-0000-0000-000026050000}"/>
    <cellStyle name="Note 2 3 9" xfId="1385" xr:uid="{00000000-0005-0000-0000-000027050000}"/>
    <cellStyle name="Note 2 4" xfId="1386" xr:uid="{00000000-0005-0000-0000-000028050000}"/>
    <cellStyle name="Note 2 4 10" xfId="1387" xr:uid="{00000000-0005-0000-0000-000029050000}"/>
    <cellStyle name="Note 2 4 11" xfId="1388" xr:uid="{00000000-0005-0000-0000-00002A050000}"/>
    <cellStyle name="Note 2 4 2" xfId="1389" xr:uid="{00000000-0005-0000-0000-00002B050000}"/>
    <cellStyle name="Note 2 4 3" xfId="1390" xr:uid="{00000000-0005-0000-0000-00002C050000}"/>
    <cellStyle name="Note 2 4 4" xfId="1391" xr:uid="{00000000-0005-0000-0000-00002D050000}"/>
    <cellStyle name="Note 2 4 5" xfId="1392" xr:uid="{00000000-0005-0000-0000-00002E050000}"/>
    <cellStyle name="Note 2 4 6" xfId="1393" xr:uid="{00000000-0005-0000-0000-00002F050000}"/>
    <cellStyle name="Note 2 4 7" xfId="1394" xr:uid="{00000000-0005-0000-0000-000030050000}"/>
    <cellStyle name="Note 2 4 8" xfId="1395" xr:uid="{00000000-0005-0000-0000-000031050000}"/>
    <cellStyle name="Note 2 4 9" xfId="1396" xr:uid="{00000000-0005-0000-0000-000032050000}"/>
    <cellStyle name="Note 2 5" xfId="1397" xr:uid="{00000000-0005-0000-0000-000033050000}"/>
    <cellStyle name="Note 2 6" xfId="1398" xr:uid="{00000000-0005-0000-0000-000034050000}"/>
    <cellStyle name="Note 2 7" xfId="1399" xr:uid="{00000000-0005-0000-0000-000035050000}"/>
    <cellStyle name="Note 2 8" xfId="1400" xr:uid="{00000000-0005-0000-0000-000036050000}"/>
    <cellStyle name="Note 2 9" xfId="1401" xr:uid="{00000000-0005-0000-0000-000037050000}"/>
    <cellStyle name="Note 3" xfId="1402" xr:uid="{00000000-0005-0000-0000-000038050000}"/>
    <cellStyle name="Note 3 2" xfId="1403" xr:uid="{00000000-0005-0000-0000-000039050000}"/>
    <cellStyle name="Note 4" xfId="1404" xr:uid="{00000000-0005-0000-0000-00003A050000}"/>
    <cellStyle name="Note 4 2" xfId="1405" xr:uid="{00000000-0005-0000-0000-00003B050000}"/>
    <cellStyle name="Note 5" xfId="1406" xr:uid="{00000000-0005-0000-0000-00003C050000}"/>
    <cellStyle name="Note 6" xfId="1407" xr:uid="{00000000-0005-0000-0000-00003D050000}"/>
    <cellStyle name="Note 7" xfId="1408" xr:uid="{00000000-0005-0000-0000-00003E050000}"/>
    <cellStyle name="Note 8 2" xfId="1409" xr:uid="{00000000-0005-0000-0000-00003F050000}"/>
    <cellStyle name="Note 8 3" xfId="1410" xr:uid="{00000000-0005-0000-0000-000040050000}"/>
    <cellStyle name="Note 8 4" xfId="1411" xr:uid="{00000000-0005-0000-0000-000041050000}"/>
    <cellStyle name="Note 9 2" xfId="1412" xr:uid="{00000000-0005-0000-0000-000042050000}"/>
    <cellStyle name="Note 9 3" xfId="1413" xr:uid="{00000000-0005-0000-0000-000043050000}"/>
    <cellStyle name="Note 9 4" xfId="1414" xr:uid="{00000000-0005-0000-0000-000044050000}"/>
    <cellStyle name="Output 2" xfId="1415" xr:uid="{00000000-0005-0000-0000-000045050000}"/>
    <cellStyle name="Output 2 10" xfId="1416" xr:uid="{00000000-0005-0000-0000-000046050000}"/>
    <cellStyle name="Output 2 11" xfId="1417" xr:uid="{00000000-0005-0000-0000-000047050000}"/>
    <cellStyle name="Output 2 12" xfId="1418" xr:uid="{00000000-0005-0000-0000-000048050000}"/>
    <cellStyle name="Output 2 13" xfId="1419" xr:uid="{00000000-0005-0000-0000-000049050000}"/>
    <cellStyle name="Output 2 14" xfId="1420" xr:uid="{00000000-0005-0000-0000-00004A050000}"/>
    <cellStyle name="Output 2 15" xfId="1421" xr:uid="{00000000-0005-0000-0000-00004B050000}"/>
    <cellStyle name="Output 2 16" xfId="1422" xr:uid="{00000000-0005-0000-0000-00004C050000}"/>
    <cellStyle name="Output 2 2" xfId="1423" xr:uid="{00000000-0005-0000-0000-00004D050000}"/>
    <cellStyle name="Output 2 2 10" xfId="1424" xr:uid="{00000000-0005-0000-0000-00004E050000}"/>
    <cellStyle name="Output 2 2 11" xfId="1425" xr:uid="{00000000-0005-0000-0000-00004F050000}"/>
    <cellStyle name="Output 2 2 12" xfId="1426" xr:uid="{00000000-0005-0000-0000-000050050000}"/>
    <cellStyle name="Output 2 2 13" xfId="1427" xr:uid="{00000000-0005-0000-0000-000051050000}"/>
    <cellStyle name="Output 2 2 14" xfId="1428" xr:uid="{00000000-0005-0000-0000-000052050000}"/>
    <cellStyle name="Output 2 2 15" xfId="1429" xr:uid="{00000000-0005-0000-0000-000053050000}"/>
    <cellStyle name="Output 2 2 2" xfId="1430" xr:uid="{00000000-0005-0000-0000-000054050000}"/>
    <cellStyle name="Output 2 2 2 10" xfId="1431" xr:uid="{00000000-0005-0000-0000-000055050000}"/>
    <cellStyle name="Output 2 2 2 11" xfId="1432" xr:uid="{00000000-0005-0000-0000-000056050000}"/>
    <cellStyle name="Output 2 2 2 2" xfId="1433" xr:uid="{00000000-0005-0000-0000-000057050000}"/>
    <cellStyle name="Output 2 2 2 3" xfId="1434" xr:uid="{00000000-0005-0000-0000-000058050000}"/>
    <cellStyle name="Output 2 2 2 4" xfId="1435" xr:uid="{00000000-0005-0000-0000-000059050000}"/>
    <cellStyle name="Output 2 2 2 5" xfId="1436" xr:uid="{00000000-0005-0000-0000-00005A050000}"/>
    <cellStyle name="Output 2 2 2 6" xfId="1437" xr:uid="{00000000-0005-0000-0000-00005B050000}"/>
    <cellStyle name="Output 2 2 2 7" xfId="1438" xr:uid="{00000000-0005-0000-0000-00005C050000}"/>
    <cellStyle name="Output 2 2 2 8" xfId="1439" xr:uid="{00000000-0005-0000-0000-00005D050000}"/>
    <cellStyle name="Output 2 2 2 9" xfId="1440" xr:uid="{00000000-0005-0000-0000-00005E050000}"/>
    <cellStyle name="Output 2 2 3" xfId="1441" xr:uid="{00000000-0005-0000-0000-00005F050000}"/>
    <cellStyle name="Output 2 2 4" xfId="1442" xr:uid="{00000000-0005-0000-0000-000060050000}"/>
    <cellStyle name="Output 2 2 5" xfId="1443" xr:uid="{00000000-0005-0000-0000-000061050000}"/>
    <cellStyle name="Output 2 2 6" xfId="1444" xr:uid="{00000000-0005-0000-0000-000062050000}"/>
    <cellStyle name="Output 2 2 7" xfId="1445" xr:uid="{00000000-0005-0000-0000-000063050000}"/>
    <cellStyle name="Output 2 2 8" xfId="1446" xr:uid="{00000000-0005-0000-0000-000064050000}"/>
    <cellStyle name="Output 2 2 9" xfId="1447" xr:uid="{00000000-0005-0000-0000-000065050000}"/>
    <cellStyle name="Output 2 3" xfId="1448" xr:uid="{00000000-0005-0000-0000-000066050000}"/>
    <cellStyle name="Output 2 3 10" xfId="1449" xr:uid="{00000000-0005-0000-0000-000067050000}"/>
    <cellStyle name="Output 2 3 11" xfId="1450" xr:uid="{00000000-0005-0000-0000-000068050000}"/>
    <cellStyle name="Output 2 3 2" xfId="1451" xr:uid="{00000000-0005-0000-0000-000069050000}"/>
    <cellStyle name="Output 2 3 3" xfId="1452" xr:uid="{00000000-0005-0000-0000-00006A050000}"/>
    <cellStyle name="Output 2 3 4" xfId="1453" xr:uid="{00000000-0005-0000-0000-00006B050000}"/>
    <cellStyle name="Output 2 3 5" xfId="1454" xr:uid="{00000000-0005-0000-0000-00006C050000}"/>
    <cellStyle name="Output 2 3 6" xfId="1455" xr:uid="{00000000-0005-0000-0000-00006D050000}"/>
    <cellStyle name="Output 2 3 7" xfId="1456" xr:uid="{00000000-0005-0000-0000-00006E050000}"/>
    <cellStyle name="Output 2 3 8" xfId="1457" xr:uid="{00000000-0005-0000-0000-00006F050000}"/>
    <cellStyle name="Output 2 3 9" xfId="1458" xr:uid="{00000000-0005-0000-0000-000070050000}"/>
    <cellStyle name="Output 2 4" xfId="1459" xr:uid="{00000000-0005-0000-0000-000071050000}"/>
    <cellStyle name="Output 2 5" xfId="1460" xr:uid="{00000000-0005-0000-0000-000072050000}"/>
    <cellStyle name="Output 2 6" xfId="1461" xr:uid="{00000000-0005-0000-0000-000073050000}"/>
    <cellStyle name="Output 2 7" xfId="1462" xr:uid="{00000000-0005-0000-0000-000074050000}"/>
    <cellStyle name="Output 2 8" xfId="1463" xr:uid="{00000000-0005-0000-0000-000075050000}"/>
    <cellStyle name="Output 2 9" xfId="1464" xr:uid="{00000000-0005-0000-0000-000076050000}"/>
    <cellStyle name="Output 3" xfId="1465" xr:uid="{00000000-0005-0000-0000-000077050000}"/>
    <cellStyle name="Output 3 2" xfId="1466" xr:uid="{00000000-0005-0000-0000-000078050000}"/>
    <cellStyle name="Output 4" xfId="1467" xr:uid="{00000000-0005-0000-0000-000079050000}"/>
    <cellStyle name="Output 4 2" xfId="1468" xr:uid="{00000000-0005-0000-0000-00007A050000}"/>
    <cellStyle name="Output 5" xfId="1469" xr:uid="{00000000-0005-0000-0000-00007B050000}"/>
    <cellStyle name="Output 6" xfId="1470" xr:uid="{00000000-0005-0000-0000-00007C050000}"/>
    <cellStyle name="Output 7 2" xfId="1471" xr:uid="{00000000-0005-0000-0000-00007D050000}"/>
    <cellStyle name="Output 7 3" xfId="1472" xr:uid="{00000000-0005-0000-0000-00007E050000}"/>
    <cellStyle name="Output 7 4" xfId="1473" xr:uid="{00000000-0005-0000-0000-00007F050000}"/>
    <cellStyle name="P&amp;L Numbers" xfId="1474" xr:uid="{00000000-0005-0000-0000-000080050000}"/>
    <cellStyle name="P&amp;L Numbers 2" xfId="1475" xr:uid="{00000000-0005-0000-0000-000081050000}"/>
    <cellStyle name="PB Table Heading" xfId="1476" xr:uid="{00000000-0005-0000-0000-000082050000}"/>
    <cellStyle name="PB Table Highlight1" xfId="1477" xr:uid="{00000000-0005-0000-0000-000083050000}"/>
    <cellStyle name="PB Table Highlight2" xfId="1478" xr:uid="{00000000-0005-0000-0000-000084050000}"/>
    <cellStyle name="PB Table Highlight3" xfId="1479" xr:uid="{00000000-0005-0000-0000-000085050000}"/>
    <cellStyle name="PB Table Standard Row" xfId="1480" xr:uid="{00000000-0005-0000-0000-000086050000}"/>
    <cellStyle name="PB Table Subtotal Row" xfId="1481" xr:uid="{00000000-0005-0000-0000-000087050000}"/>
    <cellStyle name="PB Table Subtotal Row 2" xfId="1609" xr:uid="{00000000-0005-0000-0000-000088050000}"/>
    <cellStyle name="PB Table Total Row" xfId="1482" xr:uid="{00000000-0005-0000-0000-000089050000}"/>
    <cellStyle name="PB Table Total Row 2" xfId="1610" xr:uid="{00000000-0005-0000-0000-00008A050000}"/>
    <cellStyle name="Per cent" xfId="2" builtinId="5"/>
    <cellStyle name="Percent [0]" xfId="65" xr:uid="{00000000-0005-0000-0000-00008C050000}"/>
    <cellStyle name="Percent [0] 2" xfId="66" xr:uid="{00000000-0005-0000-0000-00008D050000}"/>
    <cellStyle name="Percent [0] Total" xfId="67" xr:uid="{00000000-0005-0000-0000-00008E050000}"/>
    <cellStyle name="Percent [0] Total 2" xfId="1633" xr:uid="{00000000-0005-0000-0000-00008F050000}"/>
    <cellStyle name="Percent [1]" xfId="68" xr:uid="{00000000-0005-0000-0000-000090050000}"/>
    <cellStyle name="Percent [1] 2" xfId="69" xr:uid="{00000000-0005-0000-0000-000091050000}"/>
    <cellStyle name="Percent [1] Total" xfId="70" xr:uid="{00000000-0005-0000-0000-000092050000}"/>
    <cellStyle name="Percent [1] Total 2" xfId="1634" xr:uid="{00000000-0005-0000-0000-000093050000}"/>
    <cellStyle name="Percent [2]" xfId="71" xr:uid="{00000000-0005-0000-0000-000094050000}"/>
    <cellStyle name="Percent [2] 2" xfId="72" xr:uid="{00000000-0005-0000-0000-000095050000}"/>
    <cellStyle name="Percent [2] Total" xfId="73" xr:uid="{00000000-0005-0000-0000-000096050000}"/>
    <cellStyle name="Percent [2] Total 2" xfId="1635" xr:uid="{00000000-0005-0000-0000-000097050000}"/>
    <cellStyle name="Percent [2]_NTO%20debt%20issuance%20costs%202007%20-%20extinguished%204-2007(1)" xfId="74" xr:uid="{00000000-0005-0000-0000-000098050000}"/>
    <cellStyle name="Percent 2" xfId="75" xr:uid="{00000000-0005-0000-0000-000099050000}"/>
    <cellStyle name="Percent 2 2" xfId="76" xr:uid="{00000000-0005-0000-0000-00009A050000}"/>
    <cellStyle name="Percent 2 3" xfId="77" xr:uid="{00000000-0005-0000-0000-00009B050000}"/>
    <cellStyle name="Percent 2 4" xfId="78" xr:uid="{00000000-0005-0000-0000-00009C050000}"/>
    <cellStyle name="Percent 2 5" xfId="79" xr:uid="{00000000-0005-0000-0000-00009D050000}"/>
    <cellStyle name="Percent 2 6" xfId="161" xr:uid="{00000000-0005-0000-0000-00009E050000}"/>
    <cellStyle name="Percent 3" xfId="80" xr:uid="{00000000-0005-0000-0000-00009F050000}"/>
    <cellStyle name="Percent 4" xfId="1483" xr:uid="{00000000-0005-0000-0000-0000A0050000}"/>
    <cellStyle name="Percent 5" xfId="1636" xr:uid="{00000000-0005-0000-0000-0000A1050000}"/>
    <cellStyle name="Percent 6" xfId="1649" xr:uid="{174A5392-6F78-4635-81A1-53BC9022F1E0}"/>
    <cellStyle name="Percent 8 2" xfId="1654" xr:uid="{1D0B1C3D-4EE0-4AE4-8967-AD00A795DBFB}"/>
    <cellStyle name="PSChar" xfId="81" xr:uid="{00000000-0005-0000-0000-0000A2050000}"/>
    <cellStyle name="PSDate" xfId="82" xr:uid="{00000000-0005-0000-0000-0000A3050000}"/>
    <cellStyle name="PSDec" xfId="83" xr:uid="{00000000-0005-0000-0000-0000A4050000}"/>
    <cellStyle name="PSHeading" xfId="84" xr:uid="{00000000-0005-0000-0000-0000A5050000}"/>
    <cellStyle name="PSInt" xfId="85" xr:uid="{00000000-0005-0000-0000-0000A6050000}"/>
    <cellStyle name="PSSpacer" xfId="86" xr:uid="{00000000-0005-0000-0000-0000A7050000}"/>
    <cellStyle name="Row Headings" xfId="1484" xr:uid="{00000000-0005-0000-0000-0000A8050000}"/>
    <cellStyle name="SAPBEXaggData" xfId="87" xr:uid="{00000000-0005-0000-0000-0000A9050000}"/>
    <cellStyle name="SAPBEXaggDataEmph" xfId="88" xr:uid="{00000000-0005-0000-0000-0000AA050000}"/>
    <cellStyle name="SAPBEXaggItem" xfId="89" xr:uid="{00000000-0005-0000-0000-0000AB050000}"/>
    <cellStyle name="SAPBEXaggItemX" xfId="90" xr:uid="{00000000-0005-0000-0000-0000AC050000}"/>
    <cellStyle name="SAPBEXchaText" xfId="91" xr:uid="{00000000-0005-0000-0000-0000AD050000}"/>
    <cellStyle name="SAPBEXexcBad7" xfId="92" xr:uid="{00000000-0005-0000-0000-0000AE050000}"/>
    <cellStyle name="SAPBEXexcBad8" xfId="93" xr:uid="{00000000-0005-0000-0000-0000AF050000}"/>
    <cellStyle name="SAPBEXexcBad9" xfId="94" xr:uid="{00000000-0005-0000-0000-0000B0050000}"/>
    <cellStyle name="SAPBEXexcCritical4" xfId="95" xr:uid="{00000000-0005-0000-0000-0000B1050000}"/>
    <cellStyle name="SAPBEXexcCritical5" xfId="96" xr:uid="{00000000-0005-0000-0000-0000B2050000}"/>
    <cellStyle name="SAPBEXexcCritical6" xfId="97" xr:uid="{00000000-0005-0000-0000-0000B3050000}"/>
    <cellStyle name="SAPBEXexcGood1" xfId="98" xr:uid="{00000000-0005-0000-0000-0000B4050000}"/>
    <cellStyle name="SAPBEXexcGood2" xfId="99" xr:uid="{00000000-0005-0000-0000-0000B5050000}"/>
    <cellStyle name="SAPBEXexcGood3" xfId="100" xr:uid="{00000000-0005-0000-0000-0000B6050000}"/>
    <cellStyle name="SAPBEXfilterDrill" xfId="101" xr:uid="{00000000-0005-0000-0000-0000B7050000}"/>
    <cellStyle name="SAPBEXfilterItem" xfId="102" xr:uid="{00000000-0005-0000-0000-0000B8050000}"/>
    <cellStyle name="SAPBEXfilterText" xfId="103" xr:uid="{00000000-0005-0000-0000-0000B9050000}"/>
    <cellStyle name="SAPBEXformats" xfId="104" xr:uid="{00000000-0005-0000-0000-0000BA050000}"/>
    <cellStyle name="SAPBEXheaderItem" xfId="105" xr:uid="{00000000-0005-0000-0000-0000BB050000}"/>
    <cellStyle name="SAPBEXheaderText" xfId="106" xr:uid="{00000000-0005-0000-0000-0000BC050000}"/>
    <cellStyle name="SAPBEXHLevel0" xfId="107" xr:uid="{00000000-0005-0000-0000-0000BD050000}"/>
    <cellStyle name="SAPBEXHLevel0X" xfId="108" xr:uid="{00000000-0005-0000-0000-0000BE050000}"/>
    <cellStyle name="SAPBEXHLevel1" xfId="109" xr:uid="{00000000-0005-0000-0000-0000BF050000}"/>
    <cellStyle name="SAPBEXHLevel1X" xfId="110" xr:uid="{00000000-0005-0000-0000-0000C0050000}"/>
    <cellStyle name="SAPBEXHLevel2" xfId="111" xr:uid="{00000000-0005-0000-0000-0000C1050000}"/>
    <cellStyle name="SAPBEXHLevel2X" xfId="112" xr:uid="{00000000-0005-0000-0000-0000C2050000}"/>
    <cellStyle name="SAPBEXHLevel3" xfId="113" xr:uid="{00000000-0005-0000-0000-0000C3050000}"/>
    <cellStyle name="SAPBEXHLevel3X" xfId="114" xr:uid="{00000000-0005-0000-0000-0000C4050000}"/>
    <cellStyle name="SAPBEXresData" xfId="115" xr:uid="{00000000-0005-0000-0000-0000C5050000}"/>
    <cellStyle name="SAPBEXresDataEmph" xfId="116" xr:uid="{00000000-0005-0000-0000-0000C6050000}"/>
    <cellStyle name="SAPBEXresItem" xfId="117" xr:uid="{00000000-0005-0000-0000-0000C7050000}"/>
    <cellStyle name="SAPBEXresItemX" xfId="118" xr:uid="{00000000-0005-0000-0000-0000C8050000}"/>
    <cellStyle name="SAPBEXstdData" xfId="119" xr:uid="{00000000-0005-0000-0000-0000C9050000}"/>
    <cellStyle name="SAPBEXstdDataEmph" xfId="120" xr:uid="{00000000-0005-0000-0000-0000CA050000}"/>
    <cellStyle name="SAPBEXstdItem" xfId="121" xr:uid="{00000000-0005-0000-0000-0000CB050000}"/>
    <cellStyle name="SAPBEXstdItemX" xfId="122" xr:uid="{00000000-0005-0000-0000-0000CC050000}"/>
    <cellStyle name="SAPBEXtitle" xfId="123" xr:uid="{00000000-0005-0000-0000-0000CD050000}"/>
    <cellStyle name="SAPBEXundefined" xfId="124" xr:uid="{00000000-0005-0000-0000-0000CE050000}"/>
    <cellStyle name="Separador de milhares [0]_Person" xfId="1485" xr:uid="{00000000-0005-0000-0000-0000CF050000}"/>
    <cellStyle name="Separador de milhares_Person" xfId="1486" xr:uid="{00000000-0005-0000-0000-0000D0050000}"/>
    <cellStyle name="Single Accounting" xfId="125" xr:uid="{00000000-0005-0000-0000-0000D1050000}"/>
    <cellStyle name="Standard_Frontal Airbag Blatt 1" xfId="1487" xr:uid="{00000000-0005-0000-0000-0000D2050000}"/>
    <cellStyle name="Std_%1" xfId="1488" xr:uid="{00000000-0005-0000-0000-0000D3050000}"/>
    <cellStyle name="Style 1" xfId="126" xr:uid="{00000000-0005-0000-0000-0000D4050000}"/>
    <cellStyle name="Style 25" xfId="127" xr:uid="{00000000-0005-0000-0000-0000D5050000}"/>
    <cellStyle name="Style 25 2" xfId="128" xr:uid="{00000000-0005-0000-0000-0000D6050000}"/>
    <cellStyle name="Style 25_Bridge" xfId="1637" xr:uid="{00000000-0005-0000-0000-0000D7050000}"/>
    <cellStyle name="Style 26" xfId="129" xr:uid="{00000000-0005-0000-0000-0000D8050000}"/>
    <cellStyle name="Style 26 2" xfId="130" xr:uid="{00000000-0005-0000-0000-0000D9050000}"/>
    <cellStyle name="Style 27" xfId="131" xr:uid="{00000000-0005-0000-0000-0000DA050000}"/>
    <cellStyle name="Style 27 2" xfId="132" xr:uid="{00000000-0005-0000-0000-0000DB050000}"/>
    <cellStyle name="Style 32" xfId="133" xr:uid="{00000000-0005-0000-0000-0000DC050000}"/>
    <cellStyle name="Style 32 2" xfId="134" xr:uid="{00000000-0005-0000-0000-0000DD050000}"/>
    <cellStyle name="STYLE1" xfId="1489" xr:uid="{00000000-0005-0000-0000-0000DE050000}"/>
    <cellStyle name="STYLE1 2" xfId="1490" xr:uid="{00000000-0005-0000-0000-0000DF050000}"/>
    <cellStyle name="STYLE1_1Q 2010 Fixed Asset Rollforward-Cashflow wps-5-04-10" xfId="1491" xr:uid="{00000000-0005-0000-0000-0000E0050000}"/>
    <cellStyle name="STYLE2" xfId="1492" xr:uid="{00000000-0005-0000-0000-0000E1050000}"/>
    <cellStyle name="STYLE3" xfId="1493" xr:uid="{00000000-0005-0000-0000-0000E2050000}"/>
    <cellStyle name="Table Sub Heading" xfId="135" xr:uid="{00000000-0005-0000-0000-0000E3050000}"/>
    <cellStyle name="Table Title" xfId="136" xr:uid="{00000000-0005-0000-0000-0000E4050000}"/>
    <cellStyle name="Table_Header" xfId="137" xr:uid="{00000000-0005-0000-0000-0000E5050000}"/>
    <cellStyle name="TableHead" xfId="1494" xr:uid="{00000000-0005-0000-0000-0000E6050000}"/>
    <cellStyle name="Test" xfId="138" xr:uid="{00000000-0005-0000-0000-0000E7050000}"/>
    <cellStyle name="Times [1]" xfId="139" xr:uid="{00000000-0005-0000-0000-0000E8050000}"/>
    <cellStyle name="Times [1] 2" xfId="140" xr:uid="{00000000-0005-0000-0000-0000E9050000}"/>
    <cellStyle name="Times [1] Total" xfId="141" xr:uid="{00000000-0005-0000-0000-0000EA050000}"/>
    <cellStyle name="Times [1] Total 2" xfId="1638" xr:uid="{00000000-0005-0000-0000-0000EB050000}"/>
    <cellStyle name="Times [2]" xfId="142" xr:uid="{00000000-0005-0000-0000-0000EC050000}"/>
    <cellStyle name="Times [2] 2" xfId="143" xr:uid="{00000000-0005-0000-0000-0000ED050000}"/>
    <cellStyle name="Times [2] Total" xfId="144" xr:uid="{00000000-0005-0000-0000-0000EE050000}"/>
    <cellStyle name="Times [2] Total 2" xfId="1639" xr:uid="{00000000-0005-0000-0000-0000EF050000}"/>
    <cellStyle name="Times 10" xfId="145" xr:uid="{00000000-0005-0000-0000-0000F0050000}"/>
    <cellStyle name="Times 10 2" xfId="146" xr:uid="{00000000-0005-0000-0000-0000F1050000}"/>
    <cellStyle name="Times 12" xfId="147" xr:uid="{00000000-0005-0000-0000-0000F2050000}"/>
    <cellStyle name="Tina" xfId="148" xr:uid="{00000000-0005-0000-0000-0000F3050000}"/>
    <cellStyle name="Title 2" xfId="1495" xr:uid="{00000000-0005-0000-0000-0000F4050000}"/>
    <cellStyle name="Title 2 2" xfId="1496" xr:uid="{00000000-0005-0000-0000-0000F5050000}"/>
    <cellStyle name="Title 2 3" xfId="1497" xr:uid="{00000000-0005-0000-0000-0000F6050000}"/>
    <cellStyle name="Title 2 4" xfId="1498" xr:uid="{00000000-0005-0000-0000-0000F7050000}"/>
    <cellStyle name="Title 2 5" xfId="1499" xr:uid="{00000000-0005-0000-0000-0000F8050000}"/>
    <cellStyle name="Title 2 6" xfId="1500" xr:uid="{00000000-0005-0000-0000-0000F9050000}"/>
    <cellStyle name="Title 3" xfId="1501" xr:uid="{00000000-0005-0000-0000-0000FA050000}"/>
    <cellStyle name="Title 3 2" xfId="1502" xr:uid="{00000000-0005-0000-0000-0000FB050000}"/>
    <cellStyle name="Title 4" xfId="1503" xr:uid="{00000000-0005-0000-0000-0000FC050000}"/>
    <cellStyle name="Title 4 2" xfId="1504" xr:uid="{00000000-0005-0000-0000-0000FD050000}"/>
    <cellStyle name="Title 5" xfId="1505" xr:uid="{00000000-0005-0000-0000-0000FE050000}"/>
    <cellStyle name="Title 6" xfId="1506" xr:uid="{00000000-0005-0000-0000-0000FF050000}"/>
    <cellStyle name="Title 7 2" xfId="1507" xr:uid="{00000000-0005-0000-0000-000000060000}"/>
    <cellStyle name="Title 7 3" xfId="1508" xr:uid="{00000000-0005-0000-0000-000001060000}"/>
    <cellStyle name="Title 7 4" xfId="1509" xr:uid="{00000000-0005-0000-0000-000002060000}"/>
    <cellStyle name="Title1" xfId="1510" xr:uid="{00000000-0005-0000-0000-000003060000}"/>
    <cellStyle name="Title2" xfId="1511" xr:uid="{00000000-0005-0000-0000-000004060000}"/>
    <cellStyle name="topline" xfId="149" xr:uid="{00000000-0005-0000-0000-000005060000}"/>
    <cellStyle name="Total 2" xfId="1512" xr:uid="{00000000-0005-0000-0000-000006060000}"/>
    <cellStyle name="Total 2 10" xfId="1513" xr:uid="{00000000-0005-0000-0000-000007060000}"/>
    <cellStyle name="Total 2 11" xfId="1514" xr:uid="{00000000-0005-0000-0000-000008060000}"/>
    <cellStyle name="Total 2 12" xfId="1515" xr:uid="{00000000-0005-0000-0000-000009060000}"/>
    <cellStyle name="Total 2 13" xfId="1516" xr:uid="{00000000-0005-0000-0000-00000A060000}"/>
    <cellStyle name="Total 2 14" xfId="1517" xr:uid="{00000000-0005-0000-0000-00000B060000}"/>
    <cellStyle name="Total 2 15" xfId="1518" xr:uid="{00000000-0005-0000-0000-00000C060000}"/>
    <cellStyle name="Total 2 16" xfId="1519" xr:uid="{00000000-0005-0000-0000-00000D060000}"/>
    <cellStyle name="Total 2 17" xfId="1520" xr:uid="{00000000-0005-0000-0000-00000E060000}"/>
    <cellStyle name="Total 2 2" xfId="1521" xr:uid="{00000000-0005-0000-0000-00000F060000}"/>
    <cellStyle name="Total 2 2 10" xfId="1522" xr:uid="{00000000-0005-0000-0000-000010060000}"/>
    <cellStyle name="Total 2 2 11" xfId="1523" xr:uid="{00000000-0005-0000-0000-000011060000}"/>
    <cellStyle name="Total 2 2 12" xfId="1524" xr:uid="{00000000-0005-0000-0000-000012060000}"/>
    <cellStyle name="Total 2 2 13" xfId="1525" xr:uid="{00000000-0005-0000-0000-000013060000}"/>
    <cellStyle name="Total 2 2 14" xfId="1526" xr:uid="{00000000-0005-0000-0000-000014060000}"/>
    <cellStyle name="Total 2 2 15" xfId="1527" xr:uid="{00000000-0005-0000-0000-000015060000}"/>
    <cellStyle name="Total 2 2 2" xfId="1528" xr:uid="{00000000-0005-0000-0000-000016060000}"/>
    <cellStyle name="Total 2 2 2 10" xfId="1529" xr:uid="{00000000-0005-0000-0000-000017060000}"/>
    <cellStyle name="Total 2 2 2 11" xfId="1530" xr:uid="{00000000-0005-0000-0000-000018060000}"/>
    <cellStyle name="Total 2 2 2 2" xfId="1531" xr:uid="{00000000-0005-0000-0000-000019060000}"/>
    <cellStyle name="Total 2 2 2 3" xfId="1532" xr:uid="{00000000-0005-0000-0000-00001A060000}"/>
    <cellStyle name="Total 2 2 2 4" xfId="1533" xr:uid="{00000000-0005-0000-0000-00001B060000}"/>
    <cellStyle name="Total 2 2 2 5" xfId="1534" xr:uid="{00000000-0005-0000-0000-00001C060000}"/>
    <cellStyle name="Total 2 2 2 6" xfId="1535" xr:uid="{00000000-0005-0000-0000-00001D060000}"/>
    <cellStyle name="Total 2 2 2 7" xfId="1536" xr:uid="{00000000-0005-0000-0000-00001E060000}"/>
    <cellStyle name="Total 2 2 2 8" xfId="1537" xr:uid="{00000000-0005-0000-0000-00001F060000}"/>
    <cellStyle name="Total 2 2 2 9" xfId="1538" xr:uid="{00000000-0005-0000-0000-000020060000}"/>
    <cellStyle name="Total 2 2 2_Expense Material Breakdown" xfId="1539" xr:uid="{00000000-0005-0000-0000-000021060000}"/>
    <cellStyle name="Total 2 2 3" xfId="1540" xr:uid="{00000000-0005-0000-0000-000022060000}"/>
    <cellStyle name="Total 2 2 4" xfId="1541" xr:uid="{00000000-0005-0000-0000-000023060000}"/>
    <cellStyle name="Total 2 2 5" xfId="1542" xr:uid="{00000000-0005-0000-0000-000024060000}"/>
    <cellStyle name="Total 2 2 6" xfId="1543" xr:uid="{00000000-0005-0000-0000-000025060000}"/>
    <cellStyle name="Total 2 2 7" xfId="1544" xr:uid="{00000000-0005-0000-0000-000026060000}"/>
    <cellStyle name="Total 2 2 8" xfId="1545" xr:uid="{00000000-0005-0000-0000-000027060000}"/>
    <cellStyle name="Total 2 2 9" xfId="1546" xr:uid="{00000000-0005-0000-0000-000028060000}"/>
    <cellStyle name="Total 2 2_Expense Material Breakdown" xfId="1547" xr:uid="{00000000-0005-0000-0000-000029060000}"/>
    <cellStyle name="Total 2 3" xfId="1548" xr:uid="{00000000-0005-0000-0000-00002A060000}"/>
    <cellStyle name="Total 2 3 10" xfId="1549" xr:uid="{00000000-0005-0000-0000-00002B060000}"/>
    <cellStyle name="Total 2 3 11" xfId="1550" xr:uid="{00000000-0005-0000-0000-00002C060000}"/>
    <cellStyle name="Total 2 3 2" xfId="1551" xr:uid="{00000000-0005-0000-0000-00002D060000}"/>
    <cellStyle name="Total 2 3 3" xfId="1552" xr:uid="{00000000-0005-0000-0000-00002E060000}"/>
    <cellStyle name="Total 2 3 4" xfId="1553" xr:uid="{00000000-0005-0000-0000-00002F060000}"/>
    <cellStyle name="Total 2 3 5" xfId="1554" xr:uid="{00000000-0005-0000-0000-000030060000}"/>
    <cellStyle name="Total 2 3 6" xfId="1555" xr:uid="{00000000-0005-0000-0000-000031060000}"/>
    <cellStyle name="Total 2 3 7" xfId="1556" xr:uid="{00000000-0005-0000-0000-000032060000}"/>
    <cellStyle name="Total 2 3 8" xfId="1557" xr:uid="{00000000-0005-0000-0000-000033060000}"/>
    <cellStyle name="Total 2 3 9" xfId="1558" xr:uid="{00000000-0005-0000-0000-000034060000}"/>
    <cellStyle name="Total 2 3_Expense Material Breakdown" xfId="1559" xr:uid="{00000000-0005-0000-0000-000035060000}"/>
    <cellStyle name="Total 2 4" xfId="1560" xr:uid="{00000000-0005-0000-0000-000036060000}"/>
    <cellStyle name="Total 2 4 10" xfId="1561" xr:uid="{00000000-0005-0000-0000-000037060000}"/>
    <cellStyle name="Total 2 4 11" xfId="1562" xr:uid="{00000000-0005-0000-0000-000038060000}"/>
    <cellStyle name="Total 2 4 2" xfId="1563" xr:uid="{00000000-0005-0000-0000-000039060000}"/>
    <cellStyle name="Total 2 4 3" xfId="1564" xr:uid="{00000000-0005-0000-0000-00003A060000}"/>
    <cellStyle name="Total 2 4 4" xfId="1565" xr:uid="{00000000-0005-0000-0000-00003B060000}"/>
    <cellStyle name="Total 2 4 5" xfId="1566" xr:uid="{00000000-0005-0000-0000-00003C060000}"/>
    <cellStyle name="Total 2 4 6" xfId="1567" xr:uid="{00000000-0005-0000-0000-00003D060000}"/>
    <cellStyle name="Total 2 4 7" xfId="1568" xr:uid="{00000000-0005-0000-0000-00003E060000}"/>
    <cellStyle name="Total 2 4 8" xfId="1569" xr:uid="{00000000-0005-0000-0000-00003F060000}"/>
    <cellStyle name="Total 2 4 9" xfId="1570" xr:uid="{00000000-0005-0000-0000-000040060000}"/>
    <cellStyle name="Total 2 4_Expense Material Breakdown" xfId="1571" xr:uid="{00000000-0005-0000-0000-000041060000}"/>
    <cellStyle name="Total 2 5" xfId="1572" xr:uid="{00000000-0005-0000-0000-000042060000}"/>
    <cellStyle name="Total 2 6" xfId="1573" xr:uid="{00000000-0005-0000-0000-000043060000}"/>
    <cellStyle name="Total 2 7" xfId="1574" xr:uid="{00000000-0005-0000-0000-000044060000}"/>
    <cellStyle name="Total 2 8" xfId="1575" xr:uid="{00000000-0005-0000-0000-000045060000}"/>
    <cellStyle name="Total 2 9" xfId="1576" xr:uid="{00000000-0005-0000-0000-000046060000}"/>
    <cellStyle name="Total 2_Expense Material Breakdown" xfId="1577" xr:uid="{00000000-0005-0000-0000-000047060000}"/>
    <cellStyle name="Total 3" xfId="1578" xr:uid="{00000000-0005-0000-0000-000048060000}"/>
    <cellStyle name="Total 3 2" xfId="1579" xr:uid="{00000000-0005-0000-0000-000049060000}"/>
    <cellStyle name="Total 4" xfId="1580" xr:uid="{00000000-0005-0000-0000-00004A060000}"/>
    <cellStyle name="Total 4 2" xfId="1581" xr:uid="{00000000-0005-0000-0000-00004B060000}"/>
    <cellStyle name="Total 5" xfId="1582" xr:uid="{00000000-0005-0000-0000-00004C060000}"/>
    <cellStyle name="Total 6" xfId="1583" xr:uid="{00000000-0005-0000-0000-00004D060000}"/>
    <cellStyle name="Total 7 2" xfId="1584" xr:uid="{00000000-0005-0000-0000-00004E060000}"/>
    <cellStyle name="Total 7 3" xfId="1585" xr:uid="{00000000-0005-0000-0000-00004F060000}"/>
    <cellStyle name="Total 7 4" xfId="1586" xr:uid="{00000000-0005-0000-0000-000050060000}"/>
    <cellStyle name="Warning Text 2" xfId="1587" xr:uid="{00000000-0005-0000-0000-000051060000}"/>
    <cellStyle name="Warning Text 2 2" xfId="1588" xr:uid="{00000000-0005-0000-0000-000052060000}"/>
    <cellStyle name="Warning Text 2 3" xfId="1589" xr:uid="{00000000-0005-0000-0000-000053060000}"/>
    <cellStyle name="Warning Text 2 4" xfId="1590" xr:uid="{00000000-0005-0000-0000-000054060000}"/>
    <cellStyle name="Warning Text 2 5" xfId="1591" xr:uid="{00000000-0005-0000-0000-000055060000}"/>
    <cellStyle name="Warning Text 2 6" xfId="1592" xr:uid="{00000000-0005-0000-0000-000056060000}"/>
    <cellStyle name="Warning Text 3" xfId="1593" xr:uid="{00000000-0005-0000-0000-000057060000}"/>
    <cellStyle name="Warning Text 3 2" xfId="1594" xr:uid="{00000000-0005-0000-0000-000058060000}"/>
    <cellStyle name="Warning Text 4" xfId="1595" xr:uid="{00000000-0005-0000-0000-000059060000}"/>
    <cellStyle name="Warning Text 4 2" xfId="1596" xr:uid="{00000000-0005-0000-0000-00005A060000}"/>
    <cellStyle name="Warning Text 5" xfId="1597" xr:uid="{00000000-0005-0000-0000-00005B060000}"/>
    <cellStyle name="Warning Text 6" xfId="1598" xr:uid="{00000000-0005-0000-0000-00005C060000}"/>
    <cellStyle name="Warning Text 7 2" xfId="1599" xr:uid="{00000000-0005-0000-0000-00005D060000}"/>
    <cellStyle name="Warning Text 7 3" xfId="1600" xr:uid="{00000000-0005-0000-0000-00005E060000}"/>
    <cellStyle name="Warning Text 7 4" xfId="1601" xr:uid="{00000000-0005-0000-0000-00005F060000}"/>
    <cellStyle name="Wire" xfId="150" xr:uid="{00000000-0005-0000-0000-000060060000}"/>
    <cellStyle name="Yen" xfId="151" xr:uid="{00000000-0005-0000-0000-000061060000}"/>
    <cellStyle name="ｻ｡ｵﾔ_｢ﾒﾇ ﾊﾇﾂ ﾋﾁﾇﾂ 爿遑" xfId="1602" xr:uid="{00000000-0005-0000-0000-000062060000}"/>
    <cellStyle name="未定義" xfId="1603" xr:uid="{00000000-0005-0000-0000-000063060000}"/>
    <cellStyle name="桁区切り [0.00]_PLDT" xfId="152" xr:uid="{00000000-0005-0000-0000-000064060000}"/>
    <cellStyle name="桁区切り_PLDT" xfId="153" xr:uid="{00000000-0005-0000-0000-000065060000}"/>
    <cellStyle name="標準_#22 FY97 P/L(Sub.)" xfId="154" xr:uid="{00000000-0005-0000-0000-000066060000}"/>
    <cellStyle name="爨ﾃﾗ靉ｧﾋﾁﾒﾂｨﾘﾅﾀﾒ､ [0]_PERSONAL" xfId="1604" xr:uid="{00000000-0005-0000-0000-000067060000}"/>
    <cellStyle name="爨ﾃﾗ靉ｧﾋﾁﾒﾂｨﾘﾅﾀﾒ､_PERSONAL" xfId="1605" xr:uid="{00000000-0005-0000-0000-000068060000}"/>
    <cellStyle name="爨ﾃﾗ靉ｧﾋﾁﾒﾂﾊ｡ﾘﾅ爰ﾔｹ [0]_PERSONAL" xfId="1606" xr:uid="{00000000-0005-0000-0000-000069060000}"/>
    <cellStyle name="爨ﾃﾗ靉ｧﾋﾁﾒﾂﾊ｡ﾘﾅ爰ﾔｹ_PERSONAL" xfId="1607" xr:uid="{00000000-0005-0000-0000-00006A060000}"/>
    <cellStyle name="通貨 [0.00]_PLDT" xfId="155" xr:uid="{00000000-0005-0000-0000-00006B060000}"/>
    <cellStyle name="通貨_PLDT" xfId="156" xr:uid="{00000000-0005-0000-0000-00006C060000}"/>
  </cellStyles>
  <dxfs count="0"/>
  <tableStyles count="0" defaultTableStyle="TableStyleMedium2" defaultPivotStyle="PivotStyleLight16"/>
  <colors>
    <mruColors>
      <color rgb="FF0000FF"/>
      <color rgb="FFB7DEE8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4ACAF6-71EA-4775-8FEE-42F33451298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8d83948-d2c3-4304-a1fe-0fdca45879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E08A-6393-4258-9260-37112E8A6FED}">
  <sheetPr codeName="Sheet3">
    <tabColor rgb="FF002060"/>
  </sheetPr>
  <dimension ref="B1:AA67"/>
  <sheetViews>
    <sheetView showGridLines="0" view="pageBreakPreview" topLeftCell="A16" zoomScale="89" zoomScaleNormal="66" zoomScaleSheetLayoutView="100" workbookViewId="0">
      <selection activeCell="L48" sqref="L48"/>
    </sheetView>
  </sheetViews>
  <sheetFormatPr defaultColWidth="9.109375" defaultRowHeight="15.6"/>
  <cols>
    <col min="1" max="1" width="1.88671875" style="171" customWidth="1"/>
    <col min="2" max="2" width="17.6640625" style="171" customWidth="1"/>
    <col min="3" max="3" width="1.88671875" style="171" customWidth="1"/>
    <col min="4" max="4" width="17.6640625" style="171" customWidth="1"/>
    <col min="5" max="5" width="1.88671875" style="171" customWidth="1"/>
    <col min="6" max="6" width="14.6640625" style="171" customWidth="1"/>
    <col min="7" max="7" width="1.88671875" style="171" customWidth="1"/>
    <col min="8" max="8" width="14.6640625" style="171" customWidth="1"/>
    <col min="9" max="9" width="1.88671875" style="171" customWidth="1"/>
    <col min="10" max="10" width="14.6640625" style="171" customWidth="1"/>
    <col min="11" max="11" width="1.88671875" style="171" customWidth="1"/>
    <col min="12" max="12" width="14.6640625" style="171" customWidth="1"/>
    <col min="13" max="13" width="1.88671875" style="171" customWidth="1"/>
    <col min="14" max="14" width="18" style="171" customWidth="1"/>
    <col min="15" max="15" width="1.88671875" style="171" customWidth="1"/>
    <col min="16" max="16" width="16.88671875" style="171" customWidth="1"/>
    <col min="17" max="17" width="1.88671875" style="171" customWidth="1"/>
    <col min="18" max="18" width="15.5546875" style="171" customWidth="1"/>
    <col min="19" max="19" width="1.88671875" style="171" customWidth="1"/>
    <col min="20" max="20" width="12.6640625" style="171" customWidth="1"/>
    <col min="21" max="21" width="1.88671875" style="171" customWidth="1"/>
    <col min="22" max="22" width="9.109375" style="171"/>
    <col min="23" max="23" width="8.6640625" style="171" customWidth="1"/>
    <col min="24" max="24" width="11.109375" style="171" customWidth="1"/>
    <col min="25" max="25" width="15.33203125" style="171" customWidth="1"/>
    <col min="26" max="26" width="8.6640625" style="171" customWidth="1"/>
    <col min="27" max="16384" width="9.109375" style="171"/>
  </cols>
  <sheetData>
    <row r="1" spans="2:27" s="19" customFormat="1">
      <c r="B1" s="212" t="s">
        <v>161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2:27" s="19" customFormat="1">
      <c r="B2" s="135" t="s">
        <v>253</v>
      </c>
    </row>
    <row r="3" spans="2:27" s="19" customFormat="1">
      <c r="B3" s="136"/>
      <c r="X3" s="27"/>
      <c r="Y3" s="27"/>
    </row>
    <row r="4" spans="2:27" s="19" customFormat="1">
      <c r="B4" s="214" t="s">
        <v>162</v>
      </c>
      <c r="C4" s="215"/>
      <c r="D4" s="215"/>
      <c r="E4" s="215"/>
      <c r="F4" s="215"/>
      <c r="G4" s="215"/>
      <c r="H4" s="215"/>
      <c r="I4" s="215"/>
      <c r="J4" s="215"/>
      <c r="K4" s="215"/>
      <c r="L4" s="215"/>
      <c r="N4" s="212" t="s">
        <v>186</v>
      </c>
      <c r="O4" s="212"/>
      <c r="P4" s="212"/>
      <c r="Q4" s="212"/>
      <c r="R4" s="212"/>
      <c r="S4" s="212"/>
      <c r="T4" s="212"/>
      <c r="X4" s="27"/>
      <c r="Y4" s="27"/>
    </row>
    <row r="5" spans="2:27" s="19" customFormat="1">
      <c r="B5" s="139" t="s">
        <v>13</v>
      </c>
      <c r="C5" s="20"/>
      <c r="D5" s="20"/>
      <c r="E5" s="20"/>
      <c r="F5" s="85"/>
      <c r="G5" s="20"/>
      <c r="H5" s="139" t="s">
        <v>14</v>
      </c>
      <c r="I5" s="20"/>
      <c r="J5" s="20"/>
      <c r="K5" s="20"/>
      <c r="L5" s="85"/>
      <c r="N5" s="19" t="s">
        <v>187</v>
      </c>
      <c r="T5" s="140">
        <v>45657</v>
      </c>
      <c r="Y5" s="141"/>
    </row>
    <row r="6" spans="2:27" s="19" customFormat="1">
      <c r="B6" s="139"/>
      <c r="C6" s="20"/>
      <c r="D6" s="20"/>
      <c r="E6" s="20"/>
      <c r="F6" s="142"/>
      <c r="G6" s="20"/>
      <c r="H6" s="139"/>
      <c r="I6" s="20"/>
      <c r="J6" s="20"/>
      <c r="K6" s="20"/>
      <c r="L6" s="85"/>
      <c r="Y6" s="143"/>
    </row>
    <row r="7" spans="2:27" s="19" customFormat="1">
      <c r="B7" s="85" t="s">
        <v>284</v>
      </c>
      <c r="C7" s="20"/>
      <c r="D7" s="20"/>
      <c r="E7" s="20"/>
      <c r="F7" s="13">
        <f>+SUM(L7:L9)-F11-F8</f>
        <v>269.875</v>
      </c>
      <c r="G7" s="20"/>
      <c r="H7" s="85" t="s">
        <v>252</v>
      </c>
      <c r="I7" s="20"/>
      <c r="J7" s="20"/>
      <c r="K7" s="20"/>
      <c r="L7" s="13">
        <f>IF(L43=1,T11,T13)</f>
        <v>2159</v>
      </c>
      <c r="N7" s="19" t="s">
        <v>269</v>
      </c>
      <c r="T7" s="144">
        <v>200</v>
      </c>
      <c r="X7" s="27"/>
      <c r="Y7" s="27"/>
      <c r="AA7" s="145"/>
    </row>
    <row r="8" spans="2:27" s="19" customFormat="1">
      <c r="B8" s="85" t="s">
        <v>285</v>
      </c>
      <c r="F8" s="13">
        <f>(SUM($L$7:$L$9)-F11)*T26</f>
        <v>269.875</v>
      </c>
      <c r="G8" s="20"/>
      <c r="H8" s="85" t="s">
        <v>165</v>
      </c>
      <c r="I8" s="20"/>
      <c r="J8" s="20"/>
      <c r="K8" s="20"/>
      <c r="L8" s="13">
        <f>CHOOSE(L18,0,L39,0,0,0)</f>
        <v>0</v>
      </c>
      <c r="N8" s="19" t="s">
        <v>225</v>
      </c>
      <c r="T8" s="146">
        <v>10</v>
      </c>
      <c r="X8" s="27"/>
      <c r="Y8" s="27"/>
    </row>
    <row r="9" spans="2:27" s="19" customFormat="1">
      <c r="B9" s="20" t="s">
        <v>265</v>
      </c>
      <c r="C9" s="20"/>
      <c r="D9" s="20"/>
      <c r="E9" s="20"/>
      <c r="F9" s="118">
        <v>300</v>
      </c>
      <c r="G9" s="20"/>
      <c r="H9" s="20" t="s">
        <v>166</v>
      </c>
      <c r="I9" s="20"/>
      <c r="J9" s="20"/>
      <c r="K9" s="20"/>
      <c r="L9" s="13">
        <f>T29*T11</f>
        <v>0</v>
      </c>
      <c r="N9" s="19" t="s">
        <v>226</v>
      </c>
      <c r="T9" s="217">
        <v>0.08</v>
      </c>
      <c r="X9" s="27"/>
      <c r="Y9" s="27"/>
    </row>
    <row r="10" spans="2:27" s="19" customFormat="1">
      <c r="B10" s="20" t="s">
        <v>266</v>
      </c>
      <c r="C10" s="20"/>
      <c r="D10" s="20"/>
      <c r="E10" s="20"/>
      <c r="F10" s="13">
        <f>IF(L48=1,23.831,0)</f>
        <v>0</v>
      </c>
      <c r="G10" s="20"/>
      <c r="H10" s="20" t="s">
        <v>267</v>
      </c>
      <c r="I10" s="20"/>
      <c r="J10" s="20"/>
      <c r="K10" s="20"/>
      <c r="L10" s="13">
        <f>F9</f>
        <v>300</v>
      </c>
      <c r="N10" s="147" t="s">
        <v>231</v>
      </c>
      <c r="O10" s="147"/>
      <c r="P10" s="147"/>
      <c r="Q10" s="147"/>
      <c r="R10" s="147"/>
      <c r="S10" s="147"/>
      <c r="T10" s="148">
        <f>T8*(1+T9)</f>
        <v>10.8</v>
      </c>
      <c r="X10" s="27"/>
      <c r="Y10" s="27"/>
    </row>
    <row r="11" spans="2:27" s="19" customFormat="1">
      <c r="B11" s="85" t="s">
        <v>164</v>
      </c>
      <c r="C11" s="20"/>
      <c r="D11" s="20"/>
      <c r="E11" s="20"/>
      <c r="F11" s="13">
        <f>L7*CHOOSE(L18,L26,L37,0,0)</f>
        <v>1619.25</v>
      </c>
      <c r="G11" s="20"/>
      <c r="H11" s="20" t="s">
        <v>268</v>
      </c>
      <c r="I11" s="20"/>
      <c r="J11" s="20"/>
      <c r="K11" s="20"/>
      <c r="L11" s="13">
        <f>F10</f>
        <v>0</v>
      </c>
      <c r="N11" s="19" t="s">
        <v>227</v>
      </c>
      <c r="T11" s="149">
        <f>T10*T7</f>
        <v>2160</v>
      </c>
      <c r="X11" s="27"/>
      <c r="Y11" s="27"/>
    </row>
    <row r="12" spans="2:27" s="19" customFormat="1">
      <c r="G12" s="20"/>
      <c r="N12" s="19" t="s">
        <v>229</v>
      </c>
      <c r="T12" s="144">
        <v>-1</v>
      </c>
      <c r="X12" s="27"/>
      <c r="Y12" s="27"/>
    </row>
    <row r="13" spans="2:27" s="19" customFormat="1">
      <c r="B13" s="20"/>
      <c r="C13" s="20"/>
      <c r="D13" s="20"/>
      <c r="E13" s="20"/>
      <c r="F13" s="13"/>
      <c r="G13" s="20"/>
      <c r="N13" s="150" t="s">
        <v>230</v>
      </c>
      <c r="O13" s="150"/>
      <c r="P13" s="150"/>
      <c r="Q13" s="150"/>
      <c r="R13" s="150"/>
      <c r="S13" s="150"/>
      <c r="T13" s="151">
        <f>T12+T11</f>
        <v>2159</v>
      </c>
      <c r="X13" s="27"/>
      <c r="Y13" s="27"/>
    </row>
    <row r="14" spans="2:27" s="19" customFormat="1" ht="16.2" thickBot="1">
      <c r="B14" s="152" t="s">
        <v>15</v>
      </c>
      <c r="C14" s="153"/>
      <c r="D14" s="153"/>
      <c r="E14" s="153"/>
      <c r="F14" s="154">
        <f>SUM(F7:F13)</f>
        <v>2459</v>
      </c>
      <c r="G14" s="153"/>
      <c r="H14" s="152" t="s">
        <v>16</v>
      </c>
      <c r="I14" s="153"/>
      <c r="J14" s="153"/>
      <c r="K14" s="153"/>
      <c r="L14" s="154">
        <f>SUM(L7:L11)</f>
        <v>2459</v>
      </c>
      <c r="N14" s="19" t="s">
        <v>228</v>
      </c>
      <c r="T14" s="13">
        <f>_xlfn.XLOOKUP(T5,Financials!$T$6:$AN$6,Financials!$T$29:$AN$29,0,0)</f>
        <v>312.97922970299993</v>
      </c>
      <c r="X14" s="27"/>
      <c r="Y14" s="27"/>
    </row>
    <row r="15" spans="2:27" s="19" customFormat="1" ht="15.75" customHeight="1" thickTop="1">
      <c r="B15" s="155"/>
      <c r="C15" s="110"/>
      <c r="D15" s="110"/>
      <c r="E15" s="110"/>
      <c r="F15" s="156"/>
      <c r="G15" s="110"/>
      <c r="H15" s="155"/>
      <c r="I15" s="110"/>
      <c r="J15" s="110"/>
      <c r="K15" s="110"/>
      <c r="L15" s="156"/>
      <c r="N15" s="19" t="s">
        <v>232</v>
      </c>
      <c r="T15" s="143">
        <f>IFERROR(T11/T14,"na")</f>
        <v>6.9014164360035046</v>
      </c>
      <c r="X15" s="27"/>
      <c r="Y15" s="27"/>
    </row>
    <row r="16" spans="2:27" s="19" customFormat="1" ht="15.75" customHeight="1">
      <c r="B16" s="212" t="s">
        <v>168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X16" s="27"/>
      <c r="Y16" s="27"/>
    </row>
    <row r="17" spans="2:25" s="19" customFormat="1" ht="15.75" customHeight="1">
      <c r="N17" s="212" t="s">
        <v>170</v>
      </c>
      <c r="O17" s="212"/>
      <c r="P17" s="212"/>
      <c r="Q17" s="212"/>
      <c r="R17" s="212"/>
      <c r="S17" s="212"/>
      <c r="T17" s="212"/>
      <c r="X17" s="27"/>
      <c r="Y17" s="27"/>
    </row>
    <row r="18" spans="2:25" s="19" customFormat="1">
      <c r="B18" s="139" t="s">
        <v>169</v>
      </c>
      <c r="D18" s="85"/>
      <c r="F18" s="85"/>
      <c r="L18" s="216">
        <v>1</v>
      </c>
      <c r="N18" s="19" t="s">
        <v>167</v>
      </c>
      <c r="T18" s="160">
        <v>10</v>
      </c>
      <c r="X18" s="27"/>
      <c r="Y18" s="27"/>
    </row>
    <row r="19" spans="2:25" s="19" customFormat="1">
      <c r="B19" s="158" t="s">
        <v>254</v>
      </c>
      <c r="D19" s="85"/>
      <c r="F19" s="85"/>
      <c r="L19" s="85"/>
      <c r="N19" s="19" t="s">
        <v>189</v>
      </c>
      <c r="T19" s="161">
        <f>EOMONTH(T5,T18*12)</f>
        <v>49309</v>
      </c>
      <c r="X19" s="27"/>
      <c r="Y19" s="27"/>
    </row>
    <row r="20" spans="2:25" s="19" customFormat="1">
      <c r="B20" s="158" t="s">
        <v>257</v>
      </c>
      <c r="D20" s="85"/>
      <c r="F20" s="85"/>
      <c r="L20" s="85"/>
      <c r="N20" s="19" t="s">
        <v>171</v>
      </c>
      <c r="T20" s="13">
        <f>_xlfn.XLOOKUP(T19,Financials!$T$6:$AN$6,Financials!$T$29:$AN$29,0,0)</f>
        <v>362.48470579650416</v>
      </c>
      <c r="W20" s="159"/>
      <c r="X20" s="27"/>
      <c r="Y20" s="27"/>
    </row>
    <row r="21" spans="2:25" s="19" customFormat="1">
      <c r="B21" s="158" t="s">
        <v>264</v>
      </c>
      <c r="F21" s="85"/>
      <c r="L21" s="85"/>
      <c r="N21" s="19" t="s">
        <v>188</v>
      </c>
      <c r="T21" s="191">
        <v>5</v>
      </c>
      <c r="W21" s="159"/>
      <c r="X21" s="27"/>
      <c r="Y21" s="27"/>
    </row>
    <row r="22" spans="2:25" s="19" customFormat="1">
      <c r="D22" s="85"/>
      <c r="F22" s="85"/>
      <c r="L22" s="85"/>
      <c r="N22" s="163" t="s">
        <v>172</v>
      </c>
      <c r="O22" s="163"/>
      <c r="P22" s="163"/>
      <c r="Q22" s="163"/>
      <c r="R22" s="163"/>
      <c r="S22" s="163"/>
      <c r="T22" s="164">
        <f>T20*T21</f>
        <v>1812.4235289825208</v>
      </c>
      <c r="W22" s="159"/>
      <c r="X22" s="27"/>
      <c r="Y22" s="27"/>
    </row>
    <row r="23" spans="2:25" s="19" customFormat="1">
      <c r="D23" s="85"/>
      <c r="F23" s="85"/>
      <c r="L23" s="85"/>
      <c r="W23" s="159"/>
      <c r="X23" s="27"/>
      <c r="Y23" s="27"/>
    </row>
    <row r="24" spans="2:25" s="19" customFormat="1">
      <c r="B24" s="137" t="s">
        <v>255</v>
      </c>
      <c r="C24" s="138"/>
      <c r="D24" s="138"/>
      <c r="E24" s="138"/>
      <c r="F24" s="138"/>
      <c r="G24" s="138"/>
      <c r="H24" s="137"/>
      <c r="I24" s="138"/>
      <c r="J24" s="137"/>
      <c r="K24" s="138"/>
      <c r="L24" s="137"/>
      <c r="N24" s="138" t="s">
        <v>223</v>
      </c>
      <c r="O24" s="138"/>
      <c r="P24" s="138"/>
      <c r="Q24" s="138"/>
      <c r="R24" s="138"/>
      <c r="S24" s="138"/>
      <c r="T24" s="138"/>
      <c r="W24" s="159"/>
      <c r="X24" s="27"/>
      <c r="Y24" s="27"/>
    </row>
    <row r="25" spans="2:25" s="19" customFormat="1">
      <c r="B25" s="162" t="s">
        <v>180</v>
      </c>
      <c r="H25" s="85"/>
      <c r="J25" s="85"/>
      <c r="L25" s="85"/>
      <c r="N25" s="19" t="s">
        <v>284</v>
      </c>
      <c r="T25" s="218">
        <v>0.5</v>
      </c>
      <c r="X25" s="27"/>
      <c r="Y25" s="27"/>
    </row>
    <row r="26" spans="2:25" s="19" customFormat="1">
      <c r="B26" s="85" t="s">
        <v>177</v>
      </c>
      <c r="H26" s="85"/>
      <c r="J26" s="85"/>
      <c r="L26" s="165">
        <v>0.75</v>
      </c>
      <c r="N26" s="19" t="s">
        <v>285</v>
      </c>
      <c r="T26" s="86">
        <f>1-T25</f>
        <v>0.5</v>
      </c>
      <c r="X26" s="27"/>
      <c r="Y26" s="27"/>
    </row>
    <row r="27" spans="2:25" s="19" customFormat="1">
      <c r="B27" s="85" t="s">
        <v>181</v>
      </c>
      <c r="H27" s="85"/>
      <c r="J27" s="85"/>
      <c r="L27" s="165">
        <v>0.09</v>
      </c>
      <c r="X27" s="27"/>
      <c r="Y27" s="27"/>
    </row>
    <row r="28" spans="2:25" s="19" customFormat="1">
      <c r="B28" s="85" t="s">
        <v>182</v>
      </c>
      <c r="H28" s="85"/>
      <c r="J28" s="85"/>
      <c r="L28" s="166">
        <v>18</v>
      </c>
      <c r="N28" s="212" t="s">
        <v>173</v>
      </c>
      <c r="O28" s="212"/>
      <c r="P28" s="212"/>
      <c r="Q28" s="212"/>
      <c r="R28" s="212"/>
      <c r="S28" s="212"/>
      <c r="T28" s="212"/>
      <c r="X28" s="27"/>
      <c r="Y28" s="27"/>
    </row>
    <row r="29" spans="2:25" s="19" customFormat="1">
      <c r="N29" s="19" t="s">
        <v>166</v>
      </c>
      <c r="T29" s="131">
        <v>0</v>
      </c>
      <c r="X29" s="27"/>
      <c r="Y29" s="27"/>
    </row>
    <row r="30" spans="2:25" s="19" customFormat="1">
      <c r="B30" s="137" t="s">
        <v>256</v>
      </c>
      <c r="C30" s="138"/>
      <c r="D30" s="138"/>
      <c r="E30" s="138"/>
      <c r="F30" s="138"/>
      <c r="G30" s="138"/>
      <c r="H30" s="137"/>
      <c r="I30" s="138"/>
      <c r="J30" s="137"/>
      <c r="K30" s="138"/>
      <c r="L30" s="137"/>
      <c r="X30" s="27"/>
      <c r="Y30" s="27"/>
    </row>
    <row r="31" spans="2:25" s="19" customFormat="1">
      <c r="B31" s="162" t="s">
        <v>174</v>
      </c>
      <c r="H31" s="85"/>
      <c r="J31" s="85"/>
      <c r="L31" s="85"/>
      <c r="N31" s="172" t="s">
        <v>247</v>
      </c>
      <c r="O31" s="157"/>
      <c r="P31" s="157"/>
      <c r="Q31" s="157"/>
      <c r="R31" s="157"/>
      <c r="S31" s="157"/>
      <c r="T31" s="179">
        <v>3</v>
      </c>
      <c r="X31" s="27"/>
      <c r="Y31" s="27"/>
    </row>
    <row r="32" spans="2:25" s="19" customFormat="1">
      <c r="B32" s="85"/>
      <c r="H32" s="85"/>
      <c r="L32" s="167"/>
      <c r="N32" s="158" t="s">
        <v>237</v>
      </c>
      <c r="X32" s="27"/>
      <c r="Y32" s="27"/>
    </row>
    <row r="33" spans="2:25" s="19" customFormat="1">
      <c r="B33" s="85" t="s">
        <v>175</v>
      </c>
      <c r="H33" s="85"/>
      <c r="L33" s="168">
        <v>3.1E-2</v>
      </c>
      <c r="N33" s="158" t="s">
        <v>238</v>
      </c>
      <c r="X33" s="27"/>
      <c r="Y33" s="27"/>
    </row>
    <row r="34" spans="2:25" s="19" customFormat="1">
      <c r="B34" s="85" t="s">
        <v>290</v>
      </c>
      <c r="H34" s="85"/>
      <c r="J34" s="169">
        <v>46539</v>
      </c>
      <c r="L34" s="168">
        <v>0.01</v>
      </c>
      <c r="N34" s="158" t="s">
        <v>248</v>
      </c>
      <c r="X34" s="27"/>
      <c r="Y34" s="27"/>
    </row>
    <row r="35" spans="2:25" s="19" customFormat="1">
      <c r="B35" s="85" t="s">
        <v>290</v>
      </c>
      <c r="H35" s="85"/>
      <c r="J35" s="169">
        <v>46905</v>
      </c>
      <c r="L35" s="168">
        <v>5.0000000000000001E-3</v>
      </c>
      <c r="N35" s="85"/>
      <c r="X35" s="27"/>
      <c r="Y35" s="27"/>
    </row>
    <row r="36" spans="2:25" s="19" customFormat="1">
      <c r="B36" s="85" t="s">
        <v>176</v>
      </c>
      <c r="H36" s="85"/>
      <c r="J36" s="170">
        <f>J35</f>
        <v>46905</v>
      </c>
      <c r="L36" s="168">
        <f>1/7</f>
        <v>0.14285714285714285</v>
      </c>
      <c r="N36" s="172" t="s">
        <v>246</v>
      </c>
      <c r="O36" s="157"/>
      <c r="P36" s="157"/>
      <c r="Q36" s="157"/>
      <c r="R36" s="157"/>
      <c r="S36" s="157"/>
      <c r="T36" s="179">
        <v>1</v>
      </c>
      <c r="X36" s="27"/>
      <c r="Y36" s="27"/>
    </row>
    <row r="37" spans="2:25" s="19" customFormat="1">
      <c r="B37" s="85" t="s">
        <v>177</v>
      </c>
      <c r="H37" s="85"/>
      <c r="J37" s="85"/>
      <c r="L37" s="165">
        <v>0.55000000000000004</v>
      </c>
      <c r="N37" s="158" t="s">
        <v>254</v>
      </c>
      <c r="X37" s="27"/>
      <c r="Y37" s="27"/>
    </row>
    <row r="38" spans="2:25" s="19" customFormat="1">
      <c r="B38" s="85" t="s">
        <v>178</v>
      </c>
      <c r="H38" s="85"/>
      <c r="J38" s="85"/>
      <c r="L38" s="165">
        <v>7.4999999999999997E-3</v>
      </c>
      <c r="N38" s="158" t="s">
        <v>257</v>
      </c>
      <c r="X38" s="27"/>
      <c r="Y38" s="27"/>
    </row>
    <row r="39" spans="2:25" s="19" customFormat="1">
      <c r="B39" s="85" t="s">
        <v>179</v>
      </c>
      <c r="H39" s="85"/>
      <c r="J39" s="85"/>
      <c r="L39" s="13">
        <f>IF(L18=2,L38*F11,0)</f>
        <v>0</v>
      </c>
      <c r="X39" s="27"/>
      <c r="Y39" s="27"/>
    </row>
    <row r="40" spans="2:25" s="19" customFormat="1">
      <c r="X40" s="27"/>
      <c r="Y40" s="27"/>
    </row>
    <row r="41" spans="2:25" s="19" customFormat="1">
      <c r="B41" s="214" t="s">
        <v>249</v>
      </c>
      <c r="C41" s="212"/>
      <c r="D41" s="212"/>
      <c r="E41" s="212"/>
      <c r="F41" s="212"/>
      <c r="G41" s="212"/>
      <c r="H41" s="214"/>
      <c r="I41" s="212"/>
      <c r="J41" s="214"/>
      <c r="K41" s="212"/>
      <c r="L41" s="214"/>
      <c r="X41" s="27"/>
      <c r="Y41" s="27"/>
    </row>
    <row r="42" spans="2:25" s="19" customFormat="1">
      <c r="N42" s="158"/>
      <c r="X42" s="27"/>
      <c r="Y42" s="27"/>
    </row>
    <row r="43" spans="2:25" s="19" customFormat="1">
      <c r="B43" s="173" t="s">
        <v>270</v>
      </c>
      <c r="C43" s="173"/>
      <c r="D43" s="173"/>
      <c r="E43" s="173"/>
      <c r="F43" s="173"/>
      <c r="G43" s="173"/>
      <c r="H43" s="173"/>
      <c r="I43" s="173"/>
      <c r="J43" s="173"/>
      <c r="K43" s="174" t="s">
        <v>250</v>
      </c>
      <c r="L43" s="219">
        <v>0</v>
      </c>
      <c r="X43" s="27"/>
      <c r="Y43" s="27"/>
    </row>
    <row r="44" spans="2:25" s="19" customFormat="1">
      <c r="B44" s="19" t="s">
        <v>233</v>
      </c>
      <c r="L44" s="175">
        <v>0.08</v>
      </c>
      <c r="X44" s="27"/>
      <c r="Y44" s="27"/>
    </row>
    <row r="45" spans="2:25" s="19" customFormat="1">
      <c r="B45" s="19" t="s">
        <v>234</v>
      </c>
      <c r="L45" s="144">
        <v>200</v>
      </c>
      <c r="X45" s="27"/>
      <c r="Y45" s="27"/>
    </row>
    <row r="46" spans="2:25" s="19" customFormat="1">
      <c r="B46" s="19" t="s">
        <v>235</v>
      </c>
      <c r="L46" s="176">
        <v>47118</v>
      </c>
      <c r="X46" s="27"/>
      <c r="Y46" s="27"/>
    </row>
    <row r="47" spans="2:25" s="19" customFormat="1">
      <c r="X47" s="27"/>
      <c r="Y47" s="27"/>
    </row>
    <row r="48" spans="2:25" s="19" customFormat="1">
      <c r="B48" s="173" t="s">
        <v>271</v>
      </c>
      <c r="C48" s="173"/>
      <c r="D48" s="173"/>
      <c r="E48" s="173"/>
      <c r="F48" s="173"/>
      <c r="G48" s="173"/>
      <c r="H48" s="173"/>
      <c r="I48" s="173"/>
      <c r="J48" s="173"/>
      <c r="K48" s="174" t="s">
        <v>250</v>
      </c>
      <c r="L48" s="220">
        <f>L43</f>
        <v>0</v>
      </c>
      <c r="X48" s="27"/>
      <c r="Y48" s="27"/>
    </row>
    <row r="49" spans="2:25" s="19" customFormat="1">
      <c r="B49" s="19" t="s">
        <v>233</v>
      </c>
      <c r="L49" s="175">
        <v>0.05</v>
      </c>
      <c r="X49" s="27"/>
      <c r="Y49" s="27"/>
    </row>
    <row r="50" spans="2:25">
      <c r="B50" s="19" t="s">
        <v>234</v>
      </c>
      <c r="C50" s="19"/>
      <c r="D50" s="19"/>
      <c r="E50" s="19"/>
      <c r="F50" s="19"/>
      <c r="G50" s="19"/>
      <c r="H50" s="19"/>
      <c r="I50" s="19"/>
      <c r="J50" s="19"/>
      <c r="K50" s="19"/>
      <c r="L50" s="144">
        <v>24</v>
      </c>
      <c r="M50" s="19"/>
    </row>
    <row r="51" spans="2:25">
      <c r="B51" s="19" t="s">
        <v>236</v>
      </c>
      <c r="C51" s="19"/>
      <c r="D51" s="19"/>
      <c r="E51" s="19"/>
      <c r="F51" s="19"/>
      <c r="G51" s="19"/>
      <c r="H51" s="19"/>
      <c r="I51" s="19"/>
      <c r="J51" s="19"/>
      <c r="K51" s="19"/>
      <c r="L51" s="144">
        <f>L50/3</f>
        <v>8</v>
      </c>
      <c r="M51" s="19"/>
    </row>
    <row r="52" spans="2:25">
      <c r="B52" s="19" t="s">
        <v>235</v>
      </c>
      <c r="C52" s="19"/>
      <c r="D52" s="19"/>
      <c r="E52" s="19"/>
      <c r="F52" s="19"/>
      <c r="G52" s="19"/>
      <c r="H52" s="19"/>
      <c r="I52" s="19"/>
      <c r="J52" s="19"/>
      <c r="K52" s="19"/>
      <c r="L52" s="178">
        <v>46446</v>
      </c>
      <c r="M52" s="19"/>
    </row>
    <row r="53" spans="2:25">
      <c r="M53" s="19"/>
    </row>
    <row r="54" spans="2:25">
      <c r="M54" s="19"/>
    </row>
    <row r="55" spans="2:25">
      <c r="M55" s="19"/>
    </row>
    <row r="56" spans="2:25">
      <c r="M56" s="19"/>
    </row>
    <row r="57" spans="2:25">
      <c r="M57" s="19"/>
    </row>
    <row r="58" spans="2:25">
      <c r="M58" s="19"/>
    </row>
    <row r="59" spans="2:25">
      <c r="M59" s="177"/>
    </row>
    <row r="60" spans="2:25">
      <c r="M60" s="177"/>
      <c r="N60" s="177"/>
      <c r="O60" s="177"/>
      <c r="P60" s="177"/>
      <c r="Q60" s="177"/>
      <c r="R60" s="177"/>
      <c r="S60" s="177"/>
      <c r="T60" s="177"/>
    </row>
    <row r="62" spans="2:25" s="19" customFormat="1">
      <c r="M62" s="177"/>
      <c r="N62" s="177"/>
      <c r="O62" s="177"/>
      <c r="P62" s="177"/>
      <c r="Q62" s="177"/>
      <c r="R62" s="177"/>
      <c r="S62" s="177"/>
      <c r="T62" s="177"/>
    </row>
    <row r="63" spans="2:25"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</row>
    <row r="64" spans="2:25"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</row>
    <row r="67" spans="23:26">
      <c r="W67" s="180"/>
      <c r="X67" s="180"/>
      <c r="Y67" s="180"/>
      <c r="Z67" s="180"/>
    </row>
  </sheetData>
  <dataValidations count="3">
    <dataValidation type="list" allowBlank="1" showInputMessage="1" showErrorMessage="1" sqref="L43 L48" xr:uid="{3430ABA4-9265-45A2-BB00-763ACDADD8D5}">
      <formula1>"0,1"</formula1>
    </dataValidation>
    <dataValidation type="list" allowBlank="1" showInputMessage="1" showErrorMessage="1" sqref="L18 T31" xr:uid="{2C295F25-ED0A-4787-A3DA-38A6E4B18A68}">
      <formula1>"1,2,3"</formula1>
    </dataValidation>
    <dataValidation type="list" allowBlank="1" showInputMessage="1" showErrorMessage="1" sqref="T36" xr:uid="{A87C7DFA-5B2F-472A-ADA2-EE78B1C94565}">
      <formula1>"1,2"</formula1>
    </dataValidation>
  </dataValidations>
  <printOptions horizontalCentered="1"/>
  <pageMargins left="0.7" right="0.7" top="0.75" bottom="0.75" header="0.3" footer="0.3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1F7A-5DE2-42A7-BBEC-415D074CDF37}">
  <sheetPr codeName="Sheet2">
    <tabColor rgb="FF002060"/>
  </sheetPr>
  <dimension ref="B1:CU30"/>
  <sheetViews>
    <sheetView showGridLines="0" view="pageBreakPreview" zoomScale="85" zoomScaleNormal="70" zoomScaleSheetLayoutView="85" workbookViewId="0">
      <pane xSplit="4" ySplit="8" topLeftCell="E9" activePane="bottomRight" state="frozen"/>
      <selection activeCell="D4" sqref="D4"/>
      <selection pane="topRight" activeCell="D4" sqref="D4"/>
      <selection pane="bottomLeft" activeCell="D4" sqref="D4"/>
      <selection pane="bottomRight" activeCell="T11" sqref="T11:T15"/>
    </sheetView>
  </sheetViews>
  <sheetFormatPr defaultColWidth="9.109375" defaultRowHeight="15.6"/>
  <cols>
    <col min="1" max="1" width="1.6640625" style="1" customWidth="1"/>
    <col min="2" max="2" width="38" style="1" bestFit="1" customWidth="1"/>
    <col min="3" max="3" width="1.6640625" style="1" customWidth="1"/>
    <col min="4" max="4" width="18.109375" style="1" bestFit="1" customWidth="1"/>
    <col min="5" max="5" width="1.6640625" style="1" customWidth="1"/>
    <col min="6" max="6" width="8.6640625" style="1" customWidth="1"/>
    <col min="7" max="7" width="1.6640625" style="1" customWidth="1"/>
    <col min="8" max="8" width="8.6640625" style="1" customWidth="1"/>
    <col min="9" max="9" width="1.6640625" style="1" customWidth="1"/>
    <col min="10" max="10" width="8.6640625" style="1" customWidth="1"/>
    <col min="11" max="11" width="1.6640625" style="1" customWidth="1"/>
    <col min="12" max="12" width="8.6640625" style="1" customWidth="1"/>
    <col min="13" max="13" width="1.6640625" style="1" customWidth="1"/>
    <col min="14" max="14" width="8.6640625" style="1" customWidth="1"/>
    <col min="15" max="15" width="1.6640625" style="1" customWidth="1"/>
    <col min="16" max="16" width="8.6640625" style="1" customWidth="1"/>
    <col min="17" max="17" width="1.6640625" style="1" customWidth="1"/>
    <col min="18" max="18" width="8.6640625" style="1" customWidth="1"/>
    <col min="19" max="19" width="1.6640625" style="1" customWidth="1"/>
    <col min="20" max="20" width="8.6640625" style="1" customWidth="1"/>
    <col min="21" max="21" width="1.6640625" style="1" customWidth="1"/>
    <col min="22" max="22" width="8.6640625" style="1" customWidth="1"/>
    <col min="23" max="23" width="1.6640625" style="1" customWidth="1"/>
    <col min="24" max="24" width="8.6640625" style="1" customWidth="1"/>
    <col min="25" max="25" width="1.6640625" style="1" customWidth="1"/>
    <col min="26" max="26" width="8.6640625" style="1" customWidth="1"/>
    <col min="27" max="27" width="1.6640625" style="1" customWidth="1"/>
    <col min="28" max="28" width="8.6640625" style="1" customWidth="1"/>
    <col min="29" max="29" width="1.6640625" style="1" customWidth="1"/>
    <col min="30" max="30" width="8.6640625" style="1" customWidth="1"/>
    <col min="31" max="31" width="1.6640625" style="1" customWidth="1"/>
    <col min="32" max="32" width="8.6640625" style="1" customWidth="1"/>
    <col min="33" max="33" width="1.6640625" style="1" customWidth="1"/>
    <col min="34" max="34" width="8.6640625" style="1" customWidth="1"/>
    <col min="35" max="35" width="1.6640625" style="1" customWidth="1"/>
    <col min="36" max="36" width="8.6640625" style="1" customWidth="1"/>
    <col min="37" max="37" width="1.6640625" style="1" customWidth="1"/>
    <col min="38" max="38" width="8.6640625" style="1" customWidth="1"/>
    <col min="39" max="39" width="1.6640625" style="1" customWidth="1"/>
    <col min="40" max="40" width="8.6640625" style="1" customWidth="1"/>
    <col min="41" max="41" width="1.6640625" style="1" customWidth="1"/>
    <col min="42" max="42" width="8.6640625" style="1" customWidth="1"/>
    <col min="43" max="43" width="1.6640625" style="1" customWidth="1"/>
    <col min="44" max="44" width="8.6640625" style="1" customWidth="1"/>
    <col min="45" max="45" width="1.6640625" style="1" customWidth="1"/>
    <col min="46" max="46" width="8.6640625" style="1" customWidth="1"/>
    <col min="47" max="47" width="1.6640625" style="1" customWidth="1"/>
    <col min="48" max="48" width="8.6640625" style="1" customWidth="1"/>
    <col min="49" max="49" width="1.6640625" style="1" customWidth="1"/>
    <col min="50" max="50" width="8.6640625" style="1" customWidth="1"/>
    <col min="51" max="51" width="1.6640625" style="1" customWidth="1"/>
    <col min="52" max="52" width="8.6640625" style="1" customWidth="1"/>
    <col min="53" max="53" width="1.6640625" style="1" customWidth="1"/>
    <col min="54" max="54" width="8.6640625" style="1" customWidth="1"/>
    <col min="55" max="55" width="1.6640625" style="1" customWidth="1"/>
    <col min="56" max="56" width="8.6640625" style="1" customWidth="1"/>
    <col min="57" max="57" width="1.6640625" style="1" customWidth="1"/>
    <col min="58" max="58" width="8.6640625" style="1" customWidth="1"/>
    <col min="59" max="59" width="1.6640625" style="1" customWidth="1"/>
    <col min="60" max="60" width="8.6640625" style="1" customWidth="1"/>
    <col min="61" max="61" width="1.6640625" style="1" customWidth="1"/>
    <col min="62" max="62" width="8.6640625" style="1" customWidth="1"/>
    <col min="63" max="63" width="1.6640625" style="1" customWidth="1"/>
    <col min="64" max="64" width="8.6640625" style="1" customWidth="1"/>
    <col min="65" max="65" width="1.6640625" style="1" customWidth="1"/>
    <col min="66" max="66" width="8.6640625" style="1" customWidth="1"/>
    <col min="67" max="67" width="1.6640625" style="1" customWidth="1"/>
    <col min="68" max="68" width="8.6640625" style="1" customWidth="1"/>
    <col min="69" max="69" width="1.6640625" style="1" customWidth="1"/>
    <col min="70" max="70" width="8.6640625" style="1" customWidth="1"/>
    <col min="71" max="71" width="1.6640625" style="1" customWidth="1"/>
    <col min="72" max="72" width="9.109375" style="1"/>
    <col min="73" max="73" width="9.109375" style="1" customWidth="1"/>
    <col min="74" max="74" width="1.6640625" style="1" customWidth="1"/>
    <col min="75" max="75" width="9.109375" style="1" customWidth="1"/>
    <col min="76" max="76" width="1.6640625" style="1" customWidth="1"/>
    <col min="77" max="77" width="9.109375" style="1" customWidth="1"/>
    <col min="78" max="78" width="1.6640625" style="1" customWidth="1"/>
    <col min="79" max="79" width="9.109375" style="1" customWidth="1"/>
    <col min="80" max="80" width="1.6640625" style="1" customWidth="1"/>
    <col min="81" max="81" width="9.109375" style="1" customWidth="1"/>
    <col min="82" max="82" width="1.6640625" style="1" customWidth="1"/>
    <col min="83" max="83" width="9.109375" style="1" customWidth="1"/>
    <col min="84" max="84" width="1.6640625" style="1" customWidth="1"/>
    <col min="85" max="85" width="9.109375" style="1" customWidth="1"/>
    <col min="86" max="86" width="1.6640625" style="1" customWidth="1"/>
    <col min="87" max="87" width="9.109375" style="1" customWidth="1"/>
    <col min="88" max="88" width="1.6640625" style="1" customWidth="1"/>
    <col min="89" max="89" width="9.109375" style="1" customWidth="1"/>
    <col min="90" max="90" width="1.6640625" style="1" customWidth="1"/>
    <col min="91" max="91" width="9.109375" style="1" customWidth="1"/>
    <col min="92" max="92" width="1.6640625" style="1" customWidth="1"/>
    <col min="93" max="93" width="9.109375" style="1" customWidth="1"/>
    <col min="94" max="16384" width="9.109375" style="1"/>
  </cols>
  <sheetData>
    <row r="1" spans="2:99" ht="5.0999999999999996" customHeight="1"/>
    <row r="2" spans="2:99">
      <c r="B2" s="184" t="s">
        <v>190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</row>
    <row r="3" spans="2:99" ht="5.0999999999999996" customHeight="1"/>
    <row r="4" spans="2:99">
      <c r="B4" s="2" t="s">
        <v>191</v>
      </c>
      <c r="D4" s="229">
        <v>3</v>
      </c>
      <c r="F4" s="2" t="s">
        <v>260</v>
      </c>
    </row>
    <row r="5" spans="2:99" ht="5.0999999999999996" customHeight="1"/>
    <row r="6" spans="2:99" s="2" customFormat="1">
      <c r="E6" s="1"/>
      <c r="F6" s="184" t="s">
        <v>258</v>
      </c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B6" s="184" t="s">
        <v>183</v>
      </c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X6" s="184" t="s">
        <v>192</v>
      </c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U6" s="4" t="s">
        <v>193</v>
      </c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</row>
    <row r="7" spans="2:99" s="6" customFormat="1">
      <c r="B7" s="5" t="s">
        <v>194</v>
      </c>
      <c r="D7" s="5"/>
      <c r="F7" s="7">
        <f>'Financing Inputs'!$T$5</f>
        <v>45657</v>
      </c>
      <c r="H7" s="7">
        <f>EOMONTH(F7,12)</f>
        <v>46022</v>
      </c>
      <c r="J7" s="7">
        <f>EOMONTH(H7,12)</f>
        <v>46387</v>
      </c>
      <c r="L7" s="7">
        <f>EOMONTH(J7,12)</f>
        <v>46752</v>
      </c>
      <c r="N7" s="7">
        <f>EOMONTH(L7,12)</f>
        <v>47118</v>
      </c>
      <c r="P7" s="7">
        <f>EOMONTH(N7,12)</f>
        <v>47483</v>
      </c>
      <c r="R7" s="7">
        <f>EOMONTH(P7,12)</f>
        <v>47848</v>
      </c>
      <c r="T7" s="7">
        <f>EOMONTH(R7,12)</f>
        <v>48213</v>
      </c>
      <c r="V7" s="7">
        <f>EOMONTH(T7,12)</f>
        <v>48579</v>
      </c>
      <c r="X7" s="7">
        <f>EOMONTH(V7,12)</f>
        <v>48944</v>
      </c>
      <c r="Z7" s="7">
        <f>EOMONTH(X7,12)</f>
        <v>49309</v>
      </c>
      <c r="AB7" s="7">
        <f>'Financing Inputs'!$T$5</f>
        <v>45657</v>
      </c>
      <c r="AD7" s="7">
        <v>46022</v>
      </c>
      <c r="AF7" s="7">
        <f>EOMONTH(AD7,12)</f>
        <v>46387</v>
      </c>
      <c r="AH7" s="7">
        <f>EOMONTH(AF7,12)</f>
        <v>46752</v>
      </c>
      <c r="AJ7" s="7">
        <f>EOMONTH(AH7,12)</f>
        <v>47118</v>
      </c>
      <c r="AL7" s="7">
        <f>EOMONTH(AJ7,12)</f>
        <v>47483</v>
      </c>
      <c r="AN7" s="7">
        <f>EOMONTH(AL7,12)</f>
        <v>47848</v>
      </c>
      <c r="AP7" s="7">
        <f>EOMONTH(AN7,12)</f>
        <v>48213</v>
      </c>
      <c r="AR7" s="7">
        <f>EOMONTH(AP7,12)</f>
        <v>48579</v>
      </c>
      <c r="AT7" s="7">
        <f>EOMONTH(AR7,12)</f>
        <v>48944</v>
      </c>
      <c r="AV7" s="7">
        <f>EOMONTH(AT7,12)</f>
        <v>49309</v>
      </c>
      <c r="AX7" s="7">
        <f>'Financing Inputs'!$T$5</f>
        <v>45657</v>
      </c>
      <c r="AZ7" s="7">
        <v>46022</v>
      </c>
      <c r="BB7" s="7">
        <f>EOMONTH(AZ7,12)</f>
        <v>46387</v>
      </c>
      <c r="BD7" s="7">
        <f>EOMONTH(BB7,12)</f>
        <v>46752</v>
      </c>
      <c r="BF7" s="7">
        <f>EOMONTH(BD7,12)</f>
        <v>47118</v>
      </c>
      <c r="BH7" s="7">
        <f>EOMONTH(BF7,12)</f>
        <v>47483</v>
      </c>
      <c r="BJ7" s="7">
        <f>EOMONTH(BH7,12)</f>
        <v>47848</v>
      </c>
      <c r="BL7" s="7">
        <f>EOMONTH(BJ7,12)</f>
        <v>48213</v>
      </c>
      <c r="BN7" s="7">
        <f>EOMONTH(BL7,12)</f>
        <v>48579</v>
      </c>
      <c r="BP7" s="7">
        <f>EOMONTH(BN7,12)</f>
        <v>48944</v>
      </c>
      <c r="BR7" s="7">
        <f>EOMONTH(BP7,12)</f>
        <v>49309</v>
      </c>
      <c r="BU7" s="7">
        <f>'Financing Inputs'!T5</f>
        <v>45657</v>
      </c>
      <c r="BW7" s="7">
        <f>EOMONTH(BU7,12)</f>
        <v>46022</v>
      </c>
      <c r="BY7" s="7">
        <f>EOMONTH(BW7,12)</f>
        <v>46387</v>
      </c>
      <c r="CA7" s="7">
        <f>EOMONTH(BY7,12)</f>
        <v>46752</v>
      </c>
      <c r="CC7" s="7">
        <f>EOMONTH(CA7,12)</f>
        <v>47118</v>
      </c>
      <c r="CE7" s="7">
        <f>EOMONTH(CC7,12)</f>
        <v>47483</v>
      </c>
      <c r="CG7" s="7">
        <f>EOMONTH(CE7,12)</f>
        <v>47848</v>
      </c>
      <c r="CI7" s="7">
        <f>EOMONTH(CG7,12)</f>
        <v>48213</v>
      </c>
      <c r="CK7" s="7">
        <f>EOMONTH(CI7,12)</f>
        <v>48579</v>
      </c>
      <c r="CM7" s="7">
        <f>EOMONTH(CK7,12)</f>
        <v>48944</v>
      </c>
      <c r="CO7" s="7">
        <f>EOMONTH(CM7,12)</f>
        <v>49309</v>
      </c>
    </row>
    <row r="8" spans="2:99" ht="5.0999999999999996" customHeight="1"/>
    <row r="10" spans="2:99">
      <c r="B10" s="3" t="s">
        <v>184</v>
      </c>
    </row>
    <row r="11" spans="2:99">
      <c r="B11" s="8" t="s">
        <v>274</v>
      </c>
      <c r="D11" s="9" t="s">
        <v>1</v>
      </c>
      <c r="F11" s="10">
        <v>9.5000000000000015E-2</v>
      </c>
      <c r="H11" s="10">
        <v>0.08</v>
      </c>
      <c r="J11" s="10">
        <v>7.0000000000000007E-2</v>
      </c>
      <c r="L11" s="10">
        <v>0.06</v>
      </c>
      <c r="N11" s="10">
        <v>0.05</v>
      </c>
      <c r="P11" s="10">
        <v>0.04</v>
      </c>
      <c r="R11" s="10">
        <v>-3.0000000000000002E-2</v>
      </c>
      <c r="T11" s="11">
        <f>+R11</f>
        <v>-3.0000000000000002E-2</v>
      </c>
      <c r="V11" s="11">
        <f>+T11</f>
        <v>-3.0000000000000002E-2</v>
      </c>
      <c r="X11" s="11">
        <f>+V11</f>
        <v>-3.0000000000000002E-2</v>
      </c>
      <c r="Z11" s="11">
        <f>+X11</f>
        <v>-3.0000000000000002E-2</v>
      </c>
      <c r="AB11" s="10">
        <v>9.5000000000000015E-2</v>
      </c>
      <c r="AD11" s="10">
        <v>0.08</v>
      </c>
      <c r="AF11" s="10">
        <v>7.0000000000000007E-2</v>
      </c>
      <c r="AH11" s="10">
        <v>0.06</v>
      </c>
      <c r="AJ11" s="10">
        <v>0.05</v>
      </c>
      <c r="AL11" s="10">
        <v>0.04</v>
      </c>
      <c r="AN11" s="10">
        <v>-3.0000000000000002E-2</v>
      </c>
      <c r="AP11" s="11">
        <f>AN11</f>
        <v>-3.0000000000000002E-2</v>
      </c>
      <c r="AR11" s="11">
        <f>AP11</f>
        <v>-3.0000000000000002E-2</v>
      </c>
      <c r="AT11" s="11">
        <f>AR11</f>
        <v>-3.0000000000000002E-2</v>
      </c>
      <c r="AV11" s="11">
        <f>AT11</f>
        <v>-3.0000000000000002E-2</v>
      </c>
      <c r="AX11" s="10">
        <v>9.5000000000000015E-2</v>
      </c>
      <c r="AZ11" s="10">
        <v>0.08</v>
      </c>
      <c r="BB11" s="10">
        <v>7.0000000000000007E-2</v>
      </c>
      <c r="BD11" s="10">
        <v>0.06</v>
      </c>
      <c r="BF11" s="10">
        <v>0.05</v>
      </c>
      <c r="BH11" s="10">
        <v>0.04</v>
      </c>
      <c r="BJ11" s="10">
        <v>-3.0000000000000002E-2</v>
      </c>
      <c r="BL11" s="11">
        <f>+BJ11</f>
        <v>-3.0000000000000002E-2</v>
      </c>
      <c r="BN11" s="11">
        <f>+BL11</f>
        <v>-3.0000000000000002E-2</v>
      </c>
      <c r="BP11" s="11">
        <f>+BN11</f>
        <v>-3.0000000000000002E-2</v>
      </c>
      <c r="BR11" s="11">
        <f>+BP11</f>
        <v>-3.0000000000000002E-2</v>
      </c>
      <c r="BU11" s="11">
        <f>CHOOSE($D$4,F11,AB11,AX11)</f>
        <v>9.5000000000000015E-2</v>
      </c>
      <c r="BW11" s="11">
        <f>CHOOSE($D$4,H11,AD11,AZ11)</f>
        <v>0.08</v>
      </c>
      <c r="BY11" s="11">
        <f>CHOOSE($D$4,J11,AF11,BB11)</f>
        <v>7.0000000000000007E-2</v>
      </c>
      <c r="CA11" s="11">
        <f>CHOOSE($D$4,L11,AH11,BD11)</f>
        <v>0.06</v>
      </c>
      <c r="CC11" s="11">
        <f>CHOOSE($D$4,N11,AJ11,BF11)</f>
        <v>0.05</v>
      </c>
      <c r="CE11" s="11">
        <f>CHOOSE($D$4,P11,AL11,BH11)</f>
        <v>0.04</v>
      </c>
      <c r="CG11" s="11">
        <f>CHOOSE($D$4,R11,AN11,BJ11)</f>
        <v>-3.0000000000000002E-2</v>
      </c>
      <c r="CI11" s="11">
        <f>CHOOSE($D$4,T11,AP11,BL11)</f>
        <v>-3.0000000000000002E-2</v>
      </c>
      <c r="CK11" s="11">
        <f>CHOOSE($D$4,V11,AR11,BN11)</f>
        <v>-3.0000000000000002E-2</v>
      </c>
      <c r="CM11" s="11">
        <f>CHOOSE($D$4,X11,AT11,BP11)</f>
        <v>-3.0000000000000002E-2</v>
      </c>
      <c r="CO11" s="11">
        <f>CHOOSE($D$4,Z11,AV11,BR11)</f>
        <v>-3.0000000000000002E-2</v>
      </c>
      <c r="CP11" s="12"/>
      <c r="CQ11" s="12"/>
      <c r="CR11" s="12"/>
      <c r="CS11" s="12"/>
      <c r="CT11" s="12"/>
      <c r="CU11" s="12"/>
    </row>
    <row r="12" spans="2:99">
      <c r="B12" s="8" t="s">
        <v>275</v>
      </c>
      <c r="D12" s="9" t="s">
        <v>1</v>
      </c>
      <c r="F12" s="10">
        <v>0.1</v>
      </c>
      <c r="H12" s="10">
        <v>0.1</v>
      </c>
      <c r="J12" s="10">
        <v>0.1</v>
      </c>
      <c r="L12" s="10">
        <v>0.1</v>
      </c>
      <c r="N12" s="10">
        <v>0.08</v>
      </c>
      <c r="P12" s="10">
        <v>0.08</v>
      </c>
      <c r="R12" s="10">
        <v>-9.9999999999999985E-3</v>
      </c>
      <c r="T12" s="11">
        <f>+R12</f>
        <v>-9.9999999999999985E-3</v>
      </c>
      <c r="V12" s="11">
        <f>+T12</f>
        <v>-9.9999999999999985E-3</v>
      </c>
      <c r="X12" s="11">
        <f>+V12</f>
        <v>-9.9999999999999985E-3</v>
      </c>
      <c r="Z12" s="11">
        <f>+X12</f>
        <v>-9.9999999999999985E-3</v>
      </c>
      <c r="AB12" s="10">
        <v>0.1</v>
      </c>
      <c r="AD12" s="10">
        <v>0.1</v>
      </c>
      <c r="AF12" s="10">
        <v>0.1</v>
      </c>
      <c r="AH12" s="10">
        <v>0.1</v>
      </c>
      <c r="AJ12" s="10">
        <v>0.08</v>
      </c>
      <c r="AL12" s="10">
        <v>0.08</v>
      </c>
      <c r="AN12" s="10">
        <v>-9.9999999999999985E-3</v>
      </c>
      <c r="AP12" s="11">
        <f>AN12</f>
        <v>-9.9999999999999985E-3</v>
      </c>
      <c r="AR12" s="11">
        <f>AP12</f>
        <v>-9.9999999999999985E-3</v>
      </c>
      <c r="AT12" s="11">
        <f>AR12</f>
        <v>-9.9999999999999985E-3</v>
      </c>
      <c r="AV12" s="11">
        <f>AT12</f>
        <v>-9.9999999999999985E-3</v>
      </c>
      <c r="AX12" s="10">
        <v>0.1</v>
      </c>
      <c r="AZ12" s="10">
        <v>0.1</v>
      </c>
      <c r="BB12" s="10">
        <v>0.1</v>
      </c>
      <c r="BD12" s="10">
        <v>0.1</v>
      </c>
      <c r="BF12" s="10">
        <v>0.08</v>
      </c>
      <c r="BH12" s="10">
        <v>0.08</v>
      </c>
      <c r="BJ12" s="10">
        <v>-9.9999999999999985E-3</v>
      </c>
      <c r="BL12" s="11">
        <f>+BJ12</f>
        <v>-9.9999999999999985E-3</v>
      </c>
      <c r="BN12" s="11">
        <f>+BL12</f>
        <v>-9.9999999999999985E-3</v>
      </c>
      <c r="BP12" s="11">
        <f>+BN12</f>
        <v>-9.9999999999999985E-3</v>
      </c>
      <c r="BR12" s="11">
        <f>+BP12</f>
        <v>-9.9999999999999985E-3</v>
      </c>
      <c r="BU12" s="11">
        <f>CHOOSE($D$4,F12,AB12,AX12)</f>
        <v>0.1</v>
      </c>
      <c r="BW12" s="11">
        <f>CHOOSE($D$4,H12,AD12,AZ12)</f>
        <v>0.1</v>
      </c>
      <c r="BY12" s="11">
        <f>CHOOSE($D$4,J12,AF12,BB12)</f>
        <v>0.1</v>
      </c>
      <c r="CA12" s="11">
        <f>CHOOSE($D$4,L12,AH12,BD12)</f>
        <v>0.1</v>
      </c>
      <c r="CC12" s="11">
        <f>CHOOSE($D$4,N12,AJ12,BF12)</f>
        <v>0.08</v>
      </c>
      <c r="CE12" s="11">
        <f>CHOOSE($D$4,P12,AL12,BH12)</f>
        <v>0.08</v>
      </c>
      <c r="CG12" s="11">
        <f>CHOOSE($D$4,R12,AN12,BJ12)</f>
        <v>-9.9999999999999985E-3</v>
      </c>
      <c r="CI12" s="11">
        <f>CHOOSE($D$4,T12,AP12,BL12)</f>
        <v>-9.9999999999999985E-3</v>
      </c>
      <c r="CK12" s="11">
        <f>CHOOSE($D$4,V12,AR12,BN12)</f>
        <v>-9.9999999999999985E-3</v>
      </c>
      <c r="CM12" s="11">
        <f>CHOOSE($D$4,X12,AT12,BP12)</f>
        <v>-9.9999999999999985E-3</v>
      </c>
      <c r="CO12" s="11">
        <f>CHOOSE($D$4,Z12,AV12,BR12)</f>
        <v>-9.9999999999999985E-3</v>
      </c>
      <c r="CP12" s="12"/>
      <c r="CQ12" s="12"/>
    </row>
    <row r="13" spans="2:99">
      <c r="B13" s="8" t="s">
        <v>276</v>
      </c>
      <c r="D13" s="9" t="s">
        <v>1</v>
      </c>
      <c r="F13" s="10">
        <v>-0.27999999999999997</v>
      </c>
      <c r="H13" s="10">
        <v>-0.23</v>
      </c>
      <c r="J13" s="10">
        <v>0.02</v>
      </c>
      <c r="L13" s="10">
        <v>0.02</v>
      </c>
      <c r="M13" s="10"/>
      <c r="N13" s="10">
        <v>0.02</v>
      </c>
      <c r="O13" s="10"/>
      <c r="P13" s="10">
        <v>0.02</v>
      </c>
      <c r="Q13" s="10"/>
      <c r="R13" s="10">
        <v>0.02</v>
      </c>
      <c r="T13" s="11">
        <f>+R13</f>
        <v>0.02</v>
      </c>
      <c r="V13" s="11">
        <f>+T13</f>
        <v>0.02</v>
      </c>
      <c r="X13" s="11">
        <f>+V13</f>
        <v>0.02</v>
      </c>
      <c r="Z13" s="11">
        <f>+X13</f>
        <v>0.02</v>
      </c>
      <c r="AB13" s="10">
        <v>-0.27999999999999997</v>
      </c>
      <c r="AD13" s="10">
        <v>-0.23</v>
      </c>
      <c r="AF13" s="10">
        <v>0.02</v>
      </c>
      <c r="AH13" s="10">
        <v>0.02</v>
      </c>
      <c r="AI13" s="10"/>
      <c r="AJ13" s="10">
        <v>0.02</v>
      </c>
      <c r="AK13" s="10"/>
      <c r="AL13" s="10">
        <v>0.02</v>
      </c>
      <c r="AM13" s="10"/>
      <c r="AN13" s="10">
        <v>0.02</v>
      </c>
      <c r="AP13" s="11">
        <f>AN13</f>
        <v>0.02</v>
      </c>
      <c r="AR13" s="11">
        <f>AP13</f>
        <v>0.02</v>
      </c>
      <c r="AT13" s="11">
        <f>AR13</f>
        <v>0.02</v>
      </c>
      <c r="AV13" s="11">
        <f>AT13</f>
        <v>0.02</v>
      </c>
      <c r="AX13" s="10">
        <v>-0.27999999999999997</v>
      </c>
      <c r="AZ13" s="10">
        <v>-0.23</v>
      </c>
      <c r="BB13" s="10">
        <v>0.02</v>
      </c>
      <c r="BD13" s="10">
        <v>0.02</v>
      </c>
      <c r="BE13" s="10"/>
      <c r="BF13" s="10">
        <v>0.02</v>
      </c>
      <c r="BG13" s="10"/>
      <c r="BH13" s="10">
        <v>0.02</v>
      </c>
      <c r="BI13" s="10"/>
      <c r="BJ13" s="10">
        <v>0.02</v>
      </c>
      <c r="BL13" s="11">
        <f>+BJ13</f>
        <v>0.02</v>
      </c>
      <c r="BN13" s="11">
        <f>+BL13</f>
        <v>0.02</v>
      </c>
      <c r="BP13" s="11">
        <f>+BN13</f>
        <v>0.02</v>
      </c>
      <c r="BR13" s="11">
        <f>+BP13</f>
        <v>0.02</v>
      </c>
      <c r="BU13" s="11">
        <f>CHOOSE($D$4,F13,AB13,AX13)</f>
        <v>-0.27999999999999997</v>
      </c>
      <c r="BW13" s="11">
        <f>CHOOSE($D$4,H13,AD13,AZ13)</f>
        <v>-0.23</v>
      </c>
      <c r="BY13" s="11">
        <f>CHOOSE($D$4,J13,AF13,BB13)</f>
        <v>0.02</v>
      </c>
      <c r="CA13" s="11">
        <f>CHOOSE($D$4,L13,AH13,BD13)</f>
        <v>0.02</v>
      </c>
      <c r="CC13" s="11">
        <f>CHOOSE($D$4,N13,AJ13,BF13)</f>
        <v>0.02</v>
      </c>
      <c r="CE13" s="11">
        <f>CHOOSE($D$4,P13,AL13,BH13)</f>
        <v>0.02</v>
      </c>
      <c r="CG13" s="11">
        <f>CHOOSE($D$4,R13,AN13,BJ13)</f>
        <v>0.02</v>
      </c>
      <c r="CI13" s="11">
        <f>CHOOSE($D$4,T13,AP13,BL13)</f>
        <v>0.02</v>
      </c>
      <c r="CK13" s="11">
        <f>CHOOSE($D$4,V13,AR13,BN13)</f>
        <v>0.02</v>
      </c>
      <c r="CM13" s="11">
        <f>CHOOSE($D$4,X13,AT13,BP13)</f>
        <v>0.02</v>
      </c>
      <c r="CO13" s="11">
        <f>CHOOSE($D$4,Z13,AV13,BR13)</f>
        <v>0.02</v>
      </c>
      <c r="CP13" s="12"/>
      <c r="CQ13" s="12"/>
      <c r="CR13" s="12"/>
      <c r="CS13" s="12"/>
      <c r="CT13" s="12"/>
      <c r="CU13" s="12"/>
    </row>
    <row r="14" spans="2:99">
      <c r="B14" s="8" t="s">
        <v>277</v>
      </c>
      <c r="D14" s="9" t="s">
        <v>1</v>
      </c>
      <c r="F14" s="10">
        <v>0.02</v>
      </c>
      <c r="G14" s="10"/>
      <c r="H14" s="10">
        <v>0</v>
      </c>
      <c r="I14" s="10"/>
      <c r="J14" s="10">
        <v>0</v>
      </c>
      <c r="K14" s="10"/>
      <c r="L14" s="10">
        <v>0</v>
      </c>
      <c r="M14" s="10"/>
      <c r="N14" s="10">
        <v>0</v>
      </c>
      <c r="O14" s="10"/>
      <c r="P14" s="10">
        <v>0</v>
      </c>
      <c r="Q14" s="10"/>
      <c r="R14" s="10">
        <v>0</v>
      </c>
      <c r="T14" s="11">
        <f>+R14</f>
        <v>0</v>
      </c>
      <c r="V14" s="11">
        <f>+T14</f>
        <v>0</v>
      </c>
      <c r="X14" s="11">
        <f>+V14</f>
        <v>0</v>
      </c>
      <c r="Z14" s="11">
        <f>+X14</f>
        <v>0</v>
      </c>
      <c r="AB14" s="10">
        <v>0.02</v>
      </c>
      <c r="AC14" s="10"/>
      <c r="AD14" s="10">
        <v>0</v>
      </c>
      <c r="AE14" s="10"/>
      <c r="AF14" s="10">
        <v>0</v>
      </c>
      <c r="AG14" s="10"/>
      <c r="AH14" s="10">
        <v>0</v>
      </c>
      <c r="AI14" s="10"/>
      <c r="AJ14" s="10">
        <v>0</v>
      </c>
      <c r="AK14" s="10"/>
      <c r="AL14" s="10">
        <v>0</v>
      </c>
      <c r="AM14" s="10"/>
      <c r="AN14" s="10">
        <v>0</v>
      </c>
      <c r="AP14" s="11">
        <f>AN14</f>
        <v>0</v>
      </c>
      <c r="AR14" s="11">
        <f>AP14</f>
        <v>0</v>
      </c>
      <c r="AT14" s="11">
        <f>AR14</f>
        <v>0</v>
      </c>
      <c r="AV14" s="11">
        <f>AT14</f>
        <v>0</v>
      </c>
      <c r="AX14" s="10">
        <v>0.02</v>
      </c>
      <c r="AY14" s="10"/>
      <c r="AZ14" s="10">
        <v>0</v>
      </c>
      <c r="BA14" s="10"/>
      <c r="BB14" s="10">
        <v>0</v>
      </c>
      <c r="BC14" s="10"/>
      <c r="BD14" s="10">
        <v>0</v>
      </c>
      <c r="BE14" s="10"/>
      <c r="BF14" s="10">
        <v>0</v>
      </c>
      <c r="BG14" s="10"/>
      <c r="BH14" s="10">
        <v>0</v>
      </c>
      <c r="BI14" s="10"/>
      <c r="BJ14" s="10">
        <v>0</v>
      </c>
      <c r="BL14" s="11">
        <f>+BJ14</f>
        <v>0</v>
      </c>
      <c r="BN14" s="11">
        <f>+BL14</f>
        <v>0</v>
      </c>
      <c r="BP14" s="11">
        <f>+BN14</f>
        <v>0</v>
      </c>
      <c r="BR14" s="11">
        <f>+BP14</f>
        <v>0</v>
      </c>
      <c r="BU14" s="11">
        <f>CHOOSE($D$4,F14,AB14,AX14)</f>
        <v>0.02</v>
      </c>
      <c r="BW14" s="11">
        <f>CHOOSE($D$4,H14,AD14,AZ14)</f>
        <v>0</v>
      </c>
      <c r="BY14" s="11">
        <f>CHOOSE($D$4,J14,AF14,BB14)</f>
        <v>0</v>
      </c>
      <c r="CA14" s="11">
        <f>CHOOSE($D$4,L14,AH14,BD14)</f>
        <v>0</v>
      </c>
      <c r="CC14" s="11">
        <f>CHOOSE($D$4,N14,AJ14,BF14)</f>
        <v>0</v>
      </c>
      <c r="CE14" s="11">
        <f>CHOOSE($D$4,P14,AL14,BH14)</f>
        <v>0</v>
      </c>
      <c r="CG14" s="11">
        <f>CHOOSE($D$4,R14,AN14,BJ14)</f>
        <v>0</v>
      </c>
      <c r="CI14" s="11">
        <f>CHOOSE($D$4,T14,AP14,BL14)</f>
        <v>0</v>
      </c>
      <c r="CK14" s="11">
        <f>CHOOSE($D$4,V14,AR14,BN14)</f>
        <v>0</v>
      </c>
      <c r="CM14" s="11">
        <f>CHOOSE($D$4,X14,AT14,BP14)</f>
        <v>0</v>
      </c>
      <c r="CO14" s="11">
        <f>CHOOSE($D$4,Z14,AV14,BR14)</f>
        <v>0</v>
      </c>
      <c r="CP14" s="12"/>
      <c r="CQ14" s="12"/>
    </row>
    <row r="15" spans="2:99">
      <c r="B15" s="8" t="s">
        <v>278</v>
      </c>
      <c r="D15" s="9" t="s">
        <v>1</v>
      </c>
      <c r="F15" s="10">
        <v>0.04</v>
      </c>
      <c r="G15" s="10"/>
      <c r="H15" s="10">
        <v>0.04</v>
      </c>
      <c r="I15" s="10"/>
      <c r="J15" s="10">
        <v>0.04</v>
      </c>
      <c r="K15" s="10"/>
      <c r="L15" s="10">
        <v>0.04</v>
      </c>
      <c r="M15" s="10"/>
      <c r="N15" s="10">
        <v>0.04</v>
      </c>
      <c r="O15" s="10"/>
      <c r="P15" s="10">
        <v>0.04</v>
      </c>
      <c r="Q15" s="10"/>
      <c r="R15" s="10">
        <v>0.04</v>
      </c>
      <c r="T15" s="11">
        <f>+R15</f>
        <v>0.04</v>
      </c>
      <c r="V15" s="11">
        <f>+T15</f>
        <v>0.04</v>
      </c>
      <c r="X15" s="11">
        <f>+V15</f>
        <v>0.04</v>
      </c>
      <c r="Z15" s="11">
        <f>+X15</f>
        <v>0.04</v>
      </c>
      <c r="AB15" s="10">
        <v>0.04</v>
      </c>
      <c r="AC15" s="10"/>
      <c r="AD15" s="10">
        <v>0.04</v>
      </c>
      <c r="AE15" s="10"/>
      <c r="AF15" s="10">
        <v>0.04</v>
      </c>
      <c r="AG15" s="10"/>
      <c r="AH15" s="10">
        <v>0.04</v>
      </c>
      <c r="AI15" s="10"/>
      <c r="AJ15" s="10">
        <v>0.04</v>
      </c>
      <c r="AK15" s="10"/>
      <c r="AL15" s="10">
        <v>0.04</v>
      </c>
      <c r="AM15" s="10"/>
      <c r="AN15" s="10">
        <v>0.04</v>
      </c>
      <c r="AP15" s="11">
        <f>AN15</f>
        <v>0.04</v>
      </c>
      <c r="AR15" s="11">
        <f>AP15</f>
        <v>0.04</v>
      </c>
      <c r="AT15" s="11">
        <f>AR15</f>
        <v>0.04</v>
      </c>
      <c r="AV15" s="11">
        <f>AT15</f>
        <v>0.04</v>
      </c>
      <c r="AX15" s="10">
        <v>0.04</v>
      </c>
      <c r="AY15" s="10"/>
      <c r="AZ15" s="10">
        <v>0.04</v>
      </c>
      <c r="BA15" s="10"/>
      <c r="BB15" s="10">
        <v>0.04</v>
      </c>
      <c r="BC15" s="10"/>
      <c r="BD15" s="10">
        <v>0.04</v>
      </c>
      <c r="BE15" s="10"/>
      <c r="BF15" s="10">
        <v>0.04</v>
      </c>
      <c r="BG15" s="10"/>
      <c r="BH15" s="10">
        <v>0.04</v>
      </c>
      <c r="BI15" s="10"/>
      <c r="BJ15" s="10">
        <v>0.04</v>
      </c>
      <c r="BL15" s="11">
        <f>+BJ15</f>
        <v>0.04</v>
      </c>
      <c r="BN15" s="11">
        <f>+BL15</f>
        <v>0.04</v>
      </c>
      <c r="BP15" s="11">
        <f>+BN15</f>
        <v>0.04</v>
      </c>
      <c r="BR15" s="11">
        <f>+BP15</f>
        <v>0.04</v>
      </c>
      <c r="BU15" s="11">
        <f>CHOOSE($D$4,F15,AB15,AX15)</f>
        <v>0.04</v>
      </c>
      <c r="BW15" s="11">
        <f>CHOOSE($D$4,H15,AD15,AZ15)</f>
        <v>0.04</v>
      </c>
      <c r="BY15" s="11">
        <f>CHOOSE($D$4,J15,AF15,BB15)</f>
        <v>0.04</v>
      </c>
      <c r="CA15" s="11">
        <f>CHOOSE($D$4,L15,AH15,BD15)</f>
        <v>0.04</v>
      </c>
      <c r="CC15" s="11">
        <f>CHOOSE($D$4,N15,AJ15,BF15)</f>
        <v>0.04</v>
      </c>
      <c r="CE15" s="11">
        <f>CHOOSE($D$4,P15,AL15,BH15)</f>
        <v>0.04</v>
      </c>
      <c r="CG15" s="11">
        <f>CHOOSE($D$4,R15,AN15,BJ15)</f>
        <v>0.04</v>
      </c>
      <c r="CI15" s="11">
        <f>CHOOSE($D$4,T15,AP15,BL15)</f>
        <v>0.04</v>
      </c>
      <c r="CK15" s="11">
        <f>CHOOSE($D$4,V15,AR15,BN15)</f>
        <v>0.04</v>
      </c>
      <c r="CM15" s="11">
        <f>CHOOSE($D$4,X15,AT15,BP15)</f>
        <v>0.04</v>
      </c>
      <c r="CO15" s="11">
        <f>CHOOSE($D$4,Z15,AV15,BR15)</f>
        <v>0.04</v>
      </c>
      <c r="CP15" s="12"/>
      <c r="CQ15" s="12"/>
    </row>
    <row r="17" spans="2:93">
      <c r="B17" s="14" t="s">
        <v>195</v>
      </c>
      <c r="D17" s="9" t="s">
        <v>17</v>
      </c>
      <c r="F17" s="10">
        <v>0.30000000000000004</v>
      </c>
      <c r="H17" s="11">
        <f>+F17</f>
        <v>0.30000000000000004</v>
      </c>
      <c r="J17" s="11">
        <f>+H17</f>
        <v>0.30000000000000004</v>
      </c>
      <c r="L17" s="11">
        <f>+J17</f>
        <v>0.30000000000000004</v>
      </c>
      <c r="N17" s="11">
        <f>+L17</f>
        <v>0.30000000000000004</v>
      </c>
      <c r="P17" s="11">
        <f>+N17</f>
        <v>0.30000000000000004</v>
      </c>
      <c r="R17" s="11">
        <f>+P17</f>
        <v>0.30000000000000004</v>
      </c>
      <c r="T17" s="11">
        <f>+R17</f>
        <v>0.30000000000000004</v>
      </c>
      <c r="V17" s="11">
        <f>+T17</f>
        <v>0.30000000000000004</v>
      </c>
      <c r="X17" s="11">
        <f>+V17</f>
        <v>0.30000000000000004</v>
      </c>
      <c r="Z17" s="11">
        <f>+X17</f>
        <v>0.30000000000000004</v>
      </c>
      <c r="AB17" s="10">
        <v>0.30000000000000004</v>
      </c>
      <c r="AD17" s="11">
        <f>+AB17</f>
        <v>0.30000000000000004</v>
      </c>
      <c r="AF17" s="11">
        <f>+AD17</f>
        <v>0.30000000000000004</v>
      </c>
      <c r="AH17" s="11">
        <f>+AF17</f>
        <v>0.30000000000000004</v>
      </c>
      <c r="AJ17" s="11">
        <f>+AH17</f>
        <v>0.30000000000000004</v>
      </c>
      <c r="AL17" s="11">
        <f>+AJ17</f>
        <v>0.30000000000000004</v>
      </c>
      <c r="AN17" s="11">
        <f>+AL17</f>
        <v>0.30000000000000004</v>
      </c>
      <c r="AP17" s="11">
        <f>+AN17</f>
        <v>0.30000000000000004</v>
      </c>
      <c r="AR17" s="11">
        <f>+AP17</f>
        <v>0.30000000000000004</v>
      </c>
      <c r="AT17" s="11">
        <f>+AR17</f>
        <v>0.30000000000000004</v>
      </c>
      <c r="AV17" s="11">
        <f>+AT17</f>
        <v>0.30000000000000004</v>
      </c>
      <c r="AX17" s="10">
        <v>0.30000000000000004</v>
      </c>
      <c r="AZ17" s="11">
        <f>+AX17</f>
        <v>0.30000000000000004</v>
      </c>
      <c r="BB17" s="11">
        <f>+AZ17</f>
        <v>0.30000000000000004</v>
      </c>
      <c r="BD17" s="11">
        <f>+BB17</f>
        <v>0.30000000000000004</v>
      </c>
      <c r="BF17" s="11">
        <f>+BD17</f>
        <v>0.30000000000000004</v>
      </c>
      <c r="BH17" s="11">
        <f>+BF17</f>
        <v>0.30000000000000004</v>
      </c>
      <c r="BJ17" s="11">
        <f>+BH17</f>
        <v>0.30000000000000004</v>
      </c>
      <c r="BL17" s="11">
        <f>+BJ17</f>
        <v>0.30000000000000004</v>
      </c>
      <c r="BN17" s="11">
        <f>+BL17</f>
        <v>0.30000000000000004</v>
      </c>
      <c r="BP17" s="11">
        <f>+BN17</f>
        <v>0.30000000000000004</v>
      </c>
      <c r="BR17" s="11">
        <f>+BP17</f>
        <v>0.30000000000000004</v>
      </c>
      <c r="BU17" s="11">
        <f>CHOOSE($D$4,F17,AB17,AX17)</f>
        <v>0.30000000000000004</v>
      </c>
      <c r="BW17" s="11">
        <f>CHOOSE($D$4,H17,AD17,AZ17)</f>
        <v>0.30000000000000004</v>
      </c>
      <c r="BY17" s="11">
        <f>CHOOSE($D$4,J17,AF17,BB17)</f>
        <v>0.30000000000000004</v>
      </c>
      <c r="CA17" s="11">
        <f>CHOOSE($D$4,L17,AH17,BD17)</f>
        <v>0.30000000000000004</v>
      </c>
      <c r="CC17" s="11">
        <f>CHOOSE($D$4,N17,AJ17,BF17)</f>
        <v>0.30000000000000004</v>
      </c>
      <c r="CE17" s="11">
        <f>CHOOSE($D$4,P17,AL17,BH17)</f>
        <v>0.30000000000000004</v>
      </c>
      <c r="CG17" s="11">
        <f>CHOOSE($D$4,R17,AN17,BJ17)</f>
        <v>0.30000000000000004</v>
      </c>
      <c r="CI17" s="11">
        <f>CHOOSE($D$4,T17,AP17,BL17)</f>
        <v>0.30000000000000004</v>
      </c>
      <c r="CK17" s="11">
        <f>CHOOSE($D$4,V17,AR17,BN17)</f>
        <v>0.30000000000000004</v>
      </c>
      <c r="CM17" s="11">
        <f>CHOOSE($D$4,X17,AT17,BP17)</f>
        <v>0.30000000000000004</v>
      </c>
      <c r="CO17" s="11">
        <f>CHOOSE($D$4,Z17,AV17,BR17)</f>
        <v>0.30000000000000004</v>
      </c>
    </row>
    <row r="19" spans="2:93">
      <c r="B19" s="3" t="s">
        <v>185</v>
      </c>
      <c r="BG19" s="1" t="s">
        <v>132</v>
      </c>
    </row>
    <row r="20" spans="2:93">
      <c r="B20" s="8" t="s">
        <v>3</v>
      </c>
      <c r="D20" s="9" t="s">
        <v>220</v>
      </c>
      <c r="F20" s="10">
        <v>0.108</v>
      </c>
      <c r="H20" s="10">
        <v>0.08</v>
      </c>
      <c r="J20" s="11">
        <f>+H20</f>
        <v>0.08</v>
      </c>
      <c r="L20" s="11">
        <f>+J20</f>
        <v>0.08</v>
      </c>
      <c r="N20" s="11">
        <f>+L20</f>
        <v>0.08</v>
      </c>
      <c r="P20" s="11">
        <f>+N20</f>
        <v>0.08</v>
      </c>
      <c r="R20" s="11">
        <f>+P20</f>
        <v>0.08</v>
      </c>
      <c r="T20" s="11">
        <f>+R20</f>
        <v>0.08</v>
      </c>
      <c r="V20" s="11">
        <f>+T20</f>
        <v>0.08</v>
      </c>
      <c r="X20" s="11">
        <f>+V20</f>
        <v>0.08</v>
      </c>
      <c r="Z20" s="11">
        <f>+X20</f>
        <v>0.08</v>
      </c>
      <c r="AB20" s="10">
        <v>6.8000000000000005E-2</v>
      </c>
      <c r="AD20" s="11">
        <f>+AB20</f>
        <v>6.8000000000000005E-2</v>
      </c>
      <c r="AF20" s="11">
        <f>+AD20</f>
        <v>6.8000000000000005E-2</v>
      </c>
      <c r="AH20" s="11">
        <f>+AF20</f>
        <v>6.8000000000000005E-2</v>
      </c>
      <c r="AJ20" s="11">
        <f>+AH20</f>
        <v>6.8000000000000005E-2</v>
      </c>
      <c r="AL20" s="11">
        <f>+AJ20</f>
        <v>6.8000000000000005E-2</v>
      </c>
      <c r="AN20" s="11">
        <f>+AL20</f>
        <v>6.8000000000000005E-2</v>
      </c>
      <c r="AP20" s="11">
        <f>+AN20</f>
        <v>6.8000000000000005E-2</v>
      </c>
      <c r="AR20" s="11">
        <f>+AP20</f>
        <v>6.8000000000000005E-2</v>
      </c>
      <c r="AT20" s="11">
        <f>+AR20</f>
        <v>6.8000000000000005E-2</v>
      </c>
      <c r="AV20" s="11">
        <f>+AT20</f>
        <v>6.8000000000000005E-2</v>
      </c>
      <c r="AX20" s="10">
        <v>4.8000000000000001E-2</v>
      </c>
      <c r="AZ20" s="11">
        <f>+AX20</f>
        <v>4.8000000000000001E-2</v>
      </c>
      <c r="BB20" s="11">
        <f>+AZ20</f>
        <v>4.8000000000000001E-2</v>
      </c>
      <c r="BD20" s="11">
        <f>+BB20</f>
        <v>4.8000000000000001E-2</v>
      </c>
      <c r="BF20" s="11">
        <f>+BD20</f>
        <v>4.8000000000000001E-2</v>
      </c>
      <c r="BH20" s="11">
        <f>+BF20</f>
        <v>4.8000000000000001E-2</v>
      </c>
      <c r="BJ20" s="11">
        <f>+BH20</f>
        <v>4.8000000000000001E-2</v>
      </c>
      <c r="BL20" s="11">
        <f>+BJ20</f>
        <v>4.8000000000000001E-2</v>
      </c>
      <c r="BN20" s="11">
        <f>+BL20</f>
        <v>4.8000000000000001E-2</v>
      </c>
      <c r="BP20" s="11">
        <f>+BN20</f>
        <v>4.8000000000000001E-2</v>
      </c>
      <c r="BR20" s="11">
        <f>+BP20</f>
        <v>4.8000000000000001E-2</v>
      </c>
      <c r="BU20" s="11">
        <f>CHOOSE($D$4,F20,AB20,AX20)</f>
        <v>4.8000000000000001E-2</v>
      </c>
      <c r="BW20" s="11">
        <f>CHOOSE($D$4,H20,AD20,AZ20)</f>
        <v>4.8000000000000001E-2</v>
      </c>
      <c r="BY20" s="11">
        <f>CHOOSE($D$4,J20,AF20,BB20)</f>
        <v>4.8000000000000001E-2</v>
      </c>
      <c r="CA20" s="11">
        <f>CHOOSE($D$4,L20,AH20,BD20)</f>
        <v>4.8000000000000001E-2</v>
      </c>
      <c r="CC20" s="11">
        <f>CHOOSE($D$4,N20,AJ20,BF20)</f>
        <v>4.8000000000000001E-2</v>
      </c>
      <c r="CE20" s="11">
        <f>CHOOSE($D$4,P20,AL20,BH20)</f>
        <v>4.8000000000000001E-2</v>
      </c>
      <c r="CG20" s="11">
        <f>CHOOSE($D$4,R20,AN20,BJ20)</f>
        <v>4.8000000000000001E-2</v>
      </c>
      <c r="CI20" s="11">
        <f>CHOOSE($D$4,T20,AP20,BL20)</f>
        <v>4.8000000000000001E-2</v>
      </c>
      <c r="CK20" s="11">
        <f>CHOOSE($D$4,V20,AR20,BN20)</f>
        <v>4.8000000000000001E-2</v>
      </c>
      <c r="CM20" s="11">
        <f>CHOOSE($D$4,X20,AT20,BP20)</f>
        <v>4.8000000000000001E-2</v>
      </c>
      <c r="CO20" s="11">
        <f>CHOOSE($D$4,Z20,AV20,BR20)</f>
        <v>4.8000000000000001E-2</v>
      </c>
    </row>
    <row r="22" spans="2:93">
      <c r="B22" s="14" t="s">
        <v>201</v>
      </c>
      <c r="D22" s="9" t="s">
        <v>221</v>
      </c>
      <c r="F22" s="228">
        <v>30.02</v>
      </c>
      <c r="G22" s="13"/>
      <c r="H22" s="16">
        <f>+F22</f>
        <v>30.02</v>
      </c>
      <c r="I22" s="13"/>
      <c r="J22" s="16">
        <f>+H22</f>
        <v>30.02</v>
      </c>
      <c r="K22" s="13"/>
      <c r="L22" s="16">
        <f>+J22</f>
        <v>30.02</v>
      </c>
      <c r="M22" s="13"/>
      <c r="N22" s="16">
        <f>+L22</f>
        <v>30.02</v>
      </c>
      <c r="O22" s="13"/>
      <c r="P22" s="16">
        <f>+N22</f>
        <v>30.02</v>
      </c>
      <c r="Q22" s="13"/>
      <c r="R22" s="16">
        <f>+P22</f>
        <v>30.02</v>
      </c>
      <c r="S22" s="13"/>
      <c r="T22" s="16">
        <f>+R22</f>
        <v>30.02</v>
      </c>
      <c r="U22" s="13"/>
      <c r="V22" s="16">
        <f>+T22</f>
        <v>30.02</v>
      </c>
      <c r="W22" s="13"/>
      <c r="X22" s="16">
        <f>+V22</f>
        <v>30.02</v>
      </c>
      <c r="Y22" s="13"/>
      <c r="Z22" s="16">
        <f>+X22</f>
        <v>30.02</v>
      </c>
      <c r="AB22" s="17">
        <v>35</v>
      </c>
      <c r="AC22" s="13"/>
      <c r="AD22" s="18">
        <f>+AB22</f>
        <v>35</v>
      </c>
      <c r="AE22" s="13"/>
      <c r="AF22" s="18">
        <f>+AD22</f>
        <v>35</v>
      </c>
      <c r="AG22" s="13"/>
      <c r="AH22" s="18">
        <f>+AF22</f>
        <v>35</v>
      </c>
      <c r="AI22" s="13"/>
      <c r="AJ22" s="18">
        <f>+AH22</f>
        <v>35</v>
      </c>
      <c r="AK22" s="13"/>
      <c r="AL22" s="18">
        <f>+AJ22</f>
        <v>35</v>
      </c>
      <c r="AM22" s="13"/>
      <c r="AN22" s="18">
        <f>+AL22</f>
        <v>35</v>
      </c>
      <c r="AO22" s="13"/>
      <c r="AP22" s="18">
        <f>+AN22</f>
        <v>35</v>
      </c>
      <c r="AQ22" s="13"/>
      <c r="AR22" s="18">
        <f>+AP22</f>
        <v>35</v>
      </c>
      <c r="AS22" s="13"/>
      <c r="AT22" s="18">
        <f>+AR22</f>
        <v>35</v>
      </c>
      <c r="AU22" s="13"/>
      <c r="AV22" s="18">
        <f>+AT22</f>
        <v>35</v>
      </c>
      <c r="AX22" s="15">
        <v>40</v>
      </c>
      <c r="AY22" s="13"/>
      <c r="AZ22" s="16">
        <f>+AX22</f>
        <v>40</v>
      </c>
      <c r="BA22" s="13"/>
      <c r="BB22" s="16">
        <f>+AZ22</f>
        <v>40</v>
      </c>
      <c r="BC22" s="13"/>
      <c r="BD22" s="16">
        <f>+BB22</f>
        <v>40</v>
      </c>
      <c r="BE22" s="13"/>
      <c r="BF22" s="16">
        <f>+BD22</f>
        <v>40</v>
      </c>
      <c r="BG22" s="13"/>
      <c r="BH22" s="16">
        <f>+BF22</f>
        <v>40</v>
      </c>
      <c r="BI22" s="13"/>
      <c r="BJ22" s="16">
        <f>+BH22</f>
        <v>40</v>
      </c>
      <c r="BK22" s="13"/>
      <c r="BL22" s="16">
        <f>+BJ22</f>
        <v>40</v>
      </c>
      <c r="BM22" s="13"/>
      <c r="BN22" s="16">
        <f>+BL22</f>
        <v>40</v>
      </c>
      <c r="BO22" s="13"/>
      <c r="BP22" s="16">
        <f>+BN22</f>
        <v>40</v>
      </c>
      <c r="BQ22" s="13"/>
      <c r="BR22" s="16">
        <f>+BP22</f>
        <v>40</v>
      </c>
      <c r="BU22" s="16">
        <f>CHOOSE($D$4,F22,AB22,AX22)</f>
        <v>40</v>
      </c>
      <c r="BV22" s="13"/>
      <c r="BW22" s="16">
        <f>CHOOSE($D$4,H22,AD22,AZ22)</f>
        <v>40</v>
      </c>
      <c r="BX22" s="13"/>
      <c r="BY22" s="16">
        <f>CHOOSE($D$4,J22,AF22,BB22)</f>
        <v>40</v>
      </c>
      <c r="BZ22" s="13"/>
      <c r="CA22" s="16">
        <f>CHOOSE($D$4,L22,AH22,BD22)</f>
        <v>40</v>
      </c>
      <c r="CB22" s="13"/>
      <c r="CC22" s="16">
        <f>CHOOSE($D$4,N22,AJ22,BF22)</f>
        <v>40</v>
      </c>
      <c r="CD22" s="13"/>
      <c r="CE22" s="16">
        <f>CHOOSE($D$4,P22,AL22,BH22)</f>
        <v>40</v>
      </c>
      <c r="CF22" s="13"/>
      <c r="CG22" s="16">
        <f>CHOOSE($D$4,R22,AN22,BJ22)</f>
        <v>40</v>
      </c>
      <c r="CH22" s="13"/>
      <c r="CI22" s="16">
        <f>CHOOSE($D$4,T22,AP22,BL22)</f>
        <v>40</v>
      </c>
      <c r="CJ22" s="13"/>
      <c r="CK22" s="16">
        <f>CHOOSE($D$4,V22,AR22,BN22)</f>
        <v>40</v>
      </c>
      <c r="CL22" s="13"/>
      <c r="CM22" s="16">
        <f>CHOOSE($D$4,X22,AT22,BP22)</f>
        <v>40</v>
      </c>
      <c r="CN22" s="13"/>
      <c r="CO22" s="16">
        <f>CHOOSE($D$4,Z22,AV22,BR22)</f>
        <v>40</v>
      </c>
    </row>
    <row r="23" spans="2:93">
      <c r="B23" s="14" t="s">
        <v>279</v>
      </c>
      <c r="D23" s="9" t="s">
        <v>221</v>
      </c>
      <c r="F23" s="228">
        <v>25.02</v>
      </c>
      <c r="G23" s="13"/>
      <c r="H23" s="16">
        <f>+F23</f>
        <v>25.02</v>
      </c>
      <c r="I23" s="13"/>
      <c r="J23" s="16">
        <f>+H23</f>
        <v>25.02</v>
      </c>
      <c r="K23" s="13"/>
      <c r="L23" s="16">
        <f>+J23</f>
        <v>25.02</v>
      </c>
      <c r="M23" s="13"/>
      <c r="N23" s="16">
        <f>+L23</f>
        <v>25.02</v>
      </c>
      <c r="O23" s="13"/>
      <c r="P23" s="16">
        <f>+N23</f>
        <v>25.02</v>
      </c>
      <c r="Q23" s="13"/>
      <c r="R23" s="16">
        <f>+P23</f>
        <v>25.02</v>
      </c>
      <c r="S23" s="13"/>
      <c r="T23" s="16">
        <f>+R23</f>
        <v>25.02</v>
      </c>
      <c r="U23" s="13"/>
      <c r="V23" s="16">
        <f>+T23</f>
        <v>25.02</v>
      </c>
      <c r="W23" s="13"/>
      <c r="X23" s="16">
        <f>+V23</f>
        <v>25.02</v>
      </c>
      <c r="Y23" s="13"/>
      <c r="Z23" s="16">
        <f>+X23</f>
        <v>25.02</v>
      </c>
      <c r="AB23" s="17">
        <v>30</v>
      </c>
      <c r="AC23" s="13"/>
      <c r="AD23" s="18">
        <f>+AB23</f>
        <v>30</v>
      </c>
      <c r="AE23" s="13"/>
      <c r="AF23" s="18">
        <f>+AD23</f>
        <v>30</v>
      </c>
      <c r="AG23" s="13"/>
      <c r="AH23" s="18">
        <f>+AF23</f>
        <v>30</v>
      </c>
      <c r="AI23" s="13"/>
      <c r="AJ23" s="18">
        <f>+AH23</f>
        <v>30</v>
      </c>
      <c r="AK23" s="13"/>
      <c r="AL23" s="18">
        <f>+AJ23</f>
        <v>30</v>
      </c>
      <c r="AM23" s="13"/>
      <c r="AN23" s="18">
        <f>+AL23</f>
        <v>30</v>
      </c>
      <c r="AO23" s="13"/>
      <c r="AP23" s="18">
        <f>+AN23</f>
        <v>30</v>
      </c>
      <c r="AQ23" s="13"/>
      <c r="AR23" s="18">
        <f>+AP23</f>
        <v>30</v>
      </c>
      <c r="AS23" s="13"/>
      <c r="AT23" s="18">
        <f>+AR23</f>
        <v>30</v>
      </c>
      <c r="AU23" s="13"/>
      <c r="AV23" s="18">
        <f>+AT23</f>
        <v>30</v>
      </c>
      <c r="AX23" s="15">
        <v>45</v>
      </c>
      <c r="AY23" s="13"/>
      <c r="AZ23" s="16">
        <f>+AX23</f>
        <v>45</v>
      </c>
      <c r="BA23" s="13"/>
      <c r="BB23" s="16">
        <f>+AZ23</f>
        <v>45</v>
      </c>
      <c r="BC23" s="13"/>
      <c r="BD23" s="16">
        <f>+BB23</f>
        <v>45</v>
      </c>
      <c r="BE23" s="13"/>
      <c r="BF23" s="16">
        <f>+BD23</f>
        <v>45</v>
      </c>
      <c r="BG23" s="13"/>
      <c r="BH23" s="16">
        <f>+BF23</f>
        <v>45</v>
      </c>
      <c r="BI23" s="13"/>
      <c r="BJ23" s="16">
        <f>+BH23</f>
        <v>45</v>
      </c>
      <c r="BK23" s="13"/>
      <c r="BL23" s="16">
        <f>+BJ23</f>
        <v>45</v>
      </c>
      <c r="BM23" s="13"/>
      <c r="BN23" s="16">
        <f>+BL23</f>
        <v>45</v>
      </c>
      <c r="BO23" s="13"/>
      <c r="BP23" s="16">
        <f>+BN23</f>
        <v>45</v>
      </c>
      <c r="BQ23" s="13"/>
      <c r="BR23" s="16">
        <f>+BP23</f>
        <v>45</v>
      </c>
      <c r="BU23" s="16">
        <f>CHOOSE($D$4,F23,AB23,AX23)</f>
        <v>45</v>
      </c>
      <c r="BV23" s="13"/>
      <c r="BW23" s="16">
        <f>CHOOSE($D$4,H23,AD23,AZ23)</f>
        <v>45</v>
      </c>
      <c r="BX23" s="13"/>
      <c r="BY23" s="16">
        <f>CHOOSE($D$4,J23,AF23,BB23)</f>
        <v>45</v>
      </c>
      <c r="BZ23" s="13"/>
      <c r="CA23" s="16">
        <f>CHOOSE($D$4,L23,AH23,BD23)</f>
        <v>45</v>
      </c>
      <c r="CB23" s="13"/>
      <c r="CC23" s="16">
        <f>CHOOSE($D$4,N23,AJ23,BF23)</f>
        <v>45</v>
      </c>
      <c r="CD23" s="13"/>
      <c r="CE23" s="16">
        <f>CHOOSE($D$4,P23,AL23,BH23)</f>
        <v>45</v>
      </c>
      <c r="CF23" s="13"/>
      <c r="CG23" s="16">
        <f>CHOOSE($D$4,R23,AN23,BJ23)</f>
        <v>45</v>
      </c>
      <c r="CH23" s="13"/>
      <c r="CI23" s="16">
        <f>CHOOSE($D$4,T23,AP23,BL23)</f>
        <v>45</v>
      </c>
      <c r="CJ23" s="13"/>
      <c r="CK23" s="16">
        <f>CHOOSE($D$4,V23,AR23,BN23)</f>
        <v>45</v>
      </c>
      <c r="CL23" s="13"/>
      <c r="CM23" s="16">
        <f>CHOOSE($D$4,X23,AT23,BP23)</f>
        <v>45</v>
      </c>
      <c r="CN23" s="13"/>
      <c r="CO23" s="16">
        <f>CHOOSE($D$4,Z23,AV23,BR23)</f>
        <v>45</v>
      </c>
    </row>
    <row r="25" spans="2:93">
      <c r="B25" s="1" t="s">
        <v>263</v>
      </c>
      <c r="D25" s="9" t="s">
        <v>261</v>
      </c>
      <c r="F25" s="10">
        <v>0.22999999999999998</v>
      </c>
      <c r="H25" s="181">
        <f>F25</f>
        <v>0.22999999999999998</v>
      </c>
      <c r="J25" s="11">
        <f>+H25</f>
        <v>0.22999999999999998</v>
      </c>
      <c r="L25" s="11">
        <f>+J25</f>
        <v>0.22999999999999998</v>
      </c>
      <c r="N25" s="11">
        <f>+L25</f>
        <v>0.22999999999999998</v>
      </c>
      <c r="P25" s="11">
        <f>+N25</f>
        <v>0.22999999999999998</v>
      </c>
      <c r="R25" s="11">
        <f>+P25</f>
        <v>0.22999999999999998</v>
      </c>
      <c r="T25" s="11">
        <f>+R25</f>
        <v>0.22999999999999998</v>
      </c>
      <c r="V25" s="11">
        <f>+T25</f>
        <v>0.22999999999999998</v>
      </c>
      <c r="X25" s="11">
        <f>+V25</f>
        <v>0.22999999999999998</v>
      </c>
      <c r="Z25" s="11">
        <f>+X25</f>
        <v>0.22999999999999998</v>
      </c>
      <c r="AB25" s="10">
        <v>0.21</v>
      </c>
      <c r="AD25" s="181">
        <f>AB25</f>
        <v>0.21</v>
      </c>
      <c r="AF25" s="11">
        <f>+AD25</f>
        <v>0.21</v>
      </c>
      <c r="AH25" s="11">
        <f>+AF25</f>
        <v>0.21</v>
      </c>
      <c r="AJ25" s="11">
        <f>+AH25</f>
        <v>0.21</v>
      </c>
      <c r="AL25" s="11">
        <f>+AJ25</f>
        <v>0.21</v>
      </c>
      <c r="AN25" s="11">
        <f>+AL25</f>
        <v>0.21</v>
      </c>
      <c r="AP25" s="11">
        <f>+AN25</f>
        <v>0.21</v>
      </c>
      <c r="AR25" s="11">
        <f>+AP25</f>
        <v>0.21</v>
      </c>
      <c r="AT25" s="11">
        <f>+AR25</f>
        <v>0.21</v>
      </c>
      <c r="AV25" s="11">
        <f>+AT25</f>
        <v>0.21</v>
      </c>
      <c r="AX25" s="10">
        <v>0.21</v>
      </c>
      <c r="AZ25" s="181">
        <f>AX25</f>
        <v>0.21</v>
      </c>
      <c r="BB25" s="11">
        <f>+AZ25</f>
        <v>0.21</v>
      </c>
      <c r="BD25" s="11">
        <f>+BB25</f>
        <v>0.21</v>
      </c>
      <c r="BF25" s="11">
        <f>+BD25</f>
        <v>0.21</v>
      </c>
      <c r="BH25" s="11">
        <f>+BF25</f>
        <v>0.21</v>
      </c>
      <c r="BJ25" s="11">
        <f>+BH25</f>
        <v>0.21</v>
      </c>
      <c r="BL25" s="11">
        <f>+BJ25</f>
        <v>0.21</v>
      </c>
      <c r="BN25" s="11">
        <f>+BL25</f>
        <v>0.21</v>
      </c>
      <c r="BP25" s="11">
        <f>+BN25</f>
        <v>0.21</v>
      </c>
      <c r="BR25" s="11">
        <f>+BP25</f>
        <v>0.21</v>
      </c>
      <c r="BU25" s="11">
        <f>CHOOSE($D$4,F25,AB25,AX25)</f>
        <v>0.21</v>
      </c>
      <c r="BV25" s="11"/>
      <c r="BW25" s="11">
        <f>CHOOSE($D$4,H25,AD25,AZ25)</f>
        <v>0.21</v>
      </c>
      <c r="BX25" s="11"/>
      <c r="BY25" s="11">
        <f>CHOOSE($D$4,J25,AF25,BB25)</f>
        <v>0.21</v>
      </c>
      <c r="BZ25" s="11"/>
      <c r="CA25" s="11">
        <f>CHOOSE($D$4,L25,AH25,BD25)</f>
        <v>0.21</v>
      </c>
      <c r="CB25" s="11"/>
      <c r="CC25" s="11">
        <f>CHOOSE($D$4,N25,AJ25,BF25)</f>
        <v>0.21</v>
      </c>
      <c r="CD25" s="11"/>
      <c r="CE25" s="11">
        <f>CHOOSE($D$4,P25,AL25,BH25)</f>
        <v>0.21</v>
      </c>
      <c r="CF25" s="11"/>
      <c r="CG25" s="11">
        <f>CHOOSE($D$4,R25,AN25,BJ25)</f>
        <v>0.21</v>
      </c>
      <c r="CH25" s="11"/>
      <c r="CI25" s="11">
        <f>CHOOSE($D$4,T25,AP25,BL25)</f>
        <v>0.21</v>
      </c>
      <c r="CJ25" s="11"/>
      <c r="CK25" s="11">
        <f>CHOOSE($D$4,V25,AR25,BN25)</f>
        <v>0.21</v>
      </c>
      <c r="CL25" s="11"/>
      <c r="CM25" s="11">
        <f>CHOOSE($D$4,X25,AT25,BP25)</f>
        <v>0.21</v>
      </c>
      <c r="CN25" s="11"/>
      <c r="CO25" s="11">
        <f>CHOOSE($D$4,Z25,AV25,BR25)</f>
        <v>0.21</v>
      </c>
    </row>
    <row r="27" spans="2:93">
      <c r="B27" s="1" t="s">
        <v>262</v>
      </c>
      <c r="D27" s="9" t="s">
        <v>221</v>
      </c>
      <c r="F27" s="10">
        <v>0.02</v>
      </c>
      <c r="H27" s="16">
        <f>+F27</f>
        <v>0.02</v>
      </c>
      <c r="J27" s="16">
        <f>+H27</f>
        <v>0.02</v>
      </c>
      <c r="L27" s="16">
        <f>+J27</f>
        <v>0.02</v>
      </c>
      <c r="N27" s="16">
        <f>+L27</f>
        <v>0.02</v>
      </c>
      <c r="P27" s="16">
        <f>+N27</f>
        <v>0.02</v>
      </c>
      <c r="R27" s="16">
        <f>+P27</f>
        <v>0.02</v>
      </c>
      <c r="T27" s="16">
        <f>+R27</f>
        <v>0.02</v>
      </c>
      <c r="V27" s="16">
        <f>+T27</f>
        <v>0.02</v>
      </c>
      <c r="X27" s="16">
        <f>+V27</f>
        <v>0.02</v>
      </c>
      <c r="Z27" s="16">
        <f>+X27</f>
        <v>0.02</v>
      </c>
      <c r="AB27" s="15">
        <v>10</v>
      </c>
      <c r="AD27" s="16">
        <f>+AB27</f>
        <v>10</v>
      </c>
      <c r="AE27" s="13"/>
      <c r="AF27" s="16">
        <f>+AD27</f>
        <v>10</v>
      </c>
      <c r="AG27" s="13"/>
      <c r="AH27" s="16">
        <f>+AF27</f>
        <v>10</v>
      </c>
      <c r="AI27" s="13"/>
      <c r="AJ27" s="16">
        <f>+AH27</f>
        <v>10</v>
      </c>
      <c r="AK27" s="13"/>
      <c r="AL27" s="16">
        <f>+AJ27</f>
        <v>10</v>
      </c>
      <c r="AM27" s="13"/>
      <c r="AN27" s="16">
        <f>+AL27</f>
        <v>10</v>
      </c>
      <c r="AO27" s="13"/>
      <c r="AP27" s="16">
        <f>+AN27</f>
        <v>10</v>
      </c>
      <c r="AQ27" s="13"/>
      <c r="AR27" s="16">
        <f>+AP27</f>
        <v>10</v>
      </c>
      <c r="AS27" s="13"/>
      <c r="AT27" s="16">
        <f>+AR27</f>
        <v>10</v>
      </c>
      <c r="AU27" s="13"/>
      <c r="AV27" s="16">
        <f>+AT27</f>
        <v>10</v>
      </c>
      <c r="AX27" s="15">
        <v>20</v>
      </c>
      <c r="AZ27" s="16">
        <f>+AX27</f>
        <v>20</v>
      </c>
      <c r="BA27" s="13"/>
      <c r="BB27" s="16">
        <f>+AZ27</f>
        <v>20</v>
      </c>
      <c r="BC27" s="13"/>
      <c r="BD27" s="16">
        <f>+BB27</f>
        <v>20</v>
      </c>
      <c r="BE27" s="13"/>
      <c r="BF27" s="16">
        <f>+BD27</f>
        <v>20</v>
      </c>
      <c r="BG27" s="13"/>
      <c r="BH27" s="16">
        <f>+BF27</f>
        <v>20</v>
      </c>
      <c r="BI27" s="13"/>
      <c r="BJ27" s="16">
        <f>+BH27</f>
        <v>20</v>
      </c>
      <c r="BK27" s="13"/>
      <c r="BL27" s="16">
        <f>+BJ27</f>
        <v>20</v>
      </c>
      <c r="BM27" s="13"/>
      <c r="BN27" s="16">
        <f>+BL27</f>
        <v>20</v>
      </c>
      <c r="BO27" s="13"/>
      <c r="BP27" s="16">
        <f>+BN27</f>
        <v>20</v>
      </c>
      <c r="BQ27" s="13"/>
      <c r="BR27" s="16">
        <f>+BP27</f>
        <v>20</v>
      </c>
      <c r="BU27" s="16">
        <f>CHOOSE($D$4,F27,AB27,AX27)</f>
        <v>20</v>
      </c>
      <c r="BV27" s="13"/>
      <c r="BW27" s="16">
        <f>CHOOSE($D$4,H27,AD27,AZ27)</f>
        <v>20</v>
      </c>
      <c r="BX27" s="13"/>
      <c r="BY27" s="16">
        <f>CHOOSE($D$4,J27,AF27,BB27)</f>
        <v>20</v>
      </c>
      <c r="BZ27" s="13"/>
      <c r="CA27" s="16">
        <f>CHOOSE($D$4,L27,AH27,BD27)</f>
        <v>20</v>
      </c>
      <c r="CB27" s="13"/>
      <c r="CC27" s="16">
        <f>CHOOSE($D$4,N27,AJ27,BF27)</f>
        <v>20</v>
      </c>
      <c r="CD27" s="13"/>
      <c r="CE27" s="16">
        <f>CHOOSE($D$4,P27,AL27,BH27)</f>
        <v>20</v>
      </c>
      <c r="CF27" s="13"/>
      <c r="CG27" s="16">
        <f>CHOOSE($D$4,R27,AN27,BJ27)</f>
        <v>20</v>
      </c>
      <c r="CH27" s="13"/>
      <c r="CI27" s="16">
        <f>CHOOSE($D$4,T27,AP27,BL27)</f>
        <v>20</v>
      </c>
      <c r="CJ27" s="13"/>
      <c r="CK27" s="16">
        <f>CHOOSE($D$4,V27,AR27,BN27)</f>
        <v>20</v>
      </c>
      <c r="CL27" s="13"/>
      <c r="CM27" s="16">
        <f>CHOOSE($D$4,X27,AT27,BP27)</f>
        <v>20</v>
      </c>
      <c r="CN27" s="13"/>
      <c r="CO27" s="16">
        <f>CHOOSE($D$4,Z27,AV27,BR27)</f>
        <v>20</v>
      </c>
    </row>
    <row r="30" spans="2:93">
      <c r="F30" s="10"/>
    </row>
  </sheetData>
  <dataValidations count="1">
    <dataValidation type="list" allowBlank="1" showInputMessage="1" showErrorMessage="1" sqref="D4" xr:uid="{EE281C2B-AF9E-4894-8719-2B2687B6809E}">
      <formula1>"1,2,3"</formula1>
    </dataValidation>
  </dataValidations>
  <pageMargins left="0.7" right="0.7" top="0.75" bottom="0.75" header="0.3" footer="0.3"/>
  <pageSetup paperSize="9" scale="2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2060"/>
  </sheetPr>
  <dimension ref="A1:CC343"/>
  <sheetViews>
    <sheetView showGridLines="0" view="pageBreakPreview" zoomScale="85" zoomScaleNormal="70" zoomScaleSheetLayoutView="85" workbookViewId="0">
      <pane xSplit="6" ySplit="8" topLeftCell="G9" activePane="bottomRight" state="frozen"/>
      <selection activeCell="D4" sqref="D4"/>
      <selection pane="topRight" activeCell="D4" sqref="D4"/>
      <selection pane="bottomLeft" activeCell="D4" sqref="D4"/>
      <selection pane="bottomRight" activeCell="N172" sqref="N172"/>
    </sheetView>
  </sheetViews>
  <sheetFormatPr defaultColWidth="9.109375" defaultRowHeight="15.6"/>
  <cols>
    <col min="1" max="1" width="1.6640625" style="1" customWidth="1"/>
    <col min="2" max="2" width="12.6640625" style="1" customWidth="1"/>
    <col min="3" max="3" width="1.6640625" style="1" customWidth="1"/>
    <col min="4" max="4" width="12.6640625" style="1" customWidth="1"/>
    <col min="5" max="5" width="1.6640625" style="1" customWidth="1"/>
    <col min="6" max="6" width="12.6640625" style="1" customWidth="1"/>
    <col min="7" max="7" width="1.6640625" style="1" customWidth="1"/>
    <col min="8" max="8" width="12.6640625" style="1" customWidth="1" collapsed="1"/>
    <col min="9" max="9" width="1.88671875" style="1" customWidth="1"/>
    <col min="10" max="10" width="12.6640625" style="1" customWidth="1"/>
    <col min="11" max="11" width="1.88671875" style="1" customWidth="1"/>
    <col min="12" max="12" width="12.6640625" style="1" customWidth="1"/>
    <col min="13" max="13" width="1.88671875" style="1" customWidth="1"/>
    <col min="14" max="14" width="12.6640625" style="1" customWidth="1"/>
    <col min="15" max="15" width="1.6640625" style="1" customWidth="1"/>
    <col min="16" max="16" width="12.6640625" style="1" customWidth="1"/>
    <col min="17" max="17" width="1.6640625" style="1" customWidth="1"/>
    <col min="18" max="18" width="12.6640625" style="1" customWidth="1"/>
    <col min="19" max="19" width="1.88671875" style="1" customWidth="1"/>
    <col min="20" max="20" width="12.6640625" style="1" customWidth="1"/>
    <col min="21" max="21" width="1.88671875" style="1" customWidth="1"/>
    <col min="22" max="22" width="12.6640625" style="1" customWidth="1"/>
    <col min="23" max="23" width="1.88671875" style="1" customWidth="1"/>
    <col min="24" max="24" width="12.6640625" style="1" customWidth="1"/>
    <col min="25" max="25" width="1.88671875" style="1" customWidth="1"/>
    <col min="26" max="26" width="12.6640625" style="1" customWidth="1"/>
    <col min="27" max="27" width="1.88671875" style="1" customWidth="1"/>
    <col min="28" max="28" width="12.6640625" style="1" customWidth="1"/>
    <col min="29" max="29" width="1.88671875" style="1" customWidth="1"/>
    <col min="30" max="30" width="12.6640625" style="1" customWidth="1"/>
    <col min="31" max="31" width="1.88671875" style="1" customWidth="1"/>
    <col min="32" max="32" width="12.6640625" style="1" customWidth="1"/>
    <col min="33" max="33" width="1.88671875" style="1" customWidth="1"/>
    <col min="34" max="34" width="12.6640625" style="1" customWidth="1"/>
    <col min="35" max="35" width="1.88671875" style="1" customWidth="1"/>
    <col min="36" max="36" width="12.6640625" style="1" customWidth="1"/>
    <col min="37" max="37" width="1.88671875" style="1" customWidth="1"/>
    <col min="38" max="38" width="12.6640625" style="1" customWidth="1"/>
    <col min="39" max="39" width="1.88671875" style="1" customWidth="1"/>
    <col min="40" max="40" width="12.6640625" style="1" customWidth="1"/>
    <col min="41" max="41" width="1.6640625" style="1" customWidth="1"/>
    <col min="42" max="45" width="9.109375" style="1"/>
    <col min="46" max="46" width="14" style="1" bestFit="1" customWidth="1"/>
    <col min="47" max="16384" width="9.109375" style="1"/>
  </cols>
  <sheetData>
    <row r="1" spans="1:41" s="20" customFormat="1" ht="5.0999999999999996" customHeight="1"/>
    <row r="2" spans="1:41" s="194" customFormat="1" ht="23.4">
      <c r="A2" s="20"/>
      <c r="B2" s="192" t="s">
        <v>272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26"/>
    </row>
    <row r="3" spans="1:41" s="195" customFormat="1" ht="5.0999999999999996" customHeight="1">
      <c r="A3" s="20"/>
      <c r="AO3" s="26"/>
    </row>
    <row r="4" spans="1:41" s="196" customFormat="1" ht="18">
      <c r="A4" s="20"/>
      <c r="H4" s="197" t="s">
        <v>222</v>
      </c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206"/>
      <c r="T4" s="198" t="s">
        <v>218</v>
      </c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9"/>
      <c r="AO4" s="26"/>
    </row>
    <row r="5" spans="1:41" s="195" customFormat="1" ht="5.0999999999999996" customHeight="1">
      <c r="A5" s="20"/>
      <c r="AO5" s="26"/>
    </row>
    <row r="6" spans="1:41" s="195" customFormat="1">
      <c r="A6" s="20"/>
      <c r="B6" s="200"/>
      <c r="C6" s="201"/>
      <c r="D6" s="201"/>
      <c r="E6" s="202"/>
      <c r="F6" s="201"/>
      <c r="G6" s="203"/>
      <c r="H6" s="204">
        <v>43465</v>
      </c>
      <c r="I6" s="201"/>
      <c r="J6" s="204">
        <f>EOMONTH(H6,12)</f>
        <v>43830</v>
      </c>
      <c r="K6" s="201"/>
      <c r="L6" s="204">
        <f>EOMONTH(J6,12)</f>
        <v>44196</v>
      </c>
      <c r="M6" s="201"/>
      <c r="N6" s="204">
        <f>EOMONTH(L6,12)</f>
        <v>44561</v>
      </c>
      <c r="O6" s="201"/>
      <c r="P6" s="204">
        <f>EOMONTH(N6,12)</f>
        <v>44926</v>
      </c>
      <c r="Q6" s="201"/>
      <c r="R6" s="204">
        <f>EOMONTH(P6,12)</f>
        <v>45291</v>
      </c>
      <c r="S6" s="201"/>
      <c r="T6" s="207">
        <f>'Financing Inputs'!T5</f>
        <v>45657</v>
      </c>
      <c r="U6" s="201"/>
      <c r="V6" s="207">
        <f>EOMONTH(T6,12)</f>
        <v>46022</v>
      </c>
      <c r="W6" s="201"/>
      <c r="X6" s="207">
        <f>EOMONTH(V6,12)</f>
        <v>46387</v>
      </c>
      <c r="Y6" s="201"/>
      <c r="Z6" s="207">
        <f>EOMONTH(X6,12)</f>
        <v>46752</v>
      </c>
      <c r="AA6" s="201"/>
      <c r="AB6" s="207">
        <f>EOMONTH(Z6,12)</f>
        <v>47118</v>
      </c>
      <c r="AC6" s="201"/>
      <c r="AD6" s="207">
        <f>EOMONTH(AB6,12)</f>
        <v>47483</v>
      </c>
      <c r="AE6" s="201"/>
      <c r="AF6" s="207">
        <f>EOMONTH(AD6,12)</f>
        <v>47848</v>
      </c>
      <c r="AG6" s="201"/>
      <c r="AH6" s="207">
        <f>EOMONTH(AF6,12)</f>
        <v>48213</v>
      </c>
      <c r="AI6" s="201"/>
      <c r="AJ6" s="207">
        <f>EOMONTH(AH6,12)</f>
        <v>48579</v>
      </c>
      <c r="AK6" s="201"/>
      <c r="AL6" s="207">
        <f>EOMONTH(AJ6,12)</f>
        <v>48944</v>
      </c>
      <c r="AM6" s="201"/>
      <c r="AN6" s="207">
        <f>EOMONTH(AL6,12)</f>
        <v>49309</v>
      </c>
      <c r="AO6" s="26"/>
    </row>
    <row r="7" spans="1:41" s="21" customFormat="1" ht="5.0999999999999996" customHeight="1">
      <c r="A7" s="20"/>
      <c r="B7" s="24"/>
      <c r="H7" s="25"/>
      <c r="J7" s="25"/>
      <c r="L7" s="25"/>
      <c r="N7" s="25"/>
      <c r="P7" s="25"/>
      <c r="R7" s="25"/>
      <c r="T7" s="25"/>
      <c r="V7" s="25"/>
      <c r="X7" s="25"/>
      <c r="Z7" s="25"/>
      <c r="AB7" s="25"/>
      <c r="AD7" s="25"/>
      <c r="AF7" s="25"/>
      <c r="AH7" s="25"/>
      <c r="AJ7" s="25"/>
      <c r="AL7" s="25"/>
      <c r="AN7" s="25"/>
      <c r="AO7" s="26"/>
    </row>
    <row r="8" spans="1:41" s="20" customFormat="1" ht="21">
      <c r="B8" s="208" t="s">
        <v>20</v>
      </c>
      <c r="C8" s="209"/>
      <c r="D8" s="209"/>
      <c r="E8" s="209"/>
      <c r="F8" s="209"/>
      <c r="G8" s="209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6"/>
    </row>
    <row r="9" spans="1:41" s="38" customFormat="1">
      <c r="B9" s="42" t="s">
        <v>21</v>
      </c>
      <c r="C9" s="37"/>
      <c r="D9" s="37"/>
      <c r="E9" s="37"/>
      <c r="F9" s="37"/>
      <c r="H9" s="43">
        <f>H197</f>
        <v>552.31385</v>
      </c>
      <c r="I9" s="28"/>
      <c r="J9" s="43">
        <f>J197</f>
        <v>702.82709999999997</v>
      </c>
      <c r="K9" s="28"/>
      <c r="L9" s="43">
        <f>L197</f>
        <v>714.31354999999996</v>
      </c>
      <c r="M9" s="28"/>
      <c r="N9" s="43">
        <f>N197</f>
        <v>696.87724999999989</v>
      </c>
      <c r="O9" s="28"/>
      <c r="P9" s="43">
        <f>P197</f>
        <v>640.99159999999995</v>
      </c>
      <c r="Q9" s="28"/>
      <c r="R9" s="43">
        <f>R197</f>
        <v>1225.2416000000001</v>
      </c>
      <c r="S9" s="28"/>
      <c r="T9" s="43">
        <f>T123</f>
        <v>1241.9810702499997</v>
      </c>
      <c r="U9" s="28"/>
      <c r="V9" s="43">
        <f>V123</f>
        <v>1284.13433345</v>
      </c>
      <c r="W9" s="28"/>
      <c r="X9" s="43">
        <f>X123</f>
        <v>1371.6797175036997</v>
      </c>
      <c r="Y9" s="28"/>
      <c r="Z9" s="43">
        <f>Z123</f>
        <v>1457.3677346796981</v>
      </c>
      <c r="AA9" s="28"/>
      <c r="AB9" s="43">
        <f>AB123</f>
        <v>1532.9269705947274</v>
      </c>
      <c r="AC9" s="28"/>
      <c r="AD9" s="43">
        <f>AD123</f>
        <v>1603.2589458392638</v>
      </c>
      <c r="AE9" s="28"/>
      <c r="AF9" s="43">
        <f>AF123</f>
        <v>1568.5568033283985</v>
      </c>
      <c r="AG9" s="28"/>
      <c r="AH9" s="43">
        <f>AH123</f>
        <v>1534.7542465381277</v>
      </c>
      <c r="AI9" s="28"/>
      <c r="AJ9" s="43">
        <f>AJ123</f>
        <v>1501.8196773636864</v>
      </c>
      <c r="AK9" s="28"/>
      <c r="AL9" s="43">
        <f>AL123</f>
        <v>1469.7221566860344</v>
      </c>
      <c r="AM9" s="28"/>
      <c r="AN9" s="43">
        <f>AN123</f>
        <v>1438.4313722083496</v>
      </c>
    </row>
    <row r="10" spans="1:41" s="32" customFormat="1">
      <c r="B10" s="44" t="s">
        <v>1</v>
      </c>
      <c r="H10" s="35" t="s">
        <v>0</v>
      </c>
      <c r="I10" s="36"/>
      <c r="J10" s="33">
        <f>IFERROR((J9/H9-1),"na")</f>
        <v>0.27251398819710926</v>
      </c>
      <c r="K10" s="36"/>
      <c r="L10" s="33">
        <f>IFERROR((L9/J9-1),"na")</f>
        <v>1.6343208735121406E-2</v>
      </c>
      <c r="M10" s="36"/>
      <c r="N10" s="33">
        <f>IFERROR((N9/L9-1),"na")</f>
        <v>-2.440986874741502E-2</v>
      </c>
      <c r="O10" s="36"/>
      <c r="P10" s="33">
        <f>IFERROR((P9/N9-1),"na")</f>
        <v>-8.0194395784910388E-2</v>
      </c>
      <c r="Q10" s="46"/>
      <c r="R10" s="33">
        <f>IFERROR((R9/P9-1),"na")</f>
        <v>0.91147840314912099</v>
      </c>
      <c r="S10" s="36"/>
      <c r="T10" s="33">
        <f>IFERROR((T9/R9-1),"na")</f>
        <v>1.3662179157155396E-2</v>
      </c>
      <c r="U10" s="36"/>
      <c r="V10" s="33">
        <f>IFERROR((V9/T9-1),"na")</f>
        <v>3.3940342739294138E-2</v>
      </c>
      <c r="W10" s="36"/>
      <c r="X10" s="33">
        <f>IFERROR((X9/V9-1),"na")</f>
        <v>6.8174630779084699E-2</v>
      </c>
      <c r="Y10" s="36"/>
      <c r="Z10" s="33">
        <f>IFERROR((Z9/X9-1),"na")</f>
        <v>6.2469406000943639E-2</v>
      </c>
      <c r="AA10" s="36"/>
      <c r="AB10" s="33">
        <f>IFERROR((AB9/Z9-1),"na")</f>
        <v>5.1846376255637372E-2</v>
      </c>
      <c r="AC10" s="36"/>
      <c r="AD10" s="33">
        <f>IFERROR((AD9/AB9-1),"na")</f>
        <v>4.5880838809463809E-2</v>
      </c>
      <c r="AE10" s="36"/>
      <c r="AF10" s="33">
        <f>IFERROR((AF9/AD9-1),"na")</f>
        <v>-2.1644752147445323E-2</v>
      </c>
      <c r="AG10" s="36"/>
      <c r="AH10" s="33">
        <f>IFERROR((AH9/AF9-1),"na")</f>
        <v>-2.1550100524599047E-2</v>
      </c>
      <c r="AI10" s="36"/>
      <c r="AJ10" s="33">
        <f>IFERROR((AJ9/AH9-1),"na")</f>
        <v>-2.1459181004861327E-2</v>
      </c>
      <c r="AK10" s="36"/>
      <c r="AL10" s="33">
        <f>IFERROR((AL9/AJ9-1),"na")</f>
        <v>-2.1372419846033996E-2</v>
      </c>
      <c r="AM10" s="36"/>
      <c r="AN10" s="33">
        <f>IFERROR((AN9/AL9-1),"na")</f>
        <v>-2.1290271998239518E-2</v>
      </c>
      <c r="AO10" s="21"/>
    </row>
    <row r="11" spans="1:41" s="21" customFormat="1" ht="5.0999999999999996" customHeight="1">
      <c r="B11" s="47"/>
      <c r="H11" s="48"/>
      <c r="J11" s="48"/>
      <c r="L11" s="48"/>
      <c r="N11" s="48"/>
      <c r="P11" s="48"/>
      <c r="Q11" s="24"/>
      <c r="R11" s="49"/>
      <c r="T11" s="48"/>
      <c r="V11" s="48"/>
      <c r="X11" s="48"/>
      <c r="Z11" s="48"/>
      <c r="AB11" s="48"/>
      <c r="AD11" s="48"/>
      <c r="AF11" s="48"/>
      <c r="AH11" s="48"/>
      <c r="AJ11" s="48"/>
      <c r="AL11" s="48"/>
      <c r="AN11" s="48"/>
    </row>
    <row r="12" spans="1:41" s="21" customFormat="1">
      <c r="B12" s="50" t="s">
        <v>2</v>
      </c>
      <c r="C12" s="51"/>
      <c r="D12" s="51"/>
      <c r="H12" s="30">
        <f>H198-H22</f>
        <v>389.94839999999994</v>
      </c>
      <c r="I12" s="30"/>
      <c r="J12" s="30">
        <f>J198-J22</f>
        <v>482.23140000000001</v>
      </c>
      <c r="K12" s="30"/>
      <c r="L12" s="30">
        <f>L198-L22</f>
        <v>476.28344999999996</v>
      </c>
      <c r="M12" s="30"/>
      <c r="N12" s="30">
        <f>N198-N22</f>
        <v>493.9401499999999</v>
      </c>
      <c r="O12" s="30"/>
      <c r="P12" s="30">
        <f>P198-P22</f>
        <v>491.92994999999996</v>
      </c>
      <c r="Q12" s="30"/>
      <c r="R12" s="30">
        <f>R198-R22</f>
        <v>878.99319999999989</v>
      </c>
      <c r="S12" s="30"/>
      <c r="T12" s="30">
        <f>IF(AND(T$6&gt;='Financing Inputs'!$T$5,T$6&lt;='Financing Inputs'!$T$19),T9*(1-'Operating Inputs'!BU$17),0)</f>
        <v>869.38674917499975</v>
      </c>
      <c r="U12" s="30"/>
      <c r="V12" s="30">
        <f>IF(AND(V$6&gt;='Financing Inputs'!$T$5,V$6&lt;='Financing Inputs'!$T$19),V9*(1-'Operating Inputs'!BW$17),0)</f>
        <v>898.89403341499997</v>
      </c>
      <c r="W12" s="30"/>
      <c r="X12" s="30">
        <f>IF(AND(X$6&gt;='Financing Inputs'!$T$5,X$6&lt;='Financing Inputs'!$T$19),X9*(1-'Operating Inputs'!BY$17),0)</f>
        <v>960.17580225258973</v>
      </c>
      <c r="Y12" s="30"/>
      <c r="Z12" s="30">
        <f>IF(AND(Z$6&gt;='Financing Inputs'!$T$5,Z$6&lt;='Financing Inputs'!$T$19),Z9*(1-'Operating Inputs'!CA$17),0)</f>
        <v>1020.1574142757886</v>
      </c>
      <c r="AA12" s="30"/>
      <c r="AB12" s="30">
        <f>IF(AND(AB$6&gt;='Financing Inputs'!$T$5,AB$6&lt;='Financing Inputs'!$T$19),AB9*(1-'Operating Inputs'!CC$17),0)</f>
        <v>1073.0488794163091</v>
      </c>
      <c r="AC12" s="30"/>
      <c r="AD12" s="30">
        <f>IF(AND(AD$6&gt;='Financing Inputs'!$T$5,AD$6&lt;='Financing Inputs'!$T$19),AD9*(1-'Operating Inputs'!CE$17),0)</f>
        <v>1122.2812620874845</v>
      </c>
      <c r="AE12" s="30"/>
      <c r="AF12" s="30">
        <f>IF(AND(AF$6&gt;='Financing Inputs'!$T$5,AF$6&lt;='Financing Inputs'!$T$19),AF9*(1-'Operating Inputs'!CG$17),0)</f>
        <v>1097.9897623298789</v>
      </c>
      <c r="AG12" s="30"/>
      <c r="AH12" s="30">
        <f>IF(AND(AH$6&gt;='Financing Inputs'!$T$5,AH$6&lt;='Financing Inputs'!$T$19),AH9*(1-'Operating Inputs'!CI$17),0)</f>
        <v>1074.3279725766893</v>
      </c>
      <c r="AI12" s="30"/>
      <c r="AJ12" s="30">
        <f>IF(AND(AJ$6&gt;='Financing Inputs'!$T$5,AJ$6&lt;='Financing Inputs'!$T$19),AJ9*(1-'Operating Inputs'!CK$17),0)</f>
        <v>1051.2737741545805</v>
      </c>
      <c r="AK12" s="30"/>
      <c r="AL12" s="30">
        <f>IF(AND(AL$6&gt;='Financing Inputs'!$T$5,AL$6&lt;='Financing Inputs'!$T$19),AL9*(1-'Operating Inputs'!CM$17),0)</f>
        <v>1028.8055096802241</v>
      </c>
      <c r="AM12" s="30"/>
      <c r="AN12" s="30">
        <f>IF(AND(AN$6&gt;='Financing Inputs'!$T$5,AN$6&lt;='Financing Inputs'!$T$19),AN9*(1-'Operating Inputs'!CO$17),0)</f>
        <v>1006.9019605458446</v>
      </c>
      <c r="AO12" s="31"/>
    </row>
    <row r="13" spans="1:41" s="38" customFormat="1">
      <c r="B13" s="38" t="s">
        <v>22</v>
      </c>
      <c r="E13" s="37"/>
      <c r="F13" s="37"/>
      <c r="H13" s="43">
        <f>+H9-H12</f>
        <v>162.36545000000007</v>
      </c>
      <c r="I13" s="28"/>
      <c r="J13" s="43">
        <f>+J9-J12</f>
        <v>220.59569999999997</v>
      </c>
      <c r="K13" s="28"/>
      <c r="L13" s="43">
        <f>+L9-L12</f>
        <v>238.0301</v>
      </c>
      <c r="M13" s="28"/>
      <c r="N13" s="43">
        <f>+N9-N12</f>
        <v>202.93709999999999</v>
      </c>
      <c r="O13" s="28"/>
      <c r="P13" s="43">
        <f>+P9-P12</f>
        <v>149.06164999999999</v>
      </c>
      <c r="Q13" s="28"/>
      <c r="R13" s="43">
        <f>+R9-R12</f>
        <v>346.24840000000017</v>
      </c>
      <c r="S13" s="28"/>
      <c r="T13" s="43">
        <f>+T9-T12</f>
        <v>372.59432107499993</v>
      </c>
      <c r="U13" s="28"/>
      <c r="V13" s="43">
        <f>+V9-V12</f>
        <v>385.24030003500002</v>
      </c>
      <c r="W13" s="28"/>
      <c r="X13" s="43">
        <f>+X9-X12</f>
        <v>411.50391525111002</v>
      </c>
      <c r="Y13" s="28"/>
      <c r="Z13" s="43">
        <f>+Z9-Z12</f>
        <v>437.21032040390946</v>
      </c>
      <c r="AA13" s="28"/>
      <c r="AB13" s="43">
        <f>+AB9-AB12</f>
        <v>459.87809117841834</v>
      </c>
      <c r="AC13" s="28"/>
      <c r="AD13" s="43">
        <f>+AD9-AD12</f>
        <v>480.9776837517793</v>
      </c>
      <c r="AE13" s="28"/>
      <c r="AF13" s="43">
        <f>+AF9-AF12</f>
        <v>470.56704099851959</v>
      </c>
      <c r="AG13" s="28"/>
      <c r="AH13" s="43">
        <f>+AH9-AH12</f>
        <v>460.42627396143848</v>
      </c>
      <c r="AI13" s="28"/>
      <c r="AJ13" s="43">
        <f>+AJ9-AJ12</f>
        <v>450.54590320910597</v>
      </c>
      <c r="AK13" s="28"/>
      <c r="AL13" s="43">
        <f>+AL9-AL12</f>
        <v>440.91664700581032</v>
      </c>
      <c r="AM13" s="28"/>
      <c r="AN13" s="43">
        <f>+AN9-AN12</f>
        <v>431.52941166250491</v>
      </c>
    </row>
    <row r="14" spans="1:41" s="32" customFormat="1">
      <c r="B14" s="47" t="s">
        <v>17</v>
      </c>
      <c r="H14" s="33">
        <f>IFERROR(H13/H$9,"na")</f>
        <v>0.29397316399000328</v>
      </c>
      <c r="J14" s="33">
        <f>IFERROR(J13/J$9,"na")</f>
        <v>0.31386908672132874</v>
      </c>
      <c r="L14" s="33">
        <f>IFERROR(L13/L$9,"na")</f>
        <v>0.33322915405986631</v>
      </c>
      <c r="N14" s="33">
        <f>IFERROR(N13/N$9,"na")</f>
        <v>0.29120924811363841</v>
      </c>
      <c r="P14" s="33">
        <f>IFERROR(P13/P$9,"na")</f>
        <v>0.23254852325677902</v>
      </c>
      <c r="Q14" s="52"/>
      <c r="R14" s="45">
        <f>IFERROR(R13/R$9,"na")</f>
        <v>0.28259602024612956</v>
      </c>
      <c r="T14" s="33">
        <f>IFERROR(T13/T$9,"na")</f>
        <v>0.30000000000000004</v>
      </c>
      <c r="V14" s="33">
        <f>IFERROR(V13/V$9,"na")</f>
        <v>0.30000000000000004</v>
      </c>
      <c r="X14" s="33">
        <f>IFERROR(X13/X$9,"na")</f>
        <v>0.30000000000000004</v>
      </c>
      <c r="Z14" s="33">
        <f>IFERROR(Z13/Z$9,"na")</f>
        <v>0.30000000000000004</v>
      </c>
      <c r="AB14" s="33">
        <f>IFERROR(AB13/AB$9,"na")</f>
        <v>0.3000000000000001</v>
      </c>
      <c r="AD14" s="33">
        <f>IFERROR(AD13/AD$9,"na")</f>
        <v>0.3000000000000001</v>
      </c>
      <c r="AF14" s="33">
        <f>IFERROR(AF13/AF$9,"na")</f>
        <v>0.30000000000000004</v>
      </c>
      <c r="AH14" s="33">
        <f>IFERROR(AH13/AH$9,"na")</f>
        <v>0.3000000000000001</v>
      </c>
      <c r="AJ14" s="33">
        <f>IFERROR(AJ13/AJ$9,"na")</f>
        <v>0.30000000000000004</v>
      </c>
      <c r="AL14" s="33">
        <f>IFERROR(AL13/AL$9,"na")</f>
        <v>0.3</v>
      </c>
      <c r="AN14" s="33">
        <f>IFERROR(AN13/AN$9,"na")</f>
        <v>0.30000000000000004</v>
      </c>
    </row>
    <row r="15" spans="1:41" s="21" customFormat="1" ht="5.0999999999999996" customHeight="1">
      <c r="B15" s="47"/>
      <c r="H15" s="48"/>
      <c r="J15" s="48"/>
      <c r="L15" s="48"/>
      <c r="N15" s="48"/>
      <c r="P15" s="48"/>
      <c r="Q15" s="24"/>
      <c r="R15" s="49"/>
      <c r="T15" s="48"/>
      <c r="V15" s="48"/>
      <c r="X15" s="48"/>
      <c r="Z15" s="48"/>
      <c r="AB15" s="48"/>
      <c r="AD15" s="48"/>
      <c r="AF15" s="48"/>
      <c r="AH15" s="48"/>
      <c r="AJ15" s="48"/>
      <c r="AL15" s="48"/>
      <c r="AN15" s="48"/>
    </row>
    <row r="16" spans="1:41" s="21" customFormat="1">
      <c r="B16" s="53" t="s">
        <v>3</v>
      </c>
      <c r="H16" s="30">
        <f>-H203-H20</f>
        <v>49.760999999999996</v>
      </c>
      <c r="I16" s="30"/>
      <c r="J16" s="30">
        <f>-J203-J20</f>
        <v>57.343899999999998</v>
      </c>
      <c r="K16" s="30"/>
      <c r="L16" s="30">
        <f>-L203-L20</f>
        <v>55.453399999999988</v>
      </c>
      <c r="M16" s="30"/>
      <c r="N16" s="30">
        <f>-N203-N20</f>
        <v>49.8902</v>
      </c>
      <c r="O16" s="30"/>
      <c r="P16" s="30">
        <f>-P203-P20</f>
        <v>52.971999999999994</v>
      </c>
      <c r="Q16" s="30"/>
      <c r="R16" s="30">
        <f>-R203-R20</f>
        <v>83.521150000000006</v>
      </c>
      <c r="S16" s="30"/>
      <c r="T16" s="30">
        <f>T9*T17</f>
        <v>59.615091371999988</v>
      </c>
      <c r="U16" s="30"/>
      <c r="V16" s="30">
        <f>V9*V17</f>
        <v>61.638448005599997</v>
      </c>
      <c r="W16" s="30"/>
      <c r="X16" s="30">
        <f>X9*X17</f>
        <v>65.840626440177587</v>
      </c>
      <c r="Y16" s="30"/>
      <c r="Z16" s="30">
        <f>Z9*Z17</f>
        <v>69.953651264625506</v>
      </c>
      <c r="AA16" s="30"/>
      <c r="AB16" s="30">
        <f>AB9*AB17</f>
        <v>73.580494588546912</v>
      </c>
      <c r="AC16" s="30"/>
      <c r="AD16" s="30">
        <f>AD9*AD17</f>
        <v>76.956429400284662</v>
      </c>
      <c r="AE16" s="30"/>
      <c r="AF16" s="30">
        <f>AF9*AF17</f>
        <v>75.290726559763129</v>
      </c>
      <c r="AG16" s="30"/>
      <c r="AH16" s="30">
        <f>AH9*AH17</f>
        <v>73.668203833830134</v>
      </c>
      <c r="AI16" s="30"/>
      <c r="AJ16" s="30">
        <f>AJ9*AJ17</f>
        <v>72.087344513456955</v>
      </c>
      <c r="AK16" s="30"/>
      <c r="AL16" s="30">
        <f>AL9*AL17</f>
        <v>70.546663520929656</v>
      </c>
      <c r="AM16" s="30"/>
      <c r="AN16" s="30">
        <f>AN9*AN17</f>
        <v>69.044705866000783</v>
      </c>
      <c r="AO16" s="31"/>
    </row>
    <row r="17" spans="2:42" s="21" customFormat="1">
      <c r="B17" s="47" t="s">
        <v>4</v>
      </c>
      <c r="H17" s="33">
        <f>IFERROR(H16/H$9,"na")</f>
        <v>9.0095513628709462E-2</v>
      </c>
      <c r="I17" s="32"/>
      <c r="J17" s="33">
        <f>IFERROR(J16/J$9,"na")</f>
        <v>8.1590337082904169E-2</v>
      </c>
      <c r="K17" s="32"/>
      <c r="L17" s="33">
        <f>IFERROR(L16/L$9,"na")</f>
        <v>7.7631734691299067E-2</v>
      </c>
      <c r="M17" s="32"/>
      <c r="N17" s="33">
        <f>IFERROR(N16/N$9,"na")</f>
        <v>7.159108723953897E-2</v>
      </c>
      <c r="O17" s="32"/>
      <c r="P17" s="33">
        <f>IFERROR(P16/P$9,"na")</f>
        <v>8.2640708552186956E-2</v>
      </c>
      <c r="Q17" s="52"/>
      <c r="R17" s="45">
        <f>IFERROR(R16/R$9,"na")</f>
        <v>6.8167086393410084E-2</v>
      </c>
      <c r="S17" s="32"/>
      <c r="T17" s="33">
        <f>IF(AND(T$6&gt;='Financing Inputs'!$T$5,T$6&lt;='Financing Inputs'!$T$19),'Operating Inputs'!BU$20,0)</f>
        <v>4.8000000000000001E-2</v>
      </c>
      <c r="U17" s="32"/>
      <c r="V17" s="33">
        <f>IF(AND(V$6&gt;='Financing Inputs'!$T$5,V$6&lt;='Financing Inputs'!$T$19),'Operating Inputs'!BW$20,0)</f>
        <v>4.8000000000000001E-2</v>
      </c>
      <c r="W17" s="32"/>
      <c r="X17" s="33">
        <f>IF(AND(X$6&gt;='Financing Inputs'!$T$5,X$6&lt;='Financing Inputs'!$T$19),'Operating Inputs'!BY$20,0)</f>
        <v>4.8000000000000001E-2</v>
      </c>
      <c r="Y17" s="32"/>
      <c r="Z17" s="33">
        <f>IF(AND(Z$6&gt;='Financing Inputs'!$T$5,Z$6&lt;='Financing Inputs'!$T$19),'Operating Inputs'!CA$20,0)</f>
        <v>4.8000000000000001E-2</v>
      </c>
      <c r="AA17" s="32"/>
      <c r="AB17" s="33">
        <f>IF(AND(AB$6&gt;='Financing Inputs'!$T$5,AB$6&lt;='Financing Inputs'!$T$19),'Operating Inputs'!CC$20,0)</f>
        <v>4.8000000000000001E-2</v>
      </c>
      <c r="AC17" s="32"/>
      <c r="AD17" s="33">
        <f>IF(AND(AD$6&gt;='Financing Inputs'!$T$5,AD$6&lt;='Financing Inputs'!$T$19),'Operating Inputs'!CE$20,0)</f>
        <v>4.8000000000000001E-2</v>
      </c>
      <c r="AE17" s="32"/>
      <c r="AF17" s="33">
        <f>IF(AND(AF$6&gt;='Financing Inputs'!$T$5,AF$6&lt;='Financing Inputs'!$T$19),'Operating Inputs'!CG$20,0)</f>
        <v>4.8000000000000001E-2</v>
      </c>
      <c r="AG17" s="32"/>
      <c r="AH17" s="33">
        <f>IF(AND(AH$6&gt;='Financing Inputs'!$T$5,AH$6&lt;='Financing Inputs'!$T$19),'Operating Inputs'!CI$20,0)</f>
        <v>4.8000000000000001E-2</v>
      </c>
      <c r="AI17" s="32"/>
      <c r="AJ17" s="33">
        <f>IF(AND(AJ$6&gt;='Financing Inputs'!$T$5,AJ$6&lt;='Financing Inputs'!$T$19),'Operating Inputs'!CK$20,0)</f>
        <v>4.8000000000000001E-2</v>
      </c>
      <c r="AK17" s="32"/>
      <c r="AL17" s="33">
        <f>IF(AND(AL$6&gt;='Financing Inputs'!$T$5,AL$6&lt;='Financing Inputs'!$T$19),'Operating Inputs'!CM$20,0)</f>
        <v>4.8000000000000001E-2</v>
      </c>
      <c r="AM17" s="32"/>
      <c r="AN17" s="33">
        <f>IF(AND(AN$6&gt;='Financing Inputs'!$T$5,AN$6&lt;='Financing Inputs'!$T$19),'Operating Inputs'!CO$20,0)</f>
        <v>4.8000000000000001E-2</v>
      </c>
      <c r="AO17" s="32"/>
    </row>
    <row r="18" spans="2:42" s="21" customFormat="1">
      <c r="B18" s="53" t="s">
        <v>77</v>
      </c>
      <c r="H18" s="30">
        <f>-H204</f>
        <v>0</v>
      </c>
      <c r="I18" s="28"/>
      <c r="J18" s="30">
        <f>-J204</f>
        <v>0</v>
      </c>
      <c r="K18" s="28"/>
      <c r="L18" s="30">
        <f>-L204</f>
        <v>0</v>
      </c>
      <c r="M18" s="28"/>
      <c r="N18" s="30">
        <f>-N204</f>
        <v>6.3545499999999997</v>
      </c>
      <c r="O18" s="28"/>
      <c r="P18" s="30">
        <f>-P204</f>
        <v>0</v>
      </c>
      <c r="Q18" s="28"/>
      <c r="R18" s="30">
        <f>-R204</f>
        <v>0</v>
      </c>
      <c r="S18" s="28"/>
      <c r="T18" s="54">
        <v>0</v>
      </c>
      <c r="U18" s="28"/>
      <c r="V18" s="54">
        <v>0</v>
      </c>
      <c r="W18" s="28"/>
      <c r="X18" s="54">
        <v>0</v>
      </c>
      <c r="Y18" s="28"/>
      <c r="Z18" s="54">
        <v>0</v>
      </c>
      <c r="AA18" s="28"/>
      <c r="AB18" s="54">
        <v>0</v>
      </c>
      <c r="AC18" s="28"/>
      <c r="AD18" s="54">
        <v>0</v>
      </c>
      <c r="AE18" s="28"/>
      <c r="AF18" s="54">
        <v>0</v>
      </c>
      <c r="AG18" s="28"/>
      <c r="AH18" s="54">
        <v>0</v>
      </c>
      <c r="AI18" s="28"/>
      <c r="AJ18" s="54">
        <v>0</v>
      </c>
      <c r="AK18" s="28"/>
      <c r="AL18" s="54">
        <v>0</v>
      </c>
      <c r="AM18" s="28"/>
      <c r="AN18" s="54">
        <v>0</v>
      </c>
      <c r="AO18" s="31"/>
    </row>
    <row r="19" spans="2:42" s="21" customFormat="1">
      <c r="B19" s="47" t="s">
        <v>4</v>
      </c>
      <c r="H19" s="33">
        <f>IFERROR(H18/H$9,"na")</f>
        <v>0</v>
      </c>
      <c r="I19" s="32"/>
      <c r="J19" s="33">
        <f>IFERROR(J18/J$9,"na")</f>
        <v>0</v>
      </c>
      <c r="K19" s="32"/>
      <c r="L19" s="33">
        <f>IFERROR(L18/L$9,"na")</f>
        <v>0</v>
      </c>
      <c r="M19" s="32"/>
      <c r="N19" s="33">
        <f>IFERROR(N18/N$9,"na")</f>
        <v>9.1186073300570519E-3</v>
      </c>
      <c r="O19" s="32"/>
      <c r="P19" s="33">
        <f>IFERROR(P18/P$9,"na")</f>
        <v>0</v>
      </c>
      <c r="Q19" s="52"/>
      <c r="R19" s="45">
        <f>IFERROR(R18/R$9,"na")</f>
        <v>0</v>
      </c>
      <c r="S19" s="32"/>
      <c r="T19" s="33">
        <f>IFERROR(T18/T$9,"na")</f>
        <v>0</v>
      </c>
      <c r="U19" s="32"/>
      <c r="V19" s="33">
        <f>IFERROR(V18/V$9,"na")</f>
        <v>0</v>
      </c>
      <c r="W19" s="32"/>
      <c r="X19" s="33">
        <f>IFERROR(X18/X$9,"na")</f>
        <v>0</v>
      </c>
      <c r="Y19" s="32"/>
      <c r="Z19" s="33">
        <f>IFERROR(Z18/Z$9,"na")</f>
        <v>0</v>
      </c>
      <c r="AA19" s="32"/>
      <c r="AB19" s="33">
        <f>IFERROR(AB18/AB$9,"na")</f>
        <v>0</v>
      </c>
      <c r="AC19" s="32"/>
      <c r="AD19" s="33">
        <f>IFERROR(AD18/AD$9,"na")</f>
        <v>0</v>
      </c>
      <c r="AE19" s="32"/>
      <c r="AF19" s="33">
        <f>IFERROR(AF18/AF$9,"na")</f>
        <v>0</v>
      </c>
      <c r="AG19" s="32"/>
      <c r="AH19" s="33">
        <f>IFERROR(AH18/AH$9,"na")</f>
        <v>0</v>
      </c>
      <c r="AI19" s="32"/>
      <c r="AJ19" s="33">
        <f>IFERROR(AJ18/AJ$9,"na")</f>
        <v>0</v>
      </c>
      <c r="AK19" s="32"/>
      <c r="AL19" s="33">
        <f>IFERROR(AL18/AL$9,"na")</f>
        <v>0</v>
      </c>
      <c r="AM19" s="32"/>
      <c r="AN19" s="33">
        <f>IFERROR(AN18/AN$9,"na")</f>
        <v>0</v>
      </c>
      <c r="AO19" s="32"/>
    </row>
    <row r="20" spans="2:42" s="21" customFormat="1">
      <c r="B20" s="53" t="s">
        <v>35</v>
      </c>
      <c r="H20" s="30">
        <f>H225</f>
        <v>10.33315</v>
      </c>
      <c r="I20" s="28"/>
      <c r="J20" s="30">
        <f>J225</f>
        <v>9.4287500000000009</v>
      </c>
      <c r="K20" s="28"/>
      <c r="L20" s="30">
        <f>L225</f>
        <v>10.895549999999998</v>
      </c>
      <c r="M20" s="28"/>
      <c r="N20" s="30">
        <f>N225</f>
        <v>8.1395999999999997</v>
      </c>
      <c r="O20" s="28"/>
      <c r="P20" s="30">
        <f>P225</f>
        <v>7.3045499999999999</v>
      </c>
      <c r="Q20" s="28"/>
      <c r="R20" s="30">
        <f>R225</f>
        <v>6.1844999999999999</v>
      </c>
      <c r="S20" s="28"/>
      <c r="T20" s="30">
        <f>R20</f>
        <v>6.1844999999999999</v>
      </c>
      <c r="U20" s="55"/>
      <c r="V20" s="54">
        <v>0</v>
      </c>
      <c r="W20" s="55"/>
      <c r="X20" s="54">
        <v>0</v>
      </c>
      <c r="Y20" s="55"/>
      <c r="Z20" s="54">
        <v>0</v>
      </c>
      <c r="AA20" s="55"/>
      <c r="AB20" s="54">
        <v>0</v>
      </c>
      <c r="AC20" s="55"/>
      <c r="AD20" s="54">
        <v>0</v>
      </c>
      <c r="AE20" s="55"/>
      <c r="AF20" s="54">
        <v>0</v>
      </c>
      <c r="AG20" s="55"/>
      <c r="AH20" s="54">
        <v>0</v>
      </c>
      <c r="AI20" s="55"/>
      <c r="AJ20" s="54">
        <v>0</v>
      </c>
      <c r="AK20" s="55"/>
      <c r="AL20" s="54">
        <v>0</v>
      </c>
      <c r="AM20" s="55"/>
      <c r="AN20" s="54">
        <v>0</v>
      </c>
      <c r="AO20" s="55"/>
    </row>
    <row r="21" spans="2:42" s="21" customFormat="1">
      <c r="B21" s="47" t="s">
        <v>4</v>
      </c>
      <c r="H21" s="33">
        <f>IFERROR(H20/H$9,"na")</f>
        <v>1.8708837375705861E-2</v>
      </c>
      <c r="I21" s="32"/>
      <c r="J21" s="33">
        <f>IFERROR(J20/J$9,"na")</f>
        <v>1.3415461640565654E-2</v>
      </c>
      <c r="K21" s="32"/>
      <c r="L21" s="33">
        <f>IFERROR(L20/L$9,"na")</f>
        <v>1.5253175583747499E-2</v>
      </c>
      <c r="M21" s="32"/>
      <c r="N21" s="33">
        <f>IFERROR(N20/N$9,"na")</f>
        <v>1.1680105786205534E-2</v>
      </c>
      <c r="O21" s="32"/>
      <c r="P21" s="33">
        <f>IFERROR(P20/P$9,"na")</f>
        <v>1.1395703157420473E-2</v>
      </c>
      <c r="Q21" s="52"/>
      <c r="R21" s="45">
        <f>IFERROR(R20/R$9,"na")</f>
        <v>5.0475759229853109E-3</v>
      </c>
      <c r="S21" s="32"/>
      <c r="T21" s="33">
        <f>IFERROR(T20/T$9,"na")</f>
        <v>4.9795444939874289E-3</v>
      </c>
      <c r="U21" s="32"/>
      <c r="V21" s="33">
        <f>IFERROR(V20/V$9,"na")</f>
        <v>0</v>
      </c>
      <c r="W21" s="32"/>
      <c r="X21" s="33">
        <f>IFERROR(X20/X$9,"na")</f>
        <v>0</v>
      </c>
      <c r="Y21" s="32"/>
      <c r="Z21" s="33">
        <f>IFERROR(Z20/Z$9,"na")</f>
        <v>0</v>
      </c>
      <c r="AA21" s="32"/>
      <c r="AB21" s="33">
        <f>IFERROR(AB20/AB$9,"na")</f>
        <v>0</v>
      </c>
      <c r="AC21" s="32"/>
      <c r="AD21" s="33">
        <f>IFERROR(AD20/AD$9,"na")</f>
        <v>0</v>
      </c>
      <c r="AE21" s="32"/>
      <c r="AF21" s="33">
        <f>IFERROR(AF20/AF$9,"na")</f>
        <v>0</v>
      </c>
      <c r="AG21" s="32"/>
      <c r="AH21" s="33">
        <f>IFERROR(AH20/AH$9,"na")</f>
        <v>0</v>
      </c>
      <c r="AI21" s="32"/>
      <c r="AJ21" s="33">
        <f>IFERROR(AJ20/AJ$9,"na")</f>
        <v>0</v>
      </c>
      <c r="AK21" s="32"/>
      <c r="AL21" s="33">
        <f>IFERROR(AL20/AL$9,"na")</f>
        <v>0</v>
      </c>
      <c r="AM21" s="32"/>
      <c r="AN21" s="33">
        <f>IFERROR(AN20/AN$9,"na")</f>
        <v>0</v>
      </c>
      <c r="AO21" s="32"/>
    </row>
    <row r="22" spans="2:42" s="21" customFormat="1">
      <c r="B22" s="53" t="s">
        <v>93</v>
      </c>
      <c r="H22" s="30">
        <f>H222</f>
        <v>103.30775</v>
      </c>
      <c r="I22" s="28"/>
      <c r="J22" s="30">
        <f>J222</f>
        <v>104.99590000000001</v>
      </c>
      <c r="K22" s="28"/>
      <c r="L22" s="30">
        <f>L222</f>
        <v>107.08399999999999</v>
      </c>
      <c r="M22" s="28"/>
      <c r="N22" s="30">
        <f>N222</f>
        <v>127.02355</v>
      </c>
      <c r="O22" s="28"/>
      <c r="P22" s="30">
        <f>P222</f>
        <v>134.4383</v>
      </c>
      <c r="Q22" s="28"/>
      <c r="R22" s="30">
        <f>R222</f>
        <v>155.9102</v>
      </c>
      <c r="S22" s="28"/>
      <c r="T22" s="30">
        <f>IF(AND(T$6&gt;='Financing Inputs'!$T$5,T$6&lt;='Financing Inputs'!$T$19),$R$22,0)</f>
        <v>155.9102</v>
      </c>
      <c r="U22" s="28"/>
      <c r="V22" s="30">
        <f>IF(AND(V$6&gt;='Financing Inputs'!$T$5,V$6&lt;='Financing Inputs'!$T$19),$R$22,0)</f>
        <v>155.9102</v>
      </c>
      <c r="W22" s="28"/>
      <c r="X22" s="30">
        <f>IF(AND(X$6&gt;='Financing Inputs'!$T$5,X$6&lt;='Financing Inputs'!$T$19),$R$22,0)</f>
        <v>155.9102</v>
      </c>
      <c r="Y22" s="28"/>
      <c r="Z22" s="30">
        <f>IF(AND(Z$6&gt;='Financing Inputs'!$T$5,Z$6&lt;='Financing Inputs'!$T$19),$R$22,0)</f>
        <v>155.9102</v>
      </c>
      <c r="AA22" s="28"/>
      <c r="AB22" s="30">
        <f>IF(AND(AB$6&gt;='Financing Inputs'!$T$5,AB$6&lt;='Financing Inputs'!$T$19),$R$22,0)</f>
        <v>155.9102</v>
      </c>
      <c r="AC22" s="28"/>
      <c r="AD22" s="30">
        <f>IF(AND(AD$6&gt;='Financing Inputs'!$T$5,AD$6&lt;='Financing Inputs'!$T$19),$R$22,0)</f>
        <v>155.9102</v>
      </c>
      <c r="AE22" s="28"/>
      <c r="AF22" s="30">
        <f>IF(AND(AF$6&gt;='Financing Inputs'!$T$5,AF$6&lt;='Financing Inputs'!$T$19),$R$22,0)</f>
        <v>155.9102</v>
      </c>
      <c r="AG22" s="28"/>
      <c r="AH22" s="30">
        <f>IF(AND(AH$6&gt;='Financing Inputs'!$T$5,AH$6&lt;='Financing Inputs'!$T$19),$R$22,0)</f>
        <v>155.9102</v>
      </c>
      <c r="AI22" s="28"/>
      <c r="AJ22" s="30">
        <f>IF(AND(AJ$6&gt;='Financing Inputs'!$T$5,AJ$6&lt;='Financing Inputs'!$T$19),$R$22,0)</f>
        <v>155.9102</v>
      </c>
      <c r="AK22" s="28"/>
      <c r="AL22" s="30">
        <f>IF(AND(AL$6&gt;='Financing Inputs'!$T$5,AL$6&lt;='Financing Inputs'!$T$19),$R$22,0)</f>
        <v>155.9102</v>
      </c>
      <c r="AM22" s="28"/>
      <c r="AN22" s="30">
        <f>IF(AND(AN$6&gt;='Financing Inputs'!$T$5,AN$6&lt;='Financing Inputs'!$T$19),$R$22,0)</f>
        <v>155.9102</v>
      </c>
      <c r="AO22" s="31"/>
    </row>
    <row r="23" spans="2:42" s="38" customFormat="1">
      <c r="B23" s="37" t="s">
        <v>23</v>
      </c>
      <c r="C23" s="37"/>
      <c r="D23" s="37"/>
      <c r="E23" s="37"/>
      <c r="F23" s="37"/>
      <c r="H23" s="56">
        <f>+H13-H16-H20-H18-H22</f>
        <v>-1.036449999999931</v>
      </c>
      <c r="J23" s="56">
        <f>+J13-J16-J20-J18-J22</f>
        <v>48.827149999999961</v>
      </c>
      <c r="L23" s="56">
        <f>+L13-L16-L20-L18-L22</f>
        <v>64.597150000000042</v>
      </c>
      <c r="N23" s="56">
        <f>+N13-N16-N20-N18-N22</f>
        <v>11.529200000000003</v>
      </c>
      <c r="P23" s="56">
        <f>+P13-P16-P20-P18-P22</f>
        <v>-45.653200000000012</v>
      </c>
      <c r="Q23" s="58"/>
      <c r="R23" s="57">
        <f>+R13-R16-R20-R18-R22</f>
        <v>100.63255000000012</v>
      </c>
      <c r="T23" s="56">
        <f>+T13-T16-T20-T18-T22</f>
        <v>150.88452970299991</v>
      </c>
      <c r="V23" s="56">
        <f>+V13-V16-V20-V18-V22</f>
        <v>167.69165202939999</v>
      </c>
      <c r="X23" s="56">
        <f>+X13-X16-X20-X18-X22</f>
        <v>189.75308881093244</v>
      </c>
      <c r="Z23" s="56">
        <f>+Z13-Z16-Z20-Z18-Z22</f>
        <v>211.34646913928398</v>
      </c>
      <c r="AB23" s="56">
        <f>+AB13-AB16-AB20-AB18-AB22</f>
        <v>230.38739658987143</v>
      </c>
      <c r="AD23" s="56">
        <f>+AD13-AD16-AD20-AD18-AD22</f>
        <v>248.11105435149463</v>
      </c>
      <c r="AF23" s="56">
        <f>+AF13-AF16-AF20-AF18-AF22</f>
        <v>239.36611443875645</v>
      </c>
      <c r="AH23" s="56">
        <f>+AH13-AH16-AH20-AH18-AH22</f>
        <v>230.84787012760833</v>
      </c>
      <c r="AJ23" s="56">
        <f>+AJ13-AJ16-AJ20-AJ18-AJ22</f>
        <v>222.548358695649</v>
      </c>
      <c r="AL23" s="56">
        <f>+AL13-AL16-AL20-AL18-AL22</f>
        <v>214.45978348488066</v>
      </c>
      <c r="AN23" s="56">
        <f>+AN13-AN16-AN20-AN18-AN22</f>
        <v>206.57450579650416</v>
      </c>
      <c r="AP23" s="182"/>
    </row>
    <row r="24" spans="2:42" s="32" customFormat="1">
      <c r="B24" s="47" t="s">
        <v>17</v>
      </c>
      <c r="H24" s="33">
        <f>IFERROR(H23/H$9,"na")</f>
        <v>-1.8765598581312619E-3</v>
      </c>
      <c r="J24" s="33">
        <f>IFERROR(J23/J$9,"na")</f>
        <v>6.9472491883138768E-2</v>
      </c>
      <c r="L24" s="33">
        <f>IFERROR(L23/L$9,"na")</f>
        <v>9.0432485846026645E-2</v>
      </c>
      <c r="N24" s="33">
        <f>IFERROR(N23/N$9,"na")</f>
        <v>1.6544090081861626E-2</v>
      </c>
      <c r="P24" s="33">
        <f>IFERROR(P23/P$9,"na")</f>
        <v>-7.1222774214201895E-2</v>
      </c>
      <c r="Q24" s="52"/>
      <c r="R24" s="45">
        <f>IFERROR(R23/R$9,"na")</f>
        <v>8.2132821804287506E-2</v>
      </c>
      <c r="T24" s="33">
        <f>IFERROR(T23/T$9,"na")</f>
        <v>0.12148698021027664</v>
      </c>
      <c r="V24" s="33">
        <f>IFERROR(V23/V$9,"na")</f>
        <v>0.13058731291676764</v>
      </c>
      <c r="X24" s="33">
        <f>IFERROR(X23/X$9,"na")</f>
        <v>0.1383362940995157</v>
      </c>
      <c r="Z24" s="33">
        <f>IFERROR(Z23/Z$9,"na")</f>
        <v>0.14501931400706763</v>
      </c>
      <c r="AB24" s="33">
        <f>IFERROR(AB23/AB$9,"na")</f>
        <v>0.15029248033941783</v>
      </c>
      <c r="AD24" s="33">
        <f>IFERROR(AD23/AD$9,"na")</f>
        <v>0.15475419924859052</v>
      </c>
      <c r="AF24" s="33">
        <f>IFERROR(AF23/AF$9,"na")</f>
        <v>0.15260277085970594</v>
      </c>
      <c r="AH24" s="33">
        <f>IFERROR(AH23/AH$9,"na")</f>
        <v>0.15041357314913506</v>
      </c>
      <c r="AJ24" s="33">
        <f>IFERROR(AJ23/AJ$9,"na")</f>
        <v>0.14818580555976818</v>
      </c>
      <c r="AL24" s="33">
        <f>IFERROR(AL23/AL$9,"na")</f>
        <v>0.14591858910833178</v>
      </c>
      <c r="AN24" s="33">
        <f>IFERROR(AN23/AN$9,"na")</f>
        <v>0.14361095689908443</v>
      </c>
      <c r="AP24" s="183"/>
    </row>
    <row r="25" spans="2:42" s="21" customFormat="1" ht="5.0999999999999996" customHeight="1">
      <c r="Q25" s="24"/>
      <c r="R25" s="24"/>
    </row>
    <row r="26" spans="2:42" s="21" customFormat="1">
      <c r="B26" s="59" t="s">
        <v>133</v>
      </c>
      <c r="H26" s="60">
        <f>H22</f>
        <v>103.30775</v>
      </c>
      <c r="I26" s="61"/>
      <c r="J26" s="60">
        <f>J22</f>
        <v>104.99590000000001</v>
      </c>
      <c r="K26" s="61"/>
      <c r="L26" s="60">
        <f>L22</f>
        <v>107.08399999999999</v>
      </c>
      <c r="M26" s="61"/>
      <c r="N26" s="60">
        <f>N22</f>
        <v>127.02355</v>
      </c>
      <c r="O26" s="61"/>
      <c r="P26" s="60">
        <f>P22</f>
        <v>134.4383</v>
      </c>
      <c r="Q26" s="31"/>
      <c r="R26" s="60">
        <f>R22</f>
        <v>155.9102</v>
      </c>
      <c r="S26" s="61"/>
      <c r="T26" s="60">
        <f>T22</f>
        <v>155.9102</v>
      </c>
      <c r="U26" s="61"/>
      <c r="V26" s="60">
        <f>V22</f>
        <v>155.9102</v>
      </c>
      <c r="W26" s="61"/>
      <c r="X26" s="60">
        <f>X22</f>
        <v>155.9102</v>
      </c>
      <c r="Y26" s="61"/>
      <c r="Z26" s="60">
        <f>Z22</f>
        <v>155.9102</v>
      </c>
      <c r="AA26" s="61"/>
      <c r="AB26" s="60">
        <f>AB22</f>
        <v>155.9102</v>
      </c>
      <c r="AC26" s="61"/>
      <c r="AD26" s="60">
        <f>AD22</f>
        <v>155.9102</v>
      </c>
      <c r="AE26" s="61"/>
      <c r="AF26" s="60">
        <f>AF22</f>
        <v>155.9102</v>
      </c>
      <c r="AG26" s="61"/>
      <c r="AH26" s="60">
        <f>AH22</f>
        <v>155.9102</v>
      </c>
      <c r="AI26" s="61"/>
      <c r="AJ26" s="60">
        <f>AJ22</f>
        <v>155.9102</v>
      </c>
      <c r="AK26" s="61"/>
      <c r="AL26" s="60">
        <f>AL22</f>
        <v>155.9102</v>
      </c>
      <c r="AM26" s="61"/>
      <c r="AN26" s="60">
        <f>AN22</f>
        <v>155.9102</v>
      </c>
      <c r="AO26" s="61"/>
    </row>
    <row r="27" spans="2:42" s="21" customFormat="1">
      <c r="B27" s="59" t="s">
        <v>148</v>
      </c>
      <c r="H27" s="60">
        <f>H18</f>
        <v>0</v>
      </c>
      <c r="I27" s="61"/>
      <c r="J27" s="60">
        <f>J18</f>
        <v>0</v>
      </c>
      <c r="K27" s="61"/>
      <c r="L27" s="60">
        <f>L18</f>
        <v>0</v>
      </c>
      <c r="M27" s="61"/>
      <c r="N27" s="60">
        <f>N18</f>
        <v>6.3545499999999997</v>
      </c>
      <c r="O27" s="61"/>
      <c r="P27" s="60">
        <f>P18</f>
        <v>0</v>
      </c>
      <c r="Q27" s="31"/>
      <c r="R27" s="30">
        <f>R18</f>
        <v>0</v>
      </c>
      <c r="S27" s="61"/>
      <c r="T27" s="60">
        <f>T18</f>
        <v>0</v>
      </c>
      <c r="U27" s="61"/>
      <c r="V27" s="60">
        <f>V18</f>
        <v>0</v>
      </c>
      <c r="W27" s="61"/>
      <c r="X27" s="60">
        <f>X18</f>
        <v>0</v>
      </c>
      <c r="Y27" s="61"/>
      <c r="Z27" s="60">
        <f>Z18</f>
        <v>0</v>
      </c>
      <c r="AA27" s="61"/>
      <c r="AB27" s="60">
        <f>AB18</f>
        <v>0</v>
      </c>
      <c r="AC27" s="61"/>
      <c r="AD27" s="60">
        <f>AD18</f>
        <v>0</v>
      </c>
      <c r="AE27" s="61"/>
      <c r="AF27" s="60">
        <f>AF18</f>
        <v>0</v>
      </c>
      <c r="AG27" s="61"/>
      <c r="AH27" s="60">
        <f>AH18</f>
        <v>0</v>
      </c>
      <c r="AI27" s="61"/>
      <c r="AJ27" s="60">
        <f>AJ18</f>
        <v>0</v>
      </c>
      <c r="AK27" s="61"/>
      <c r="AL27" s="60">
        <f>AL18</f>
        <v>0</v>
      </c>
      <c r="AM27" s="61"/>
      <c r="AN27" s="60">
        <f>AN18</f>
        <v>0</v>
      </c>
      <c r="AO27" s="61"/>
    </row>
    <row r="28" spans="2:42" s="21" customFormat="1">
      <c r="B28" s="59" t="s">
        <v>36</v>
      </c>
      <c r="H28" s="60">
        <f>H20</f>
        <v>10.33315</v>
      </c>
      <c r="I28" s="61"/>
      <c r="J28" s="60">
        <f>J20</f>
        <v>9.4287500000000009</v>
      </c>
      <c r="K28" s="61"/>
      <c r="L28" s="60">
        <f>L20</f>
        <v>10.895549999999998</v>
      </c>
      <c r="M28" s="61"/>
      <c r="N28" s="60">
        <f>N20</f>
        <v>8.1395999999999997</v>
      </c>
      <c r="O28" s="61"/>
      <c r="P28" s="60">
        <f>P20</f>
        <v>7.3045499999999999</v>
      </c>
      <c r="R28" s="60">
        <f>R20</f>
        <v>6.1844999999999999</v>
      </c>
      <c r="T28" s="60">
        <f>T20</f>
        <v>6.1844999999999999</v>
      </c>
      <c r="V28" s="60">
        <f>V20</f>
        <v>0</v>
      </c>
      <c r="X28" s="60">
        <f>X20</f>
        <v>0</v>
      </c>
      <c r="Z28" s="60">
        <f>Z20</f>
        <v>0</v>
      </c>
      <c r="AB28" s="60">
        <f>AB20</f>
        <v>0</v>
      </c>
      <c r="AD28" s="60">
        <f>AD20</f>
        <v>0</v>
      </c>
      <c r="AF28" s="60">
        <f>AF20</f>
        <v>0</v>
      </c>
      <c r="AH28" s="60">
        <f>AH20</f>
        <v>0</v>
      </c>
      <c r="AJ28" s="60">
        <f>AJ20</f>
        <v>0</v>
      </c>
      <c r="AL28" s="60">
        <f>AL20</f>
        <v>0</v>
      </c>
      <c r="AN28" s="60">
        <f>AN20</f>
        <v>0</v>
      </c>
      <c r="AO28" s="61"/>
    </row>
    <row r="29" spans="2:42" s="38" customFormat="1">
      <c r="B29" s="37" t="s">
        <v>19</v>
      </c>
      <c r="C29" s="37"/>
      <c r="D29" s="37"/>
      <c r="E29" s="37"/>
      <c r="F29" s="37"/>
      <c r="H29" s="56">
        <f>+H23+H26+H27+H28</f>
        <v>112.60445000000007</v>
      </c>
      <c r="J29" s="56">
        <f>+J23+J26+J27+J28</f>
        <v>163.25179999999997</v>
      </c>
      <c r="L29" s="56">
        <f>+L23+L26+L27+L28</f>
        <v>182.57670000000002</v>
      </c>
      <c r="N29" s="56">
        <f>+N23+N26+N27+N28</f>
        <v>153.04689999999999</v>
      </c>
      <c r="P29" s="56">
        <f>+P23+P26+P27+P28</f>
        <v>96.089649999999992</v>
      </c>
      <c r="Q29" s="58"/>
      <c r="R29" s="57">
        <f>+R23+R26+R27+R28</f>
        <v>262.72725000000014</v>
      </c>
      <c r="T29" s="56">
        <f>+T23+T26+T27+T28</f>
        <v>312.97922970299993</v>
      </c>
      <c r="V29" s="56">
        <f>+V23+V26+V27+V28</f>
        <v>323.60185202939999</v>
      </c>
      <c r="X29" s="56">
        <f>+X23+X26+X27+X28</f>
        <v>345.66328881093244</v>
      </c>
      <c r="Z29" s="56">
        <f>+Z23+Z26+Z27+Z28</f>
        <v>367.25666913928399</v>
      </c>
      <c r="AB29" s="56">
        <f>+AB23+AB26+AB27+AB28</f>
        <v>386.29759658987143</v>
      </c>
      <c r="AD29" s="56">
        <f>+AD23+AD26+AD27+AD28</f>
        <v>404.02125435149463</v>
      </c>
      <c r="AF29" s="56">
        <f>+AF23+AF26+AF27+AF28</f>
        <v>395.27631443875646</v>
      </c>
      <c r="AH29" s="56">
        <f>+AH23+AH26+AH27+AH28</f>
        <v>386.75807012760833</v>
      </c>
      <c r="AJ29" s="56">
        <f>+AJ23+AJ26+AJ27+AJ28</f>
        <v>378.458558695649</v>
      </c>
      <c r="AL29" s="56">
        <f>+AL23+AL26+AL27+AL28</f>
        <v>370.36998348488066</v>
      </c>
      <c r="AN29" s="56">
        <f>+AN23+AN26+AN27+AN28</f>
        <v>362.48470579650416</v>
      </c>
      <c r="AO29" s="62"/>
    </row>
    <row r="30" spans="2:42" s="32" customFormat="1">
      <c r="B30" s="47" t="s">
        <v>17</v>
      </c>
      <c r="H30" s="33">
        <f>IFERROR(H29/H$9,"na")</f>
        <v>0.20387765036129379</v>
      </c>
      <c r="J30" s="33">
        <f>IFERROR(J29/J$9,"na")</f>
        <v>0.23227874963842457</v>
      </c>
      <c r="L30" s="33">
        <f>IFERROR(L29/L$9,"na")</f>
        <v>0.25559741936856722</v>
      </c>
      <c r="N30" s="33">
        <f>IFERROR(N29/N$9,"na")</f>
        <v>0.21961816087409944</v>
      </c>
      <c r="P30" s="33">
        <f>IFERROR(P29/P$9,"na")</f>
        <v>0.14990781470459208</v>
      </c>
      <c r="Q30" s="52"/>
      <c r="R30" s="45">
        <f>IFERROR(R29/R$9,"na")</f>
        <v>0.21442893385271944</v>
      </c>
      <c r="T30" s="33">
        <f>IFERROR(T29/T$9,"na")</f>
        <v>0.252</v>
      </c>
      <c r="V30" s="33">
        <f>IFERROR(V29/V$9,"na")</f>
        <v>0.252</v>
      </c>
      <c r="X30" s="33">
        <f>IFERROR(X29/X$9,"na")</f>
        <v>0.25200000000000006</v>
      </c>
      <c r="Z30" s="33">
        <f>IFERROR(Z29/Z$9,"na")</f>
        <v>0.25200000000000006</v>
      </c>
      <c r="AB30" s="33">
        <f>IFERROR(AB29/AB$9,"na")</f>
        <v>0.25200000000000006</v>
      </c>
      <c r="AD30" s="33">
        <f>IFERROR(AD29/AD$9,"na")</f>
        <v>0.25200000000000011</v>
      </c>
      <c r="AF30" s="33">
        <f>IFERROR(AF29/AF$9,"na")</f>
        <v>0.252</v>
      </c>
      <c r="AH30" s="33">
        <f>IFERROR(AH29/AH$9,"na")</f>
        <v>0.25200000000000011</v>
      </c>
      <c r="AJ30" s="33">
        <f>IFERROR(AJ29/AJ$9,"na")</f>
        <v>0.252</v>
      </c>
      <c r="AL30" s="33">
        <f>IFERROR(AL29/AL$9,"na")</f>
        <v>0.252</v>
      </c>
      <c r="AN30" s="33">
        <f>IFERROR(AN29/AN$9,"na")</f>
        <v>0.25200000000000006</v>
      </c>
    </row>
    <row r="31" spans="2:42" s="32" customFormat="1">
      <c r="B31" s="44" t="s">
        <v>1</v>
      </c>
      <c r="H31" s="35" t="s">
        <v>0</v>
      </c>
      <c r="I31" s="36"/>
      <c r="J31" s="33">
        <f>IFERROR((J29/H29-1),"na")</f>
        <v>0.44978106993107181</v>
      </c>
      <c r="K31" s="36"/>
      <c r="L31" s="33">
        <f>IFERROR((L29/J29-1),"na")</f>
        <v>0.11837480505574849</v>
      </c>
      <c r="M31" s="36"/>
      <c r="N31" s="33">
        <f>IFERROR((N29/L29-1),"na")</f>
        <v>-0.16173914853319193</v>
      </c>
      <c r="O31" s="36"/>
      <c r="P31" s="33">
        <f>IFERROR((P29/N29-1),"na")</f>
        <v>-0.37215552879542158</v>
      </c>
      <c r="Q31" s="46"/>
      <c r="R31" s="33">
        <f>IFERROR((R29/P29-1),"na")</f>
        <v>1.7341888538463839</v>
      </c>
      <c r="S31" s="36"/>
      <c r="T31" s="33">
        <f>IFERROR((T29/R29-1),"na")</f>
        <v>0.19127052752616924</v>
      </c>
      <c r="U31" s="36"/>
      <c r="V31" s="33">
        <f>IFERROR((V29/T29-1),"na")</f>
        <v>3.3940342739294138E-2</v>
      </c>
      <c r="W31" s="36"/>
      <c r="X31" s="33">
        <f>IFERROR((X29/V29-1),"na")</f>
        <v>6.8174630779084922E-2</v>
      </c>
      <c r="Y31" s="36"/>
      <c r="Z31" s="33">
        <f>IFERROR((Z29/X29-1),"na")</f>
        <v>6.2469406000943639E-2</v>
      </c>
      <c r="AA31" s="36"/>
      <c r="AB31" s="33">
        <f>IFERROR((AB29/Z29-1),"na")</f>
        <v>5.1846376255637372E-2</v>
      </c>
      <c r="AC31" s="36"/>
      <c r="AD31" s="33">
        <f>IFERROR((AD29/AB29-1),"na")</f>
        <v>4.5880838809463809E-2</v>
      </c>
      <c r="AE31" s="36"/>
      <c r="AF31" s="33">
        <f>IFERROR((AF29/AD29-1),"na")</f>
        <v>-2.1644752147445545E-2</v>
      </c>
      <c r="AG31" s="36"/>
      <c r="AH31" s="33">
        <f>IFERROR((AH29/AF29-1),"na")</f>
        <v>-2.1550100524598825E-2</v>
      </c>
      <c r="AI31" s="36"/>
      <c r="AJ31" s="33">
        <f>IFERROR((AJ29/AH29-1),"na")</f>
        <v>-2.145918100486166E-2</v>
      </c>
      <c r="AK31" s="36"/>
      <c r="AL31" s="33">
        <f>IFERROR((AL29/AJ29-1),"na")</f>
        <v>-2.1372419846034107E-2</v>
      </c>
      <c r="AM31" s="36"/>
      <c r="AN31" s="33">
        <f>IFERROR((AN29/AL29-1),"na")</f>
        <v>-2.1290271998239296E-2</v>
      </c>
      <c r="AO31" s="21"/>
    </row>
    <row r="32" spans="2:42" s="21" customFormat="1" ht="5.0999999999999996" customHeight="1"/>
    <row r="33" spans="2:81" s="21" customFormat="1">
      <c r="B33" s="64" t="s">
        <v>9</v>
      </c>
      <c r="H33" s="30">
        <f>H247</f>
        <v>-219.57065</v>
      </c>
      <c r="I33" s="28"/>
      <c r="J33" s="30">
        <f>J247</f>
        <v>-130.22884999999999</v>
      </c>
      <c r="K33" s="28"/>
      <c r="L33" s="30">
        <f>L247</f>
        <v>-133.81130000000002</v>
      </c>
      <c r="M33" s="28"/>
      <c r="N33" s="30">
        <f>N247</f>
        <v>-19.2318</v>
      </c>
      <c r="O33" s="28"/>
      <c r="P33" s="30">
        <f>P247</f>
        <v>-7.905899999999999</v>
      </c>
      <c r="Q33" s="28"/>
      <c r="R33" s="30">
        <f>R247</f>
        <v>-18.608599999999999</v>
      </c>
      <c r="S33" s="28"/>
      <c r="T33" s="30">
        <f>-IF(AND(T$6&gt;='Financing Inputs'!$T$5,T$6&lt;='Financing Inputs'!$T$19),'Operating Inputs'!BU$22,0)</f>
        <v>-40</v>
      </c>
      <c r="U33" s="28"/>
      <c r="V33" s="30">
        <f>-IF(AND(V$6&gt;='Financing Inputs'!$T$5,V$6&lt;='Financing Inputs'!$T$19),'Operating Inputs'!BW$22,0)</f>
        <v>-40</v>
      </c>
      <c r="W33" s="28"/>
      <c r="X33" s="30">
        <f>-IF(AND(X$6&gt;='Financing Inputs'!$T$5,X$6&lt;='Financing Inputs'!$T$19),'Operating Inputs'!BY$22,0)</f>
        <v>-40</v>
      </c>
      <c r="Y33" s="28"/>
      <c r="Z33" s="30">
        <f>-IF(AND(Z$6&gt;='Financing Inputs'!$T$5,Z$6&lt;='Financing Inputs'!$T$19),'Operating Inputs'!CA$22,0)</f>
        <v>-40</v>
      </c>
      <c r="AA33" s="28"/>
      <c r="AB33" s="30">
        <f>-IF(AND(AB$6&gt;='Financing Inputs'!$T$5,AB$6&lt;='Financing Inputs'!$T$19),'Operating Inputs'!CC$22,0)</f>
        <v>-40</v>
      </c>
      <c r="AC33" s="28"/>
      <c r="AD33" s="30">
        <f>-IF(AND(AD$6&gt;='Financing Inputs'!$T$5,AD$6&lt;='Financing Inputs'!$T$19),'Operating Inputs'!CE$22,0)</f>
        <v>-40</v>
      </c>
      <c r="AE33" s="28"/>
      <c r="AF33" s="30">
        <f>-IF(AND(AF$6&gt;='Financing Inputs'!$T$5,AF$6&lt;='Financing Inputs'!$T$19),'Operating Inputs'!CG$22,0)</f>
        <v>-40</v>
      </c>
      <c r="AG33" s="28"/>
      <c r="AH33" s="30">
        <f>-IF(AND(AH$6&gt;='Financing Inputs'!$T$5,AH$6&lt;='Financing Inputs'!$T$19),'Operating Inputs'!CI$22,0)</f>
        <v>-40</v>
      </c>
      <c r="AI33" s="28"/>
      <c r="AJ33" s="30">
        <f>-IF(AND(AJ$6&gt;='Financing Inputs'!$T$5,AJ$6&lt;='Financing Inputs'!$T$19),'Operating Inputs'!CK$22,0)</f>
        <v>-40</v>
      </c>
      <c r="AK33" s="28"/>
      <c r="AL33" s="30">
        <f>-IF(AND(AL$6&gt;='Financing Inputs'!$T$5,AL$6&lt;='Financing Inputs'!$T$19),'Operating Inputs'!CM$22,0)</f>
        <v>-40</v>
      </c>
      <c r="AM33" s="28"/>
      <c r="AN33" s="30">
        <f>-IF(AND(AN$6&gt;='Financing Inputs'!$T$5,AN$6&lt;='Financing Inputs'!$T$19),'Operating Inputs'!CO$22,0)</f>
        <v>-40</v>
      </c>
      <c r="AO33" s="31"/>
    </row>
    <row r="34" spans="2:81" s="24" customFormat="1">
      <c r="B34" s="65" t="s">
        <v>199</v>
      </c>
      <c r="C34" s="41"/>
      <c r="H34" s="30">
        <f>+H240</f>
        <v>0</v>
      </c>
      <c r="I34" s="30"/>
      <c r="J34" s="30">
        <f>+J240</f>
        <v>0</v>
      </c>
      <c r="K34" s="30"/>
      <c r="L34" s="30">
        <f>+L240</f>
        <v>0</v>
      </c>
      <c r="M34" s="30"/>
      <c r="N34" s="30">
        <f>+N240</f>
        <v>0</v>
      </c>
      <c r="O34" s="30"/>
      <c r="P34" s="30">
        <f>+P240</f>
        <v>-9.1389999999999993</v>
      </c>
      <c r="Q34" s="30"/>
      <c r="R34" s="30">
        <f>+R240</f>
        <v>-59.395899999999997</v>
      </c>
      <c r="S34" s="30"/>
      <c r="T34" s="30">
        <f>-IF(AND(T$6&gt;='Financing Inputs'!$T$5,T$6&lt;='Financing Inputs'!$T$19),'Operating Inputs'!BU$23,0)</f>
        <v>-45</v>
      </c>
      <c r="U34" s="30"/>
      <c r="V34" s="30">
        <f>-IF(AND(V$6&gt;='Financing Inputs'!$T$5,V$6&lt;='Financing Inputs'!$T$19),'Operating Inputs'!BW$23,0)</f>
        <v>-45</v>
      </c>
      <c r="W34" s="30"/>
      <c r="X34" s="30">
        <f>-IF(AND(X$6&gt;='Financing Inputs'!$T$5,X$6&lt;='Financing Inputs'!$T$19),'Operating Inputs'!BY$23,0)</f>
        <v>-45</v>
      </c>
      <c r="Y34" s="30"/>
      <c r="Z34" s="30">
        <f>-IF(AND(Z$6&gt;='Financing Inputs'!$T$5,Z$6&lt;='Financing Inputs'!$T$19),'Operating Inputs'!CA$23,0)</f>
        <v>-45</v>
      </c>
      <c r="AA34" s="30"/>
      <c r="AB34" s="30">
        <f>-IF(AND(AB$6&gt;='Financing Inputs'!$T$5,AB$6&lt;='Financing Inputs'!$T$19),'Operating Inputs'!CC$23,0)</f>
        <v>-45</v>
      </c>
      <c r="AC34" s="30"/>
      <c r="AD34" s="30">
        <f>-IF(AND(AD$6&gt;='Financing Inputs'!$T$5,AD$6&lt;='Financing Inputs'!$T$19),'Operating Inputs'!CE$23,0)</f>
        <v>-45</v>
      </c>
      <c r="AE34" s="30"/>
      <c r="AF34" s="30">
        <f>-IF(AND(AF$6&gt;='Financing Inputs'!$T$5,AF$6&lt;='Financing Inputs'!$T$19),'Operating Inputs'!CG$23,0)</f>
        <v>-45</v>
      </c>
      <c r="AG34" s="30"/>
      <c r="AH34" s="30">
        <f>-IF(AND(AH$6&gt;='Financing Inputs'!$T$5,AH$6&lt;='Financing Inputs'!$T$19),'Operating Inputs'!CI$23,0)</f>
        <v>-45</v>
      </c>
      <c r="AI34" s="30"/>
      <c r="AJ34" s="30">
        <f>-IF(AND(AJ$6&gt;='Financing Inputs'!$T$5,AJ$6&lt;='Financing Inputs'!$T$19),'Operating Inputs'!CK$23,0)</f>
        <v>-45</v>
      </c>
      <c r="AK34" s="30"/>
      <c r="AL34" s="30">
        <f>-IF(AND(AL$6&gt;='Financing Inputs'!$T$5,AL$6&lt;='Financing Inputs'!$T$19),'Operating Inputs'!CM$23,0)</f>
        <v>-45</v>
      </c>
      <c r="AM34" s="30"/>
      <c r="AN34" s="30">
        <f>-IF(AND(AN$6&gt;='Financing Inputs'!$T$5,AN$6&lt;='Financing Inputs'!$T$19),'Operating Inputs'!CO$23,0)</f>
        <v>-45</v>
      </c>
      <c r="AO34" s="67"/>
      <c r="AP34" s="66"/>
      <c r="AQ34" s="67"/>
      <c r="AR34" s="68"/>
      <c r="AS34" s="70"/>
      <c r="AT34" s="70"/>
      <c r="AU34" s="70"/>
      <c r="AV34" s="66"/>
      <c r="AW34" s="67"/>
      <c r="AX34" s="68"/>
      <c r="AY34" s="67"/>
      <c r="AZ34" s="68"/>
      <c r="BA34" s="67"/>
      <c r="BB34" s="66"/>
      <c r="BC34" s="67"/>
      <c r="BD34" s="30"/>
      <c r="BE34" s="67"/>
      <c r="BF34" s="66"/>
      <c r="BG34" s="67"/>
      <c r="BH34" s="66"/>
      <c r="BI34" s="67"/>
      <c r="BJ34" s="66"/>
      <c r="BK34" s="67"/>
      <c r="BL34" s="68"/>
      <c r="BM34" s="67"/>
      <c r="BN34" s="66"/>
      <c r="BO34" s="67"/>
      <c r="BP34" s="68"/>
      <c r="BQ34" s="67"/>
      <c r="BR34" s="68"/>
      <c r="BS34" s="67"/>
      <c r="BT34" s="66"/>
      <c r="BU34" s="67"/>
      <c r="BV34" s="30"/>
      <c r="BW34" s="67"/>
      <c r="BX34" s="66"/>
      <c r="BY34" s="67"/>
      <c r="BZ34" s="30"/>
      <c r="CA34" s="67"/>
      <c r="CB34" s="66"/>
      <c r="CC34" s="67"/>
    </row>
    <row r="35" spans="2:81" s="38" customFormat="1">
      <c r="B35" s="71" t="s">
        <v>198</v>
      </c>
      <c r="C35" s="72"/>
      <c r="D35" s="72"/>
      <c r="E35" s="72"/>
      <c r="F35" s="72"/>
      <c r="H35" s="39">
        <f>SUM(H33:H34)</f>
        <v>-219.57065</v>
      </c>
      <c r="I35" s="30"/>
      <c r="J35" s="39">
        <f>SUM(J33:J34)</f>
        <v>-130.22884999999999</v>
      </c>
      <c r="K35" s="30"/>
      <c r="L35" s="39">
        <f>SUM(L33:L34)</f>
        <v>-133.81130000000002</v>
      </c>
      <c r="M35" s="30"/>
      <c r="N35" s="39">
        <f>SUM(N33:N34)</f>
        <v>-19.2318</v>
      </c>
      <c r="O35" s="30"/>
      <c r="P35" s="39">
        <f>SUM(P33:P34)</f>
        <v>-17.044899999999998</v>
      </c>
      <c r="Q35" s="30"/>
      <c r="R35" s="39">
        <f>SUM(R33:R34)</f>
        <v>-78.004499999999993</v>
      </c>
      <c r="S35" s="30"/>
      <c r="T35" s="39">
        <f>SUM(T33:T34)</f>
        <v>-85</v>
      </c>
      <c r="U35" s="30"/>
      <c r="V35" s="39">
        <f>SUM(V33:V34)</f>
        <v>-85</v>
      </c>
      <c r="W35" s="30"/>
      <c r="X35" s="39">
        <f>SUM(X33:X34)</f>
        <v>-85</v>
      </c>
      <c r="Y35" s="30"/>
      <c r="Z35" s="39">
        <f>SUM(Z33:Z34)</f>
        <v>-85</v>
      </c>
      <c r="AA35" s="30"/>
      <c r="AB35" s="39">
        <f>SUM(AB33:AB34)</f>
        <v>-85</v>
      </c>
      <c r="AC35" s="30"/>
      <c r="AD35" s="39">
        <f>SUM(AD33:AD34)</f>
        <v>-85</v>
      </c>
      <c r="AE35" s="30"/>
      <c r="AF35" s="39">
        <f>SUM(AF33:AF34)</f>
        <v>-85</v>
      </c>
      <c r="AG35" s="30"/>
      <c r="AH35" s="39">
        <f>SUM(AH33:AH34)</f>
        <v>-85</v>
      </c>
      <c r="AI35" s="30"/>
      <c r="AJ35" s="39">
        <f>SUM(AJ33:AJ34)</f>
        <v>-85</v>
      </c>
      <c r="AK35" s="30"/>
      <c r="AL35" s="39">
        <f>SUM(AL33:AL34)</f>
        <v>-85</v>
      </c>
      <c r="AM35" s="30"/>
      <c r="AN35" s="39">
        <f>SUM(AN33:AN34)</f>
        <v>-85</v>
      </c>
    </row>
    <row r="36" spans="2:81" s="38" customFormat="1">
      <c r="B36" s="37" t="s">
        <v>18</v>
      </c>
      <c r="C36" s="37"/>
      <c r="D36" s="37"/>
      <c r="E36" s="37"/>
      <c r="F36" s="37"/>
      <c r="H36" s="56">
        <f>+H29+H35</f>
        <v>-106.96619999999993</v>
      </c>
      <c r="J36" s="56">
        <f>+J29+J35</f>
        <v>33.02294999999998</v>
      </c>
      <c r="L36" s="56">
        <f>+L29+L35</f>
        <v>48.7654</v>
      </c>
      <c r="N36" s="56">
        <f>+N29+N35</f>
        <v>133.8151</v>
      </c>
      <c r="P36" s="56">
        <f>+P29+P35</f>
        <v>79.044749999999993</v>
      </c>
      <c r="R36" s="56">
        <f>+R29+R35</f>
        <v>184.72275000000013</v>
      </c>
      <c r="T36" s="73">
        <f>+T29+T35</f>
        <v>227.97922970299993</v>
      </c>
      <c r="V36" s="73">
        <f>+V29+V35</f>
        <v>238.60185202939999</v>
      </c>
      <c r="X36" s="73">
        <f>+X29+X35</f>
        <v>260.66328881093244</v>
      </c>
      <c r="Z36" s="73">
        <f>+Z29+Z35</f>
        <v>282.25666913928399</v>
      </c>
      <c r="AB36" s="73">
        <f>+AB29+AB35</f>
        <v>301.29759658987143</v>
      </c>
      <c r="AD36" s="73">
        <f>+AD29+AD35</f>
        <v>319.02125435149463</v>
      </c>
      <c r="AF36" s="73">
        <f>+AF29+AF35</f>
        <v>310.27631443875646</v>
      </c>
      <c r="AH36" s="73">
        <f>+AH29+AH35</f>
        <v>301.75807012760833</v>
      </c>
      <c r="AJ36" s="73">
        <f>+AJ29+AJ35</f>
        <v>293.458558695649</v>
      </c>
      <c r="AL36" s="73">
        <f>+AL29+AL35</f>
        <v>285.36998348488066</v>
      </c>
      <c r="AN36" s="73">
        <f>+AN29+AN35</f>
        <v>277.48470579650416</v>
      </c>
    </row>
    <row r="37" spans="2:81" s="32" customFormat="1">
      <c r="B37" s="47" t="s">
        <v>17</v>
      </c>
      <c r="H37" s="33">
        <f>IFERROR(H36/H$9,"na")</f>
        <v>-0.19366923353452015</v>
      </c>
      <c r="J37" s="33">
        <f>IFERROR(J36/J$9,"na")</f>
        <v>4.6985880311103519E-2</v>
      </c>
      <c r="L37" s="33">
        <f>IFERROR(L36/L$9,"na")</f>
        <v>6.8268899560984114E-2</v>
      </c>
      <c r="N37" s="33">
        <f>IFERROR(N36/N$9,"na")</f>
        <v>0.19202104818316285</v>
      </c>
      <c r="P37" s="33">
        <f>IFERROR(P36/P$9,"na")</f>
        <v>0.12331635859190666</v>
      </c>
      <c r="R37" s="33">
        <f>IFERROR(R36/R$9,"na")</f>
        <v>0.15076434721119503</v>
      </c>
      <c r="T37" s="33">
        <f>IFERROR(T36/T$9,"na")</f>
        <v>0.1835609536762986</v>
      </c>
      <c r="V37" s="33">
        <f>IFERROR(V36/V$9,"na")</f>
        <v>0.18580754817789502</v>
      </c>
      <c r="X37" s="33">
        <f>IFERROR(X36/X$9,"na")</f>
        <v>0.1900321813355306</v>
      </c>
      <c r="Z37" s="33">
        <f>IFERROR(Z36/Z$9,"na")</f>
        <v>0.19367566772796618</v>
      </c>
      <c r="AB37" s="33">
        <f>IFERROR(AB36/AB$9,"na")</f>
        <v>0.19655052221631761</v>
      </c>
      <c r="AD37" s="33">
        <f>IFERROR(AD36/AD$9,"na")</f>
        <v>0.19898298723322913</v>
      </c>
      <c r="AF37" s="33">
        <f>IFERROR(AF36/AF$9,"na")</f>
        <v>0.19781005940005855</v>
      </c>
      <c r="AH37" s="33">
        <f>IFERROR(AH36/AH$9,"na")</f>
        <v>0.19661654027559766</v>
      </c>
      <c r="AJ37" s="33">
        <f>IFERROR(AJ36/AJ$9,"na")</f>
        <v>0.1954019934076173</v>
      </c>
      <c r="AL37" s="33">
        <f>IFERROR(AL36/AL$9,"na")</f>
        <v>0.19416593958707129</v>
      </c>
      <c r="AN37" s="33">
        <f>IFERROR(AN36/AN$9,"na")</f>
        <v>0.19290785167629942</v>
      </c>
    </row>
    <row r="38" spans="2:81" s="23" customFormat="1" ht="5.0999999999999996" customHeight="1"/>
    <row r="39" spans="2:81" s="24" customFormat="1">
      <c r="B39" s="41" t="s">
        <v>25</v>
      </c>
      <c r="H39" s="30">
        <f>H285</f>
        <v>-7.5391999999999992</v>
      </c>
      <c r="I39" s="28"/>
      <c r="J39" s="30">
        <f>J285</f>
        <v>-4.2027999999999999</v>
      </c>
      <c r="K39" s="28"/>
      <c r="L39" s="30">
        <f>L285</f>
        <v>1.4516000000000009</v>
      </c>
      <c r="M39" s="28"/>
      <c r="N39" s="30">
        <f>N285</f>
        <v>-17.470499999999994</v>
      </c>
      <c r="O39" s="28"/>
      <c r="P39" s="30">
        <f>P285</f>
        <v>-19.020899999999997</v>
      </c>
      <c r="Q39" s="28"/>
      <c r="R39" s="30">
        <f>R285</f>
        <v>-14.094200000000001</v>
      </c>
      <c r="S39" s="28"/>
      <c r="T39" s="30">
        <f>Debt!H16+Debt!H23+Debt!H30+Debt!H37</f>
        <v>0</v>
      </c>
      <c r="U39" s="55"/>
      <c r="V39" s="30">
        <f>Debt!J16+Debt!J23+Debt!J30+Debt!J37</f>
        <v>-145.73249999999999</v>
      </c>
      <c r="W39" s="55"/>
      <c r="X39" s="30">
        <f>Debt!L16+Debt!L23+Debt!L30+Debt!L37</f>
        <v>-142.20398234988468</v>
      </c>
      <c r="Y39" s="55"/>
      <c r="Z39" s="30">
        <f>Debt!N16+Debt!N23+Debt!N30+Debt!N37</f>
        <v>-138.35789811125898</v>
      </c>
      <c r="AA39" s="55"/>
      <c r="AB39" s="30">
        <f>Debt!P16+Debt!P23+Debt!P30+Debt!P37</f>
        <v>-134.16566629115698</v>
      </c>
      <c r="AC39" s="55"/>
      <c r="AD39" s="30">
        <f>Debt!R16+Debt!R23+Debt!R30+Debt!R37</f>
        <v>-129.5961336072458</v>
      </c>
      <c r="AE39" s="55"/>
      <c r="AF39" s="30">
        <f>Debt!T16+Debt!T23+Debt!T30+Debt!T37</f>
        <v>-124.6153429817826</v>
      </c>
      <c r="AG39" s="55"/>
      <c r="AH39" s="30">
        <f>Debt!V16+Debt!V23+Debt!V30+Debt!V37</f>
        <v>-119.18628120002774</v>
      </c>
      <c r="AI39" s="55"/>
      <c r="AJ39" s="30">
        <f>Debt!X16+Debt!X23+Debt!X30+Debt!X37</f>
        <v>-113.26860385791491</v>
      </c>
      <c r="AK39" s="55"/>
      <c r="AL39" s="30">
        <f>Debt!Z16+Debt!Z23+Debt!Z30+Debt!Z37</f>
        <v>-106.81833555501194</v>
      </c>
      <c r="AM39" s="55"/>
      <c r="AN39" s="30">
        <f>Debt!AB16+Debt!AB23+Debt!AB30+Debt!AB37</f>
        <v>-99.787543104847714</v>
      </c>
      <c r="AO39" s="55"/>
    </row>
    <row r="40" spans="2:81" s="21" customFormat="1">
      <c r="B40" s="53" t="s">
        <v>245</v>
      </c>
      <c r="H40" s="74"/>
      <c r="I40" s="28"/>
      <c r="J40" s="74"/>
      <c r="K40" s="28"/>
      <c r="L40" s="74"/>
      <c r="M40" s="28"/>
      <c r="N40" s="74"/>
      <c r="O40" s="28"/>
      <c r="P40" s="74"/>
      <c r="Q40" s="28"/>
      <c r="R40" s="74"/>
      <c r="S40" s="28"/>
      <c r="T40" s="30">
        <f>Debt!H46+Debt!H54</f>
        <v>0</v>
      </c>
      <c r="U40" s="28"/>
      <c r="V40" s="30">
        <f>Debt!J46+Debt!J54</f>
        <v>0</v>
      </c>
      <c r="W40" s="28"/>
      <c r="X40" s="30">
        <f>Debt!L46+Debt!L54</f>
        <v>0</v>
      </c>
      <c r="Y40" s="28"/>
      <c r="Z40" s="30">
        <f>Debt!N46+Debt!N54</f>
        <v>0</v>
      </c>
      <c r="AA40" s="28"/>
      <c r="AB40" s="30">
        <f>Debt!P46+Debt!P54</f>
        <v>0</v>
      </c>
      <c r="AC40" s="28"/>
      <c r="AD40" s="30">
        <f>Debt!R46+Debt!R54</f>
        <v>0</v>
      </c>
      <c r="AE40" s="28"/>
      <c r="AF40" s="30">
        <f>Debt!T46+Debt!T54</f>
        <v>0</v>
      </c>
      <c r="AG40" s="28"/>
      <c r="AH40" s="30">
        <f>Debt!V46+Debt!V54</f>
        <v>0</v>
      </c>
      <c r="AI40" s="28"/>
      <c r="AJ40" s="30">
        <f>Debt!X46+Debt!X54</f>
        <v>0</v>
      </c>
      <c r="AK40" s="28"/>
      <c r="AL40" s="30">
        <f>Debt!Z46+Debt!Z54</f>
        <v>0</v>
      </c>
      <c r="AM40" s="28"/>
      <c r="AN40" s="30">
        <f>Debt!AB46+Debt!AB54</f>
        <v>0</v>
      </c>
      <c r="AO40" s="31"/>
    </row>
    <row r="41" spans="2:81" s="24" customFormat="1">
      <c r="B41" s="41" t="s">
        <v>196</v>
      </c>
      <c r="H41" s="30">
        <f>H291</f>
        <v>-18.848950000000002</v>
      </c>
      <c r="I41" s="28"/>
      <c r="J41" s="30">
        <f>J291</f>
        <v>-3.6726999999999999</v>
      </c>
      <c r="K41" s="28"/>
      <c r="L41" s="30">
        <f>L291</f>
        <v>-8.3885000000000005</v>
      </c>
      <c r="M41" s="28"/>
      <c r="N41" s="30">
        <f>N291</f>
        <v>-6.9406999999999979</v>
      </c>
      <c r="O41" s="28"/>
      <c r="P41" s="30">
        <f>P291</f>
        <v>11.747699999999998</v>
      </c>
      <c r="Q41" s="28"/>
      <c r="R41" s="30">
        <f>R291</f>
        <v>-6.876100000000001</v>
      </c>
      <c r="S41" s="28"/>
      <c r="T41" s="30">
        <f>-IF(AND(T$6&gt;='Financing Inputs'!$T$5,T$6&lt;='Financing Inputs'!$T$19),'Operating Inputs'!BU$25,0)*(T23+T39+T40)</f>
        <v>-31.685751237629979</v>
      </c>
      <c r="U41" s="30"/>
      <c r="V41" s="30">
        <f>-IF(AND(V$6&gt;='Financing Inputs'!$T$5,V$6&lt;='Financing Inputs'!$T$19),'Operating Inputs'!BW$25,0)*(V23+V39+V40)</f>
        <v>-4.6114219261740006</v>
      </c>
      <c r="W41" s="30"/>
      <c r="X41" s="30">
        <f>-IF(AND(X$6&gt;='Financing Inputs'!$T$5,X$6&lt;='Financing Inputs'!$T$19),'Operating Inputs'!BY$25,0)*(X23+X39+X40)</f>
        <v>-9.9853123568200282</v>
      </c>
      <c r="Y41" s="30"/>
      <c r="Z41" s="30">
        <f>-IF(AND(Z$6&gt;='Financing Inputs'!$T$5,Z$6&lt;='Financing Inputs'!$T$19),'Operating Inputs'!CA$25,0)*(Z23+Z39+Z40)</f>
        <v>-15.327599915885251</v>
      </c>
      <c r="AA41" s="30"/>
      <c r="AB41" s="30">
        <f>-IF(AND(AB$6&gt;='Financing Inputs'!$T$5,AB$6&lt;='Financing Inputs'!$T$19),'Operating Inputs'!CC$25,0)*(AB23+AB39+AB40)</f>
        <v>-20.206563362730034</v>
      </c>
      <c r="AC41" s="30"/>
      <c r="AD41" s="30">
        <f>-IF(AND(AD$6&gt;='Financing Inputs'!$T$5,AD$6&lt;='Financing Inputs'!$T$19),'Operating Inputs'!CE$25,0)*(AD23+AD39+AD40)</f>
        <v>-24.888133356292254</v>
      </c>
      <c r="AE41" s="30"/>
      <c r="AF41" s="30">
        <f>-IF(AND(AF$6&gt;='Financing Inputs'!$T$5,AF$6&lt;='Financing Inputs'!$T$19),'Operating Inputs'!CG$25,0)*(AF23+AF39+AF40)</f>
        <v>-24.097662005964509</v>
      </c>
      <c r="AG41" s="30"/>
      <c r="AH41" s="30">
        <f>-IF(AND(AH$6&gt;='Financing Inputs'!$T$5,AH$6&lt;='Financing Inputs'!$T$19),'Operating Inputs'!CI$25,0)*(AH23+AH39+AH40)</f>
        <v>-23.448933674791924</v>
      </c>
      <c r="AI41" s="30"/>
      <c r="AJ41" s="30">
        <f>-IF(AND(AJ$6&gt;='Financing Inputs'!$T$5,AJ$6&lt;='Financing Inputs'!$T$19),'Operating Inputs'!CK$25,0)*(AJ23+AJ39+AJ40)</f>
        <v>-22.948748515924159</v>
      </c>
      <c r="AK41" s="30"/>
      <c r="AL41" s="30">
        <f>-IF(AND(AL$6&gt;='Financing Inputs'!$T$5,AL$6&lt;='Financing Inputs'!$T$19),'Operating Inputs'!CM$25,0)*(AL23+AL39+AL40)</f>
        <v>-22.604704065272429</v>
      </c>
      <c r="AM41" s="30"/>
      <c r="AN41" s="30">
        <f>-IF(AND(AN$6&gt;='Financing Inputs'!$T$5,AN$6&lt;='Financing Inputs'!$T$19),'Operating Inputs'!CO$25,0)*(AN23+AN39+AN40)</f>
        <v>-22.425262165247851</v>
      </c>
      <c r="AO41" s="75"/>
      <c r="AR41" s="76"/>
    </row>
    <row r="42" spans="2:81" s="23" customFormat="1">
      <c r="B42" s="53" t="s">
        <v>11</v>
      </c>
      <c r="H42" s="30">
        <f>+H236+H237+H239+H241</f>
        <v>-35.144300000000001</v>
      </c>
      <c r="I42" s="30"/>
      <c r="J42" s="30">
        <f>+J236+J237+J239+J241</f>
        <v>33.953950000000006</v>
      </c>
      <c r="K42" s="30"/>
      <c r="L42" s="30">
        <f>+L236+L237+L239+L241</f>
        <v>-14.891250000000003</v>
      </c>
      <c r="M42" s="30"/>
      <c r="N42" s="30">
        <f>+N236+N237+N239+N241</f>
        <v>-38.735300000000002</v>
      </c>
      <c r="O42" s="30"/>
      <c r="P42" s="30">
        <f>+P236+P237+P239+P241</f>
        <v>49.980450000000005</v>
      </c>
      <c r="Q42" s="30"/>
      <c r="R42" s="30">
        <f>+R236+R237+R239+R241</f>
        <v>-43.59644999999999</v>
      </c>
      <c r="S42" s="30"/>
      <c r="T42" s="30">
        <f>IF(AND(T$6&gt;='Financing Inputs'!$T$5,T$6&lt;='Financing Inputs'!$T$19),'Operating Inputs'!BU$27,0)</f>
        <v>20</v>
      </c>
      <c r="U42" s="30"/>
      <c r="V42" s="30">
        <f>IF(AND(V$6&gt;='Financing Inputs'!$T$5,V$6&lt;='Financing Inputs'!$T$19),'Operating Inputs'!BW$27,0)</f>
        <v>20</v>
      </c>
      <c r="W42" s="30"/>
      <c r="X42" s="30">
        <f>IF(AND(X$6&gt;='Financing Inputs'!$T$5,X$6&lt;='Financing Inputs'!$T$19),'Operating Inputs'!BY$27,0)</f>
        <v>20</v>
      </c>
      <c r="Y42" s="30"/>
      <c r="Z42" s="30">
        <f>IF(AND(Z$6&gt;='Financing Inputs'!$T$5,Z$6&lt;='Financing Inputs'!$T$19),'Operating Inputs'!CA$27,0)</f>
        <v>20</v>
      </c>
      <c r="AA42" s="30"/>
      <c r="AB42" s="30">
        <f>IF(AND(AB$6&gt;='Financing Inputs'!$T$5,AB$6&lt;='Financing Inputs'!$T$19),'Operating Inputs'!CC$27,0)</f>
        <v>20</v>
      </c>
      <c r="AC42" s="30"/>
      <c r="AD42" s="30">
        <f>IF(AND(AD$6&gt;='Financing Inputs'!$T$5,AD$6&lt;='Financing Inputs'!$T$19),'Operating Inputs'!CE$27,0)</f>
        <v>20</v>
      </c>
      <c r="AE42" s="30"/>
      <c r="AF42" s="30">
        <f>IF(AND(AF$6&gt;='Financing Inputs'!$T$5,AF$6&lt;='Financing Inputs'!$T$19),'Operating Inputs'!CG$27,0)</f>
        <v>20</v>
      </c>
      <c r="AG42" s="30"/>
      <c r="AH42" s="30">
        <f>IF(AND(AH$6&gt;='Financing Inputs'!$T$5,AH$6&lt;='Financing Inputs'!$T$19),'Operating Inputs'!CI$27,0)</f>
        <v>20</v>
      </c>
      <c r="AI42" s="30"/>
      <c r="AJ42" s="30">
        <f>IF(AND(AJ$6&gt;='Financing Inputs'!$T$5,AJ$6&lt;='Financing Inputs'!$T$19),'Operating Inputs'!CK$27,0)</f>
        <v>20</v>
      </c>
      <c r="AK42" s="30"/>
      <c r="AL42" s="30">
        <f>IF(AND(AL$6&gt;='Financing Inputs'!$T$5,AL$6&lt;='Financing Inputs'!$T$19),'Operating Inputs'!CM$27,0)</f>
        <v>20</v>
      </c>
      <c r="AM42" s="30"/>
      <c r="AN42" s="30">
        <f>IF(AND(AN$6&gt;='Financing Inputs'!$T$5,AN$6&lt;='Financing Inputs'!$T$19),'Operating Inputs'!CO$27,0)</f>
        <v>20</v>
      </c>
      <c r="AO42" s="66"/>
      <c r="AR42" s="76"/>
    </row>
    <row r="43" spans="2:81" s="38" customFormat="1">
      <c r="B43" s="37" t="s">
        <v>5</v>
      </c>
      <c r="C43" s="37"/>
      <c r="D43" s="37"/>
      <c r="E43" s="37"/>
      <c r="F43" s="37"/>
      <c r="H43" s="56">
        <f>+H36+H39+H40+H41+H42</f>
        <v>-168.49864999999994</v>
      </c>
      <c r="J43" s="56">
        <f>+J36+J39+J40+J41+J42</f>
        <v>59.101399999999984</v>
      </c>
      <c r="L43" s="56">
        <f>+L36+L39+L40+L41+L42</f>
        <v>26.937249999999995</v>
      </c>
      <c r="N43" s="56">
        <f>+N36+N39+N40+N41+N42</f>
        <v>70.668600000000026</v>
      </c>
      <c r="P43" s="56">
        <f>+P36+P39+P40+P41+P42</f>
        <v>121.752</v>
      </c>
      <c r="R43" s="56">
        <f>+R36+R39+R40+R41+R42</f>
        <v>120.15600000000013</v>
      </c>
      <c r="T43" s="56">
        <f>+T36+T39+T40+T41+T42</f>
        <v>216.29347846536996</v>
      </c>
      <c r="V43" s="56">
        <f>+V36+V39+V40+V41+V42</f>
        <v>108.257930103226</v>
      </c>
      <c r="X43" s="56">
        <f>+X36+X39+X40+X41+X42</f>
        <v>128.47399410422773</v>
      </c>
      <c r="Z43" s="56">
        <f>+Z36+Z39+Z40+Z41+Z42</f>
        <v>148.57117111213975</v>
      </c>
      <c r="AB43" s="56">
        <f>+AB36+AB39+AB40+AB41+AB42</f>
        <v>166.92536693598441</v>
      </c>
      <c r="AD43" s="56">
        <f>+AD36+AD39+AD40+AD41+AD42</f>
        <v>184.53698738795657</v>
      </c>
      <c r="AF43" s="56">
        <f>+AF36+AF39+AF40+AF41+AF42</f>
        <v>181.56330945100936</v>
      </c>
      <c r="AH43" s="56">
        <f>+AH36+AH39+AH40+AH41+AH42</f>
        <v>179.12285525278867</v>
      </c>
      <c r="AJ43" s="56">
        <f>+AJ36+AJ39+AJ40+AJ41+AJ42</f>
        <v>177.24120632180993</v>
      </c>
      <c r="AL43" s="56">
        <f>+AL36+AL39+AL40+AL41+AL42</f>
        <v>175.94694386459628</v>
      </c>
      <c r="AN43" s="56">
        <f>+AN36+AN39+AN40+AN41+AN42</f>
        <v>175.27190052640859</v>
      </c>
      <c r="AR43" s="76"/>
    </row>
    <row r="44" spans="2:81" s="21" customFormat="1" ht="5.0999999999999996" customHeight="1">
      <c r="H44" s="77"/>
      <c r="J44" s="77"/>
      <c r="L44" s="77"/>
      <c r="N44" s="77"/>
      <c r="P44" s="77"/>
      <c r="R44" s="77"/>
      <c r="T44" s="77"/>
      <c r="V44" s="77"/>
      <c r="X44" s="77"/>
      <c r="Z44" s="77"/>
      <c r="AB44" s="77"/>
      <c r="AD44" s="77"/>
      <c r="AF44" s="77"/>
      <c r="AH44" s="77"/>
      <c r="AJ44" s="77"/>
      <c r="AL44" s="77"/>
      <c r="AN44" s="77"/>
    </row>
    <row r="45" spans="2:81" s="24" customFormat="1">
      <c r="B45" s="53" t="s">
        <v>200</v>
      </c>
      <c r="C45" s="41"/>
      <c r="H45" s="30">
        <f>H266</f>
        <v>208.52879999999999</v>
      </c>
      <c r="I45" s="30"/>
      <c r="J45" s="30">
        <f>J266</f>
        <v>0</v>
      </c>
      <c r="K45" s="30"/>
      <c r="L45" s="30">
        <f>L266</f>
        <v>0</v>
      </c>
      <c r="M45" s="30"/>
      <c r="N45" s="30">
        <f>N266</f>
        <v>0</v>
      </c>
      <c r="O45" s="30"/>
      <c r="P45" s="30">
        <f>P266</f>
        <v>0</v>
      </c>
      <c r="Q45" s="30"/>
      <c r="R45" s="30">
        <f>R266</f>
        <v>-11.388599999999999</v>
      </c>
      <c r="S45" s="30"/>
      <c r="T45" s="54">
        <v>0</v>
      </c>
      <c r="U45" s="30"/>
      <c r="V45" s="54">
        <v>0</v>
      </c>
      <c r="W45" s="30"/>
      <c r="X45" s="54">
        <v>0</v>
      </c>
      <c r="Y45" s="30"/>
      <c r="Z45" s="54">
        <v>0</v>
      </c>
      <c r="AA45" s="30"/>
      <c r="AB45" s="54">
        <v>0</v>
      </c>
      <c r="AC45" s="30"/>
      <c r="AD45" s="54">
        <v>0</v>
      </c>
      <c r="AE45" s="30"/>
      <c r="AF45" s="54">
        <v>0</v>
      </c>
      <c r="AG45" s="30"/>
      <c r="AH45" s="54">
        <v>0</v>
      </c>
      <c r="AI45" s="30"/>
      <c r="AJ45" s="54">
        <v>0</v>
      </c>
      <c r="AK45" s="30"/>
      <c r="AL45" s="54">
        <v>0</v>
      </c>
      <c r="AM45" s="30"/>
      <c r="AN45" s="54">
        <v>0</v>
      </c>
      <c r="AO45" s="67"/>
      <c r="AP45" s="30"/>
      <c r="AQ45" s="67"/>
      <c r="AR45" s="68"/>
      <c r="AS45" s="70"/>
      <c r="AT45" s="70"/>
      <c r="AU45" s="70"/>
      <c r="AV45" s="30"/>
      <c r="AW45" s="67"/>
      <c r="AX45" s="68"/>
      <c r="AY45" s="67"/>
      <c r="AZ45" s="68"/>
      <c r="BA45" s="67"/>
      <c r="BB45" s="30"/>
      <c r="BC45" s="67"/>
      <c r="BD45" s="30"/>
      <c r="BE45" s="67"/>
      <c r="BF45" s="30"/>
      <c r="BG45" s="67"/>
      <c r="BH45" s="30"/>
      <c r="BI45" s="67"/>
      <c r="BJ45" s="30"/>
      <c r="BK45" s="67"/>
      <c r="BL45" s="68"/>
      <c r="BM45" s="67"/>
      <c r="BN45" s="30"/>
      <c r="BO45" s="67"/>
      <c r="BP45" s="68"/>
      <c r="BQ45" s="67"/>
      <c r="BR45" s="68"/>
      <c r="BS45" s="67"/>
      <c r="BT45" s="30"/>
      <c r="BU45" s="67"/>
      <c r="BV45" s="30"/>
      <c r="BW45" s="67"/>
      <c r="BX45" s="30"/>
      <c r="BY45" s="67"/>
      <c r="BZ45" s="30"/>
      <c r="CA45" s="67"/>
      <c r="CB45" s="30"/>
      <c r="CC45" s="67"/>
    </row>
    <row r="46" spans="2:81" s="38" customFormat="1">
      <c r="B46" s="37" t="s">
        <v>26</v>
      </c>
      <c r="C46" s="37"/>
      <c r="D46" s="37"/>
      <c r="E46" s="37"/>
      <c r="F46" s="37"/>
      <c r="H46" s="56">
        <f>+H43+H45</f>
        <v>40.030150000000049</v>
      </c>
      <c r="J46" s="56">
        <f>+J43+J45</f>
        <v>59.101399999999984</v>
      </c>
      <c r="L46" s="56">
        <f>+L43+L45</f>
        <v>26.937249999999995</v>
      </c>
      <c r="N46" s="56">
        <f>+N43+N45</f>
        <v>70.668600000000026</v>
      </c>
      <c r="P46" s="56">
        <f>+P43+P45</f>
        <v>121.752</v>
      </c>
      <c r="R46" s="56">
        <f>+R43+R45</f>
        <v>108.76740000000014</v>
      </c>
      <c r="T46" s="56">
        <f>+T43+T45</f>
        <v>216.29347846536996</v>
      </c>
      <c r="V46" s="56">
        <f>+V43+V45</f>
        <v>108.257930103226</v>
      </c>
      <c r="X46" s="56">
        <f>+X43+X45</f>
        <v>128.47399410422773</v>
      </c>
      <c r="Z46" s="56">
        <f>+Z43+Z45</f>
        <v>148.57117111213975</v>
      </c>
      <c r="AB46" s="56">
        <f>+AB43+AB45</f>
        <v>166.92536693598441</v>
      </c>
      <c r="AD46" s="56">
        <f>+AD43+AD45</f>
        <v>184.53698738795657</v>
      </c>
      <c r="AF46" s="56">
        <f>+AF43+AF45</f>
        <v>181.56330945100936</v>
      </c>
      <c r="AH46" s="56">
        <f>+AH43+AH45</f>
        <v>179.12285525278867</v>
      </c>
      <c r="AJ46" s="56">
        <f>+AJ43+AJ45</f>
        <v>177.24120632180993</v>
      </c>
      <c r="AL46" s="56">
        <f>+AL43+AL45</f>
        <v>175.94694386459628</v>
      </c>
      <c r="AN46" s="56">
        <f>+AN43+AN45</f>
        <v>175.27190052640859</v>
      </c>
    </row>
    <row r="47" spans="2:81" s="21" customFormat="1">
      <c r="H47" s="77"/>
      <c r="J47" s="77"/>
      <c r="L47" s="77"/>
      <c r="N47" s="77"/>
      <c r="P47" s="77"/>
      <c r="R47" s="77"/>
      <c r="T47" s="77"/>
      <c r="V47" s="77"/>
      <c r="X47" s="77"/>
      <c r="Z47" s="77"/>
      <c r="AB47" s="77"/>
      <c r="AD47" s="77"/>
      <c r="AF47" s="77"/>
      <c r="AH47" s="77"/>
      <c r="AJ47" s="77"/>
      <c r="AL47" s="77"/>
      <c r="AN47" s="77"/>
    </row>
    <row r="48" spans="2:81" s="21" customFormat="1">
      <c r="B48" s="53" t="s">
        <v>163</v>
      </c>
      <c r="H48" s="74"/>
      <c r="I48" s="28"/>
      <c r="J48" s="74"/>
      <c r="K48" s="28"/>
      <c r="L48" s="74"/>
      <c r="M48" s="28"/>
      <c r="N48" s="74"/>
      <c r="O48" s="28"/>
      <c r="P48" s="74"/>
      <c r="Q48" s="28"/>
      <c r="R48" s="74"/>
      <c r="S48" s="28"/>
      <c r="T48" s="30">
        <f>-IF(T$6='Financing Inputs'!$T$5,'Financing Inputs'!$L$7,0)</f>
        <v>-2159</v>
      </c>
      <c r="U48" s="28"/>
      <c r="V48" s="30">
        <f>-IF(V$6='Financing Inputs'!$T$5,'Financing Inputs'!$L$7,0)</f>
        <v>0</v>
      </c>
      <c r="W48" s="28"/>
      <c r="X48" s="30">
        <f>-IF(X$6='Financing Inputs'!$T$5,'Financing Inputs'!$L$7,0)</f>
        <v>0</v>
      </c>
      <c r="Y48" s="28"/>
      <c r="Z48" s="30">
        <f>-IF(Z$6='Financing Inputs'!$T$5,'Financing Inputs'!$L$7,0)</f>
        <v>0</v>
      </c>
      <c r="AA48" s="28"/>
      <c r="AB48" s="30">
        <f>-IF(AB$6='Financing Inputs'!$T$5,'Financing Inputs'!$L$7,0)</f>
        <v>0</v>
      </c>
      <c r="AC48" s="28"/>
      <c r="AD48" s="30">
        <f>-IF(AD$6='Financing Inputs'!$T$5,'Financing Inputs'!$L$7,0)</f>
        <v>0</v>
      </c>
      <c r="AE48" s="28"/>
      <c r="AF48" s="30">
        <f>-IF(AF$6='Financing Inputs'!$T$5,'Financing Inputs'!$L$7,0)</f>
        <v>0</v>
      </c>
      <c r="AG48" s="28"/>
      <c r="AH48" s="30">
        <f>-IF(AH$6='Financing Inputs'!$T$5,'Financing Inputs'!$L$7,0)</f>
        <v>0</v>
      </c>
      <c r="AI48" s="28"/>
      <c r="AJ48" s="30">
        <f>-IF(AJ$6='Financing Inputs'!$T$5,'Financing Inputs'!$L$7,0)</f>
        <v>0</v>
      </c>
      <c r="AK48" s="28"/>
      <c r="AL48" s="30">
        <f>-IF(AL$6='Financing Inputs'!$T$5,'Financing Inputs'!$L$7,0)</f>
        <v>0</v>
      </c>
      <c r="AM48" s="28"/>
      <c r="AN48" s="30">
        <f>-IF(AN$6='Financing Inputs'!$T$5,'Financing Inputs'!$L$7,0)</f>
        <v>0</v>
      </c>
      <c r="AO48" s="31"/>
    </row>
    <row r="49" spans="2:41" s="21" customFormat="1">
      <c r="B49" s="53" t="s">
        <v>210</v>
      </c>
      <c r="H49" s="74"/>
      <c r="I49" s="28"/>
      <c r="J49" s="74"/>
      <c r="K49" s="28"/>
      <c r="L49" s="74"/>
      <c r="M49" s="28"/>
      <c r="N49" s="74"/>
      <c r="O49" s="28"/>
      <c r="P49" s="74"/>
      <c r="Q49" s="28"/>
      <c r="R49" s="74"/>
      <c r="S49" s="28"/>
      <c r="T49" s="30">
        <f>IF(T$6='Financing Inputs'!$T$19,'Financing Inputs'!$T$22,0)</f>
        <v>0</v>
      </c>
      <c r="U49" s="28"/>
      <c r="V49" s="30">
        <f>IF(V$6='Financing Inputs'!$T$19,'Financing Inputs'!$T$22,0)</f>
        <v>0</v>
      </c>
      <c r="W49" s="28"/>
      <c r="X49" s="30">
        <f>IF(X$6='Financing Inputs'!$T$19,'Financing Inputs'!$T$22,0)</f>
        <v>0</v>
      </c>
      <c r="Y49" s="28"/>
      <c r="Z49" s="30">
        <f>IF(Z$6='Financing Inputs'!$T$19,'Financing Inputs'!$T$22,0)</f>
        <v>0</v>
      </c>
      <c r="AA49" s="28"/>
      <c r="AB49" s="30">
        <f>IF(AB$6='Financing Inputs'!$T$19,'Financing Inputs'!$T$22,0)</f>
        <v>0</v>
      </c>
      <c r="AC49" s="28"/>
      <c r="AD49" s="30">
        <f>IF(AD$6='Financing Inputs'!$T$19,'Financing Inputs'!$T$22,0)</f>
        <v>0</v>
      </c>
      <c r="AE49" s="28"/>
      <c r="AF49" s="30">
        <f>IF(AF$6='Financing Inputs'!$T$19,'Financing Inputs'!$T$22,0)</f>
        <v>0</v>
      </c>
      <c r="AG49" s="28"/>
      <c r="AH49" s="30">
        <f>IF(AH$6='Financing Inputs'!$T$19,'Financing Inputs'!$T$22,0)</f>
        <v>0</v>
      </c>
      <c r="AI49" s="28"/>
      <c r="AJ49" s="30">
        <f>IF(AJ$6='Financing Inputs'!$T$19,'Financing Inputs'!$T$22,0)</f>
        <v>0</v>
      </c>
      <c r="AK49" s="28"/>
      <c r="AL49" s="30">
        <f>IF(AL$6='Financing Inputs'!$T$19,'Financing Inputs'!$T$22,0)</f>
        <v>0</v>
      </c>
      <c r="AM49" s="28"/>
      <c r="AN49" s="30">
        <f>IF(AN$6='Financing Inputs'!$T$19,'Financing Inputs'!$T$22,0)</f>
        <v>1812.4235289825208</v>
      </c>
      <c r="AO49" s="31"/>
    </row>
    <row r="50" spans="2:41" s="21" customFormat="1">
      <c r="B50" s="53" t="s">
        <v>288</v>
      </c>
      <c r="H50" s="74"/>
      <c r="I50" s="28"/>
      <c r="J50" s="74"/>
      <c r="K50" s="28"/>
      <c r="L50" s="74"/>
      <c r="M50" s="28"/>
      <c r="N50" s="74"/>
      <c r="O50" s="28"/>
      <c r="P50" s="74"/>
      <c r="Q50" s="28"/>
      <c r="R50" s="74"/>
      <c r="S50" s="28"/>
      <c r="T50" s="30">
        <f>IF(T$6='Financing Inputs'!$T$5,'Financing Inputs'!$F$7,0)-IF('Financing Inputs'!$T$31&lt;&gt;1,IF(T46+T53+T56&lt;0,(T46+T53+T56)*'Financing Inputs'!$T$25,0),0)-IF('Financing Inputs'!$T$31=2,(Debt!H28+Debt!H35)*'Financing Inputs'!$T$25,0)-IF('Financing Inputs'!$T$31=1,IF(T46+T53+T54+T56&lt;0,(T46+T53+T54+T56)*'Financing Inputs'!$T$25,0))-IF(T46+T53+IF('Financing Inputs'!$T$31=1,T54,0)+T56,0)</f>
        <v>269.875</v>
      </c>
      <c r="U50" s="28"/>
      <c r="V50" s="30">
        <f>IF(V$6='Financing Inputs'!$T$5,'Financing Inputs'!$F$7,0)-IF('Financing Inputs'!$T$31&lt;&gt;1,IF(V46+V53+V56&lt;0,(V46+V53+V56)*'Financing Inputs'!$T$25,0),0)-IF('Financing Inputs'!$T$31=2,(Debt!J28+Debt!J35)*'Financing Inputs'!$T$25,0)-IF('Financing Inputs'!$T$31=1,IF(V46+V53+V54+V56&lt;0,(V46+V53+V54+V56)*'Financing Inputs'!$T$25,0))-IF(V46+V53+IF('Financing Inputs'!$T$31=1,V54,0)+V56,0)</f>
        <v>0</v>
      </c>
      <c r="W50" s="28"/>
      <c r="X50" s="30">
        <f>IF(X$6='Financing Inputs'!$T$5,'Financing Inputs'!$F$7,0)-IF('Financing Inputs'!$T$31&lt;&gt;1,IF(X46+X53+X56&lt;0,(X46+X53+X56)*'Financing Inputs'!$T$25,0),0)-IF('Financing Inputs'!$T$31=2,(Debt!L28+Debt!L35)*'Financing Inputs'!$T$25,0)-IF('Financing Inputs'!$T$31=1,IF(X46+X53+X54+X56&lt;0,(X46+X53+X54+X56)*'Financing Inputs'!$T$25,0))-IF(X46+X53+IF('Financing Inputs'!$T$31=1,X54,0)+X56,0)</f>
        <v>0</v>
      </c>
      <c r="Y50" s="28"/>
      <c r="Z50" s="30">
        <f>IF(Z$6='Financing Inputs'!$T$5,'Financing Inputs'!$F$7,0)-IF('Financing Inputs'!$T$31&lt;&gt;1,IF(Z46+Z53+Z56&lt;0,(Z46+Z53+Z56)*'Financing Inputs'!$T$25,0),0)-IF('Financing Inputs'!$T$31=2,(Debt!N28+Debt!N35)*'Financing Inputs'!$T$25,0)-IF('Financing Inputs'!$T$31=1,IF(Z46+Z53+Z54+Z56&lt;0,(Z46+Z53+Z54+Z56)*'Financing Inputs'!$T$25,0))-IF(Z46+Z53+IF('Financing Inputs'!$T$31=1,Z54,0)+Z56,0)</f>
        <v>0</v>
      </c>
      <c r="AA50" s="28"/>
      <c r="AB50" s="30">
        <f>IF(AB$6='Financing Inputs'!$T$5,'Financing Inputs'!$F$7,0)-IF('Financing Inputs'!$T$31&lt;&gt;1,IF(AB46+AB53+AB56&lt;0,(AB46+AB53+AB56)*'Financing Inputs'!$T$25,0),0)-IF('Financing Inputs'!$T$31=2,(Debt!P28+Debt!P35)*'Financing Inputs'!$T$25,0)-IF('Financing Inputs'!$T$31=1,IF(AB46+AB53+AB54+AB56&lt;0,(AB46+AB53+AB54+AB56)*'Financing Inputs'!$T$25,0))-IF(AB46+AB53+IF('Financing Inputs'!$T$31=1,AB54,0)+AB56,0)</f>
        <v>0</v>
      </c>
      <c r="AC50" s="28"/>
      <c r="AD50" s="30">
        <f>IF(AD$6='Financing Inputs'!$T$5,'Financing Inputs'!$F$7,0)-IF('Financing Inputs'!$T$31&lt;&gt;1,IF(AD46+AD53+AD56&lt;0,(AD46+AD53+AD56)*'Financing Inputs'!$T$25,0),0)-IF('Financing Inputs'!$T$31=2,(Debt!R28+Debt!R35)*'Financing Inputs'!$T$25,0)-IF('Financing Inputs'!$T$31=1,IF(AD46+AD53+AD54+AD56&lt;0,(AD46+AD53+AD54+AD56)*'Financing Inputs'!$T$25,0))-IF(AD46+AD53+IF('Financing Inputs'!$T$31=1,AD54,0)+AD56,0)</f>
        <v>0</v>
      </c>
      <c r="AE50" s="28"/>
      <c r="AF50" s="30">
        <f>IF(AF$6='Financing Inputs'!$T$5,'Financing Inputs'!$F$7,0)-IF('Financing Inputs'!$T$31&lt;&gt;1,IF(AF46+AF53+AF56&lt;0,(AF46+AF53+AF56)*'Financing Inputs'!$T$25,0),0)-IF('Financing Inputs'!$T$31=2,(Debt!T28+Debt!T35)*'Financing Inputs'!$T$25,0)-IF('Financing Inputs'!$T$31=1,IF(AF46+AF53+AF54+AF56&lt;0,(AF46+AF53+AF54+AF56)*'Financing Inputs'!$T$25,0))-IF(AF46+AF53+IF('Financing Inputs'!$T$31=1,AF54,0)+AF56,0)</f>
        <v>0</v>
      </c>
      <c r="AG50" s="28"/>
      <c r="AH50" s="30">
        <f>IF(AH$6='Financing Inputs'!$T$5,'Financing Inputs'!$F$7,0)-IF('Financing Inputs'!$T$31&lt;&gt;1,IF(AH46+AH53+AH56&lt;0,(AH46+AH53+AH56)*'Financing Inputs'!$T$25,0),0)-IF('Financing Inputs'!$T$31=2,(Debt!V28+Debt!V35)*'Financing Inputs'!$T$25,0)-IF('Financing Inputs'!$T$31=1,IF(AH46+AH53+AH54+AH56&lt;0,(AH46+AH53+AH54+AH56)*'Financing Inputs'!$T$25,0))-IF(AH46+AH53+IF('Financing Inputs'!$T$31=1,AH54,0)+AH56,0)</f>
        <v>0</v>
      </c>
      <c r="AI50" s="28"/>
      <c r="AJ50" s="30">
        <f>IF(AJ$6='Financing Inputs'!$T$5,'Financing Inputs'!$F$7,0)-IF('Financing Inputs'!$T$31&lt;&gt;1,IF(AJ46+AJ53+AJ56&lt;0,(AJ46+AJ53+AJ56)*'Financing Inputs'!$T$25,0),0)-IF('Financing Inputs'!$T$31=2,(Debt!X28+Debt!X35)*'Financing Inputs'!$T$25,0)-IF('Financing Inputs'!$T$31=1,IF(AJ46+AJ53+AJ54+AJ56&lt;0,(AJ46+AJ53+AJ54+AJ56)*'Financing Inputs'!$T$25,0))-IF(AJ46+AJ53+IF('Financing Inputs'!$T$31=1,AJ54,0)+AJ56,0)</f>
        <v>0</v>
      </c>
      <c r="AK50" s="28"/>
      <c r="AL50" s="30">
        <f>IF(AL$6='Financing Inputs'!$T$5,'Financing Inputs'!$F$7,0)-IF('Financing Inputs'!$T$31&lt;&gt;1,IF(AL46+AL53+AL56&lt;0,(AL46+AL53+AL56)*'Financing Inputs'!$T$25,0),0)-IF('Financing Inputs'!$T$31=2,(Debt!Z28+Debt!Z35)*'Financing Inputs'!$T$25,0)-IF('Financing Inputs'!$T$31=1,IF(AL46+AL53+AL54+AL56&lt;0,(AL46+AL53+AL54+AL56)*'Financing Inputs'!$T$25,0))-IF(AL46+AL53+IF('Financing Inputs'!$T$31=1,AL54,0)+AL56,0)</f>
        <v>0</v>
      </c>
      <c r="AM50" s="28"/>
      <c r="AN50" s="30">
        <f>IF(AN$6='Financing Inputs'!$T$5,'Financing Inputs'!$F$7,0)-IF('Financing Inputs'!$T$31&lt;&gt;1,IF(AN46+AN53+AN56&lt;0,(AN46+AN53+AN56)*'Financing Inputs'!$T$25,0),0)-IF('Financing Inputs'!$T$31=2,(Debt!AB28+Debt!AB35)*'Financing Inputs'!$T$25,0)-IF('Financing Inputs'!$T$31=1,IF(AN46+AN53+AN54+AN56&lt;0,(AN46+AN53+AN54+AN56)*'Financing Inputs'!$T$25,0))-IF(AN46+AN53+IF('Financing Inputs'!$T$31=1,AN54,0)+AN56,0)</f>
        <v>0</v>
      </c>
      <c r="AO50" s="31"/>
    </row>
    <row r="51" spans="2:41" s="21" customFormat="1">
      <c r="B51" s="53" t="s">
        <v>289</v>
      </c>
      <c r="H51" s="74"/>
      <c r="I51" s="28"/>
      <c r="J51" s="74"/>
      <c r="K51" s="28"/>
      <c r="L51" s="74"/>
      <c r="M51" s="28"/>
      <c r="N51" s="74"/>
      <c r="O51" s="28"/>
      <c r="P51" s="74"/>
      <c r="Q51" s="28"/>
      <c r="R51" s="74"/>
      <c r="S51" s="28"/>
      <c r="T51" s="30">
        <f>IF(T$6='Financing Inputs'!$T$5,'Financing Inputs'!$F$8,0)</f>
        <v>269.875</v>
      </c>
      <c r="U51" s="28"/>
      <c r="V51" s="30">
        <f>IF(V$6='Financing Inputs'!$T$5,'Financing Inputs'!$F$8,0)</f>
        <v>0</v>
      </c>
      <c r="W51" s="28"/>
      <c r="X51" s="30">
        <f>IF(X$6='Financing Inputs'!$T$5,'Financing Inputs'!$F$8,0)</f>
        <v>0</v>
      </c>
      <c r="Y51" s="28"/>
      <c r="Z51" s="30">
        <f>IF(Z$6='Financing Inputs'!$T$5,'Financing Inputs'!$F$8,0)</f>
        <v>0</v>
      </c>
      <c r="AA51" s="28"/>
      <c r="AB51" s="30">
        <f>IF(AB$6='Financing Inputs'!$T$5,'Financing Inputs'!$F$8,0)</f>
        <v>0</v>
      </c>
      <c r="AC51" s="28"/>
      <c r="AD51" s="30">
        <f>IF(AD$6='Financing Inputs'!$T$5,'Financing Inputs'!$F$8,0)</f>
        <v>0</v>
      </c>
      <c r="AE51" s="28"/>
      <c r="AF51" s="30">
        <f>IF(AF$6='Financing Inputs'!$T$5,'Financing Inputs'!$F$8,0)</f>
        <v>0</v>
      </c>
      <c r="AG51" s="28"/>
      <c r="AH51" s="30">
        <f>IF(AH$6='Financing Inputs'!$T$5,'Financing Inputs'!$F$8,0)</f>
        <v>0</v>
      </c>
      <c r="AI51" s="28"/>
      <c r="AJ51" s="30">
        <f>IF(AJ$6='Financing Inputs'!$T$5,'Financing Inputs'!$F$8,0)</f>
        <v>0</v>
      </c>
      <c r="AK51" s="28"/>
      <c r="AL51" s="30">
        <f>IF(AL$6='Financing Inputs'!$T$5,'Financing Inputs'!$F$8,0)</f>
        <v>0</v>
      </c>
      <c r="AM51" s="28"/>
      <c r="AN51" s="30">
        <f>IF(AN$6='Financing Inputs'!$T$5,'Financing Inputs'!$F$8,0)</f>
        <v>0</v>
      </c>
      <c r="AO51" s="31"/>
    </row>
    <row r="52" spans="2:41" s="21" customFormat="1">
      <c r="B52" s="53" t="s">
        <v>211</v>
      </c>
      <c r="H52" s="74"/>
      <c r="I52" s="28"/>
      <c r="J52" s="74"/>
      <c r="K52" s="28"/>
      <c r="L52" s="74"/>
      <c r="M52" s="28"/>
      <c r="N52" s="74"/>
      <c r="O52" s="28"/>
      <c r="P52" s="74"/>
      <c r="Q52" s="28"/>
      <c r="R52" s="74"/>
      <c r="S52" s="28"/>
      <c r="T52" s="30">
        <f>IF(T$6='Financing Inputs'!$T$5,'Financing Inputs'!$F$11,0)</f>
        <v>1619.25</v>
      </c>
      <c r="U52" s="28"/>
      <c r="V52" s="30">
        <f>IF(V$6='Financing Inputs'!$T$5,'Financing Inputs'!$F$11,0)</f>
        <v>0</v>
      </c>
      <c r="W52" s="28"/>
      <c r="X52" s="30">
        <f>IF(X$6='Financing Inputs'!$T$5,'Financing Inputs'!$F$11,0)</f>
        <v>0</v>
      </c>
      <c r="Y52" s="28"/>
      <c r="Z52" s="30">
        <f>IF(Z$6='Financing Inputs'!$T$5,'Financing Inputs'!$F$11,0)</f>
        <v>0</v>
      </c>
      <c r="AA52" s="28"/>
      <c r="AB52" s="30">
        <f>IF(AB$6='Financing Inputs'!$T$5,'Financing Inputs'!$F$11,0)</f>
        <v>0</v>
      </c>
      <c r="AC52" s="28"/>
      <c r="AD52" s="30">
        <f>IF(AD$6='Financing Inputs'!$T$5,'Financing Inputs'!$F$11,0)</f>
        <v>0</v>
      </c>
      <c r="AE52" s="28"/>
      <c r="AF52" s="30">
        <f>IF(AF$6='Financing Inputs'!$T$5,'Financing Inputs'!$F$11,0)</f>
        <v>0</v>
      </c>
      <c r="AG52" s="28"/>
      <c r="AH52" s="30">
        <f>IF(AH$6='Financing Inputs'!$T$5,'Financing Inputs'!$F$11,0)</f>
        <v>0</v>
      </c>
      <c r="AI52" s="28"/>
      <c r="AJ52" s="30">
        <f>IF(AJ$6='Financing Inputs'!$T$5,'Financing Inputs'!$F$11,0)</f>
        <v>0</v>
      </c>
      <c r="AK52" s="28"/>
      <c r="AL52" s="30">
        <f>IF(AL$6='Financing Inputs'!$T$5,'Financing Inputs'!$F$11,0)</f>
        <v>0</v>
      </c>
      <c r="AM52" s="28"/>
      <c r="AN52" s="30">
        <f>IF(AN$6='Financing Inputs'!$T$5,'Financing Inputs'!$F$11,0)</f>
        <v>0</v>
      </c>
      <c r="AO52" s="31"/>
    </row>
    <row r="53" spans="2:41" s="21" customFormat="1">
      <c r="B53" s="53" t="s">
        <v>212</v>
      </c>
      <c r="H53" s="74"/>
      <c r="I53" s="28"/>
      <c r="J53" s="74"/>
      <c r="K53" s="28"/>
      <c r="L53" s="74"/>
      <c r="M53" s="28"/>
      <c r="N53" s="74"/>
      <c r="O53" s="28"/>
      <c r="P53" s="74"/>
      <c r="Q53" s="28"/>
      <c r="R53" s="74"/>
      <c r="S53" s="28"/>
      <c r="T53" s="30">
        <f>Debt!H13+Debt!H20+Debt!H34</f>
        <v>0</v>
      </c>
      <c r="U53" s="55"/>
      <c r="V53" s="30">
        <f>Debt!J13+Debt!J20+Debt!J34</f>
        <v>-39.205751667947908</v>
      </c>
      <c r="W53" s="55"/>
      <c r="X53" s="30">
        <f>Debt!L13+Debt!L20+Debt!L34</f>
        <v>-42.734269318063212</v>
      </c>
      <c r="Y53" s="55"/>
      <c r="Z53" s="30">
        <f>Debt!N13+Debt!N20+Debt!N34</f>
        <v>-46.58035355668892</v>
      </c>
      <c r="AA53" s="55"/>
      <c r="AB53" s="30">
        <f>Debt!P13+Debt!P20+Debt!P34</f>
        <v>-50.772585376790914</v>
      </c>
      <c r="AC53" s="55"/>
      <c r="AD53" s="30">
        <f>Debt!R13+Debt!R20+Debt!R34</f>
        <v>-55.342118060702091</v>
      </c>
      <c r="AE53" s="55"/>
      <c r="AF53" s="30">
        <f>Debt!T13+Debt!T20+Debt!T34</f>
        <v>-60.322908686165292</v>
      </c>
      <c r="AG53" s="55"/>
      <c r="AH53" s="30">
        <f>Debt!V13+Debt!V20+Debt!V34</f>
        <v>-65.75197046792016</v>
      </c>
      <c r="AI53" s="55"/>
      <c r="AJ53" s="30">
        <f>Debt!X13+Debt!X20+Debt!X34</f>
        <v>-71.669647810032984</v>
      </c>
      <c r="AK53" s="55"/>
      <c r="AL53" s="30">
        <f>Debt!Z13+Debt!Z20+Debt!Z34</f>
        <v>-78.119916112935954</v>
      </c>
      <c r="AM53" s="55"/>
      <c r="AN53" s="30">
        <f>Debt!AB13+Debt!AB20+Debt!AB34</f>
        <v>-85.150708563100181</v>
      </c>
      <c r="AO53" s="55"/>
    </row>
    <row r="54" spans="2:41" s="21" customFormat="1">
      <c r="B54" s="53" t="s">
        <v>213</v>
      </c>
      <c r="H54" s="74"/>
      <c r="I54" s="28"/>
      <c r="J54" s="74"/>
      <c r="K54" s="28"/>
      <c r="L54" s="74"/>
      <c r="M54" s="28"/>
      <c r="N54" s="74"/>
      <c r="O54" s="28"/>
      <c r="P54" s="74"/>
      <c r="Q54" s="28"/>
      <c r="R54" s="74"/>
      <c r="S54" s="28"/>
      <c r="T54" s="30">
        <f>Debt!H14+Debt!H21+Debt!H28+Debt!H35</f>
        <v>0</v>
      </c>
      <c r="U54" s="55"/>
      <c r="V54" s="30">
        <f>Debt!J14+Debt!J21+Debt!J28+Debt!J35</f>
        <v>0</v>
      </c>
      <c r="W54" s="55"/>
      <c r="X54" s="30">
        <f>Debt!L14+Debt!L21+Debt!L28+Debt!L35</f>
        <v>0</v>
      </c>
      <c r="Y54" s="55"/>
      <c r="Z54" s="30">
        <f>Debt!N14+Debt!N21+Debt!N28+Debt!N35</f>
        <v>0</v>
      </c>
      <c r="AA54" s="55"/>
      <c r="AB54" s="30">
        <f>Debt!P14+Debt!P21+Debt!P28+Debt!P35</f>
        <v>0</v>
      </c>
      <c r="AC54" s="55"/>
      <c r="AD54" s="30">
        <f>Debt!R14+Debt!R21+Debt!R28+Debt!R35</f>
        <v>0</v>
      </c>
      <c r="AE54" s="55"/>
      <c r="AF54" s="30">
        <f>Debt!T14+Debt!T21+Debt!T28+Debt!T35</f>
        <v>0</v>
      </c>
      <c r="AG54" s="55"/>
      <c r="AH54" s="30">
        <f>Debt!V14+Debt!V21+Debt!V28+Debt!V35</f>
        <v>0</v>
      </c>
      <c r="AI54" s="55"/>
      <c r="AJ54" s="30">
        <f>Debt!X14+Debt!X21+Debt!X28+Debt!X35</f>
        <v>0</v>
      </c>
      <c r="AK54" s="55"/>
      <c r="AL54" s="30">
        <f>Debt!Z14+Debt!Z21+Debt!Z28+Debt!Z35</f>
        <v>0</v>
      </c>
      <c r="AM54" s="55"/>
      <c r="AN54" s="30">
        <f>Debt!AB14+Debt!AB21+Debt!AB28+Debt!AB35</f>
        <v>-1023.5997703796522</v>
      </c>
      <c r="AO54" s="55"/>
    </row>
    <row r="55" spans="2:41" s="21" customFormat="1">
      <c r="B55" s="53" t="s">
        <v>242</v>
      </c>
      <c r="H55" s="74"/>
      <c r="I55" s="28"/>
      <c r="J55" s="74"/>
      <c r="K55" s="28"/>
      <c r="L55" s="74"/>
      <c r="M55" s="28"/>
      <c r="N55" s="74"/>
      <c r="O55" s="28"/>
      <c r="P55" s="74"/>
      <c r="Q55" s="28"/>
      <c r="R55" s="74"/>
      <c r="S55" s="28"/>
      <c r="T55" s="30">
        <f>Debt!H42+Debt!H50</f>
        <v>0</v>
      </c>
      <c r="U55" s="28"/>
      <c r="V55" s="30">
        <f>Debt!J42+Debt!J50</f>
        <v>0</v>
      </c>
      <c r="W55" s="28"/>
      <c r="X55" s="30">
        <f>Debt!L42+Debt!L50</f>
        <v>0</v>
      </c>
      <c r="Y55" s="28"/>
      <c r="Z55" s="30">
        <f>Debt!N42+Debt!N50</f>
        <v>0</v>
      </c>
      <c r="AA55" s="28"/>
      <c r="AB55" s="30">
        <f>Debt!P42+Debt!P50</f>
        <v>0</v>
      </c>
      <c r="AC55" s="28"/>
      <c r="AD55" s="30">
        <f>Debt!R42+Debt!R50</f>
        <v>0</v>
      </c>
      <c r="AE55" s="28"/>
      <c r="AF55" s="30">
        <f>Debt!T42+Debt!T50</f>
        <v>0</v>
      </c>
      <c r="AG55" s="28"/>
      <c r="AH55" s="30">
        <f>Debt!V42+Debt!V50</f>
        <v>0</v>
      </c>
      <c r="AI55" s="28"/>
      <c r="AJ55" s="30">
        <f>Debt!X42+Debt!X50</f>
        <v>0</v>
      </c>
      <c r="AK55" s="28"/>
      <c r="AL55" s="30">
        <f>Debt!Z42+Debt!Z50</f>
        <v>0</v>
      </c>
      <c r="AM55" s="28"/>
      <c r="AN55" s="30">
        <f>Debt!AB42+Debt!AB50</f>
        <v>0</v>
      </c>
      <c r="AO55" s="31"/>
    </row>
    <row r="56" spans="2:41" s="21" customFormat="1">
      <c r="B56" s="53" t="s">
        <v>243</v>
      </c>
      <c r="H56" s="74"/>
      <c r="I56" s="28"/>
      <c r="J56" s="74"/>
      <c r="K56" s="28"/>
      <c r="L56" s="74"/>
      <c r="M56" s="28"/>
      <c r="N56" s="74"/>
      <c r="O56" s="28"/>
      <c r="P56" s="74"/>
      <c r="Q56" s="28"/>
      <c r="R56" s="74"/>
      <c r="S56" s="28"/>
      <c r="T56" s="30">
        <f>Debt!H43+Debt!H51</f>
        <v>0</v>
      </c>
      <c r="U56" s="28"/>
      <c r="V56" s="30">
        <f>Debt!J43+Debt!J51</f>
        <v>0</v>
      </c>
      <c r="W56" s="28"/>
      <c r="X56" s="30">
        <f>Debt!L43+Debt!L51</f>
        <v>0</v>
      </c>
      <c r="Y56" s="28"/>
      <c r="Z56" s="30">
        <f>Debt!N43+Debt!N51</f>
        <v>0</v>
      </c>
      <c r="AA56" s="28"/>
      <c r="AB56" s="30">
        <f>Debt!P43+Debt!P51</f>
        <v>0</v>
      </c>
      <c r="AC56" s="28"/>
      <c r="AD56" s="30">
        <f>Debt!R43+Debt!R51</f>
        <v>0</v>
      </c>
      <c r="AE56" s="28"/>
      <c r="AF56" s="30">
        <f>Debt!T43+Debt!T51</f>
        <v>0</v>
      </c>
      <c r="AG56" s="28"/>
      <c r="AH56" s="30">
        <f>Debt!V43+Debt!V51</f>
        <v>0</v>
      </c>
      <c r="AI56" s="28"/>
      <c r="AJ56" s="30">
        <f>Debt!X43+Debt!X51</f>
        <v>0</v>
      </c>
      <c r="AK56" s="28"/>
      <c r="AL56" s="30">
        <f>Debt!Z43+Debt!Z51</f>
        <v>0</v>
      </c>
      <c r="AM56" s="28"/>
      <c r="AN56" s="30">
        <f>Debt!AB43+Debt!AB51</f>
        <v>0</v>
      </c>
      <c r="AO56" s="31"/>
    </row>
    <row r="57" spans="2:41" s="21" customFormat="1">
      <c r="B57" s="53" t="s">
        <v>244</v>
      </c>
      <c r="H57" s="74"/>
      <c r="I57" s="28"/>
      <c r="J57" s="74"/>
      <c r="K57" s="28"/>
      <c r="L57" s="74"/>
      <c r="M57" s="28"/>
      <c r="N57" s="74"/>
      <c r="O57" s="28"/>
      <c r="P57" s="74"/>
      <c r="Q57" s="28"/>
      <c r="R57" s="74"/>
      <c r="S57" s="28"/>
      <c r="T57" s="30">
        <f>Debt!H44+Debt!H52</f>
        <v>0</v>
      </c>
      <c r="U57" s="28"/>
      <c r="V57" s="30">
        <f>Debt!J44+Debt!J52</f>
        <v>0</v>
      </c>
      <c r="W57" s="28"/>
      <c r="X57" s="30">
        <f>Debt!L44+Debt!L52</f>
        <v>0</v>
      </c>
      <c r="Y57" s="28"/>
      <c r="Z57" s="30">
        <f>Debt!N44+Debt!N52</f>
        <v>0</v>
      </c>
      <c r="AA57" s="28"/>
      <c r="AB57" s="30">
        <f>Debt!P44+Debt!P52</f>
        <v>0</v>
      </c>
      <c r="AC57" s="28"/>
      <c r="AD57" s="30">
        <f>Debt!R44+Debt!R52</f>
        <v>0</v>
      </c>
      <c r="AE57" s="28"/>
      <c r="AF57" s="30">
        <f>Debt!T44+Debt!T52</f>
        <v>0</v>
      </c>
      <c r="AG57" s="28"/>
      <c r="AH57" s="30">
        <f>Debt!V44+Debt!V52</f>
        <v>0</v>
      </c>
      <c r="AI57" s="28"/>
      <c r="AJ57" s="30">
        <f>Debt!X44+Debt!X52</f>
        <v>0</v>
      </c>
      <c r="AK57" s="28"/>
      <c r="AL57" s="30">
        <f>Debt!Z44+Debt!Z52</f>
        <v>0</v>
      </c>
      <c r="AM57" s="28"/>
      <c r="AN57" s="30">
        <f>Debt!AB44+Debt!AB52</f>
        <v>0</v>
      </c>
      <c r="AO57" s="31"/>
    </row>
    <row r="58" spans="2:41" s="21" customFormat="1">
      <c r="B58" s="53" t="s">
        <v>165</v>
      </c>
      <c r="H58" s="74"/>
      <c r="I58" s="28"/>
      <c r="J58" s="74"/>
      <c r="K58" s="28"/>
      <c r="L58" s="74"/>
      <c r="M58" s="28"/>
      <c r="N58" s="74"/>
      <c r="O58" s="28"/>
      <c r="P58" s="74"/>
      <c r="Q58" s="28"/>
      <c r="R58" s="74"/>
      <c r="S58" s="28"/>
      <c r="T58" s="30">
        <f>-IF(T$6='Financing Inputs'!$T$5,'Financing Inputs'!$L$8,0)</f>
        <v>0</v>
      </c>
      <c r="U58" s="28"/>
      <c r="V58" s="30">
        <f>-IF(V$6='Financing Inputs'!$T$5,'Financing Inputs'!$L$8,0)</f>
        <v>0</v>
      </c>
      <c r="W58" s="28"/>
      <c r="X58" s="30">
        <f>-IF(X$6='Financing Inputs'!$T$5,'Financing Inputs'!$L$8,0)</f>
        <v>0</v>
      </c>
      <c r="Y58" s="28"/>
      <c r="Z58" s="30">
        <f>-IF(Z$6='Financing Inputs'!$T$5,'Financing Inputs'!$L$8,0)</f>
        <v>0</v>
      </c>
      <c r="AA58" s="28"/>
      <c r="AB58" s="30">
        <f>-IF(AB$6='Financing Inputs'!$T$5,'Financing Inputs'!$L$8,0)</f>
        <v>0</v>
      </c>
      <c r="AC58" s="28"/>
      <c r="AD58" s="30">
        <f>-IF(AD$6='Financing Inputs'!$T$5,'Financing Inputs'!$L$8,0)</f>
        <v>0</v>
      </c>
      <c r="AE58" s="28"/>
      <c r="AF58" s="30">
        <f>-IF(AF$6='Financing Inputs'!$T$5,'Financing Inputs'!$L$8,0)</f>
        <v>0</v>
      </c>
      <c r="AG58" s="28"/>
      <c r="AH58" s="30">
        <f>-IF(AH$6='Financing Inputs'!$T$5,'Financing Inputs'!$L$8,0)</f>
        <v>0</v>
      </c>
      <c r="AI58" s="28"/>
      <c r="AJ58" s="30">
        <f>-IF(AJ$6='Financing Inputs'!$T$5,'Financing Inputs'!$L$8,0)</f>
        <v>0</v>
      </c>
      <c r="AK58" s="28"/>
      <c r="AL58" s="30">
        <f>-IF(AL$6='Financing Inputs'!$T$5,'Financing Inputs'!$L$8,0)</f>
        <v>0</v>
      </c>
      <c r="AM58" s="28"/>
      <c r="AN58" s="30">
        <f>-IF(AN$6='Financing Inputs'!$T$5,'Financing Inputs'!$L$8,0)</f>
        <v>0</v>
      </c>
      <c r="AO58" s="31"/>
    </row>
    <row r="59" spans="2:41" s="21" customFormat="1">
      <c r="B59" s="53" t="s">
        <v>166</v>
      </c>
      <c r="H59" s="74"/>
      <c r="I59" s="28"/>
      <c r="J59" s="74"/>
      <c r="K59" s="28"/>
      <c r="L59" s="74"/>
      <c r="M59" s="28"/>
      <c r="N59" s="74"/>
      <c r="O59" s="28"/>
      <c r="P59" s="74"/>
      <c r="Q59" s="28"/>
      <c r="R59" s="74"/>
      <c r="S59" s="28"/>
      <c r="T59" s="30">
        <f>-IF(T$6='Financing Inputs'!$T$5,'Financing Inputs'!$L$9,0)</f>
        <v>0</v>
      </c>
      <c r="U59" s="28"/>
      <c r="V59" s="30">
        <f>-IF(V$6='Financing Inputs'!$T$5,'Financing Inputs'!$L$9,0)</f>
        <v>0</v>
      </c>
      <c r="W59" s="28"/>
      <c r="X59" s="30">
        <f>-IF(X$6='Financing Inputs'!$T$5,'Financing Inputs'!$L$9,0)</f>
        <v>0</v>
      </c>
      <c r="Y59" s="28"/>
      <c r="Z59" s="30">
        <f>-IF(Z$6='Financing Inputs'!$T$5,'Financing Inputs'!$L$9,0)</f>
        <v>0</v>
      </c>
      <c r="AA59" s="28"/>
      <c r="AB59" s="30">
        <f>-IF(AB$6='Financing Inputs'!$T$5,'Financing Inputs'!$L$9,0)</f>
        <v>0</v>
      </c>
      <c r="AC59" s="28"/>
      <c r="AD59" s="30">
        <f>-IF(AD$6='Financing Inputs'!$T$5,'Financing Inputs'!$L$9,0)</f>
        <v>0</v>
      </c>
      <c r="AE59" s="28"/>
      <c r="AF59" s="30">
        <f>-IF(AF$6='Financing Inputs'!$T$5,'Financing Inputs'!$L$9,0)</f>
        <v>0</v>
      </c>
      <c r="AG59" s="28"/>
      <c r="AH59" s="30">
        <f>-IF(AH$6='Financing Inputs'!$T$5,'Financing Inputs'!$L$9,0)</f>
        <v>0</v>
      </c>
      <c r="AI59" s="28"/>
      <c r="AJ59" s="30">
        <f>-IF(AJ$6='Financing Inputs'!$T$5,'Financing Inputs'!$L$9,0)</f>
        <v>0</v>
      </c>
      <c r="AK59" s="28"/>
      <c r="AL59" s="30">
        <f>-IF(AL$6='Financing Inputs'!$T$5,'Financing Inputs'!$L$9,0)</f>
        <v>0</v>
      </c>
      <c r="AM59" s="28"/>
      <c r="AN59" s="30">
        <f>-IF(AN$6='Financing Inputs'!$T$5,'Financing Inputs'!$L$9,0)</f>
        <v>0</v>
      </c>
      <c r="AO59" s="31"/>
    </row>
    <row r="60" spans="2:41" s="38" customFormat="1">
      <c r="B60" s="78" t="s">
        <v>224</v>
      </c>
      <c r="C60" s="37"/>
      <c r="D60" s="37"/>
      <c r="E60" s="37"/>
      <c r="F60" s="37"/>
      <c r="H60" s="79"/>
      <c r="J60" s="79"/>
      <c r="L60" s="79"/>
      <c r="N60" s="79"/>
      <c r="O60" s="58"/>
      <c r="P60" s="79"/>
      <c r="Q60" s="58"/>
      <c r="R60" s="79"/>
      <c r="S60" s="58"/>
      <c r="T60" s="56">
        <f>ROUND(IF(T$6='Financing Inputs'!$T$5,0,T46)+SUM(T48:T59),5)</f>
        <v>0</v>
      </c>
      <c r="V60" s="56">
        <f>ROUND(IF(V$6='Financing Inputs'!$T$5,0,V46)+SUM(V48:V59),5)</f>
        <v>69.052180000000007</v>
      </c>
      <c r="X60" s="56">
        <f>ROUND(IF(X$6='Financing Inputs'!$T$5,0,X46)+SUM(X48:X59),5)</f>
        <v>85.739720000000005</v>
      </c>
      <c r="Z60" s="56">
        <f>ROUND(IF(Z$6='Financing Inputs'!$T$5,0,Z46)+SUM(Z48:Z59),5)</f>
        <v>101.99082</v>
      </c>
      <c r="AB60" s="56">
        <f>ROUND(IF(AB$6='Financing Inputs'!$T$5,0,AB46)+SUM(AB48:AB59),5)</f>
        <v>116.15278000000001</v>
      </c>
      <c r="AD60" s="56">
        <f>ROUND(IF(AD$6='Financing Inputs'!$T$5,0,AD46)+SUM(AD48:AD59),5)</f>
        <v>129.19487000000001</v>
      </c>
      <c r="AF60" s="56">
        <f>ROUND(IF(AF$6='Financing Inputs'!$T$5,0,AF46)+SUM(AF48:AF59),5)</f>
        <v>121.24039999999999</v>
      </c>
      <c r="AH60" s="56">
        <f>ROUND(IF(AH$6='Financing Inputs'!$T$5,0,AH46)+SUM(AH48:AH59),5)</f>
        <v>113.37088</v>
      </c>
      <c r="AJ60" s="56">
        <f>ROUND(IF(AJ$6='Financing Inputs'!$T$5,0,AJ46)+SUM(AJ48:AJ59),5)</f>
        <v>105.57156000000001</v>
      </c>
      <c r="AL60" s="56">
        <f>ROUND(IF(AL$6='Financing Inputs'!$T$5,0,AL46)+SUM(AL48:AL59),5)</f>
        <v>97.827029999999993</v>
      </c>
      <c r="AN60" s="56">
        <f>ROUND(IF(AN$6='Financing Inputs'!$T$5,0,AN46)+SUM(AN48:AN59),5)</f>
        <v>878.94494999999995</v>
      </c>
    </row>
    <row r="61" spans="2:41" s="21" customFormat="1">
      <c r="B61" s="53"/>
      <c r="H61" s="74"/>
      <c r="I61" s="28"/>
      <c r="J61" s="74"/>
      <c r="K61" s="28"/>
      <c r="L61" s="74"/>
      <c r="M61" s="28"/>
      <c r="N61" s="74"/>
      <c r="O61" s="28"/>
      <c r="P61" s="74"/>
      <c r="Q61" s="28"/>
      <c r="R61" s="74"/>
      <c r="S61" s="28"/>
      <c r="T61" s="30"/>
      <c r="U61" s="28"/>
      <c r="V61" s="30"/>
      <c r="W61" s="28"/>
      <c r="X61" s="30"/>
      <c r="Y61" s="28"/>
      <c r="Z61" s="30"/>
      <c r="AA61" s="28"/>
      <c r="AB61" s="30"/>
      <c r="AC61" s="28"/>
      <c r="AD61" s="30"/>
      <c r="AE61" s="28"/>
      <c r="AF61" s="30"/>
      <c r="AG61" s="28"/>
      <c r="AH61" s="30"/>
      <c r="AI61" s="28"/>
      <c r="AJ61" s="30"/>
      <c r="AK61" s="28"/>
      <c r="AL61" s="30"/>
      <c r="AM61" s="28"/>
      <c r="AN61" s="30"/>
      <c r="AO61" s="31"/>
    </row>
    <row r="62" spans="2:41" s="21" customFormat="1">
      <c r="B62" s="80" t="s">
        <v>286</v>
      </c>
      <c r="F62" s="81">
        <f>'Financing Inputs'!T25</f>
        <v>0.5</v>
      </c>
      <c r="H62" s="74"/>
      <c r="I62" s="28"/>
      <c r="J62" s="74"/>
      <c r="K62" s="28"/>
      <c r="L62" s="74"/>
      <c r="M62" s="28"/>
      <c r="N62" s="74"/>
      <c r="O62" s="28"/>
      <c r="P62" s="74"/>
      <c r="Q62" s="28"/>
      <c r="R62" s="74"/>
      <c r="S62" s="28"/>
      <c r="T62" s="30">
        <f>IF(IF('Financing Inputs'!$T$31=2,T50+T51,0)+T46+T49+T53+T54+T56+T55&lt;0,T60,T60*$F$62)</f>
        <v>0</v>
      </c>
      <c r="U62" s="28"/>
      <c r="V62" s="30">
        <f>IF(IF('Financing Inputs'!$T$31=2,V50+V51,0)+V46+V49+V53+V54+V56+V55&lt;0,V60,V60*$F$62)</f>
        <v>34.526090000000003</v>
      </c>
      <c r="W62" s="28"/>
      <c r="X62" s="30">
        <f>IF(IF('Financing Inputs'!$T$31=2,X50+X51,0)+X46+X49+X53+X54+X56+X55&lt;0,X60,X60*$F$62)</f>
        <v>42.869860000000003</v>
      </c>
      <c r="Y62" s="28"/>
      <c r="Z62" s="30">
        <f>IF(IF('Financing Inputs'!$T$31=2,Z50+Z51,0)+Z46+Z49+Z53+Z54+Z56+Z55&lt;0,Z60,Z60*$F$62)</f>
        <v>50.99541</v>
      </c>
      <c r="AA62" s="28"/>
      <c r="AB62" s="30">
        <f>IF(IF('Financing Inputs'!$T$31=2,AB50+AB51,0)+AB46+AB49+AB53+AB54+AB56+AB55&lt;0,AB60,AB60*$F$62)</f>
        <v>58.076390000000004</v>
      </c>
      <c r="AC62" s="28"/>
      <c r="AD62" s="30">
        <f>IF(IF('Financing Inputs'!$T$31=2,AD50+AD51,0)+AD46+AD49+AD53+AD54+AD56+AD55&lt;0,AD60,AD60*$F$62)</f>
        <v>64.597435000000004</v>
      </c>
      <c r="AE62" s="28"/>
      <c r="AF62" s="30">
        <f>IF(IF('Financing Inputs'!$T$31=2,AF50+AF51,0)+AF46+AF49+AF53+AF54+AF56+AF55&lt;0,AF60,AF60*$F$62)</f>
        <v>60.620199999999997</v>
      </c>
      <c r="AG62" s="28"/>
      <c r="AH62" s="30">
        <f>IF(IF('Financing Inputs'!$T$31=2,AH50+AH51,0)+AH46+AH49+AH53+AH54+AH56+AH55&lt;0,AH60,AH60*$F$62)</f>
        <v>56.68544</v>
      </c>
      <c r="AI62" s="28"/>
      <c r="AJ62" s="30">
        <f>IF(IF('Financing Inputs'!$T$31=2,AJ50+AJ51,0)+AJ46+AJ49+AJ53+AJ54+AJ56+AJ55&lt;0,AJ60,AJ60*$F$62)</f>
        <v>52.785780000000003</v>
      </c>
      <c r="AK62" s="28"/>
      <c r="AL62" s="30">
        <f>IF(IF('Financing Inputs'!$T$31=2,AL50+AL51,0)+AL46+AL49+AL53+AL54+AL56+AL55&lt;0,AL60,AL60*$F$62)</f>
        <v>48.913514999999997</v>
      </c>
      <c r="AM62" s="28"/>
      <c r="AN62" s="30">
        <f>IF(IF('Financing Inputs'!$T$31=2,AN50+AN51,0)+AN46+AN49+AN53+AN54+AN56+AN55&lt;0,AN60,AN60*$F$62)</f>
        <v>439.47247499999997</v>
      </c>
      <c r="AO62" s="31"/>
    </row>
    <row r="63" spans="2:41" s="21" customFormat="1">
      <c r="B63" s="80" t="s">
        <v>287</v>
      </c>
      <c r="F63" s="81">
        <f>'Financing Inputs'!T26</f>
        <v>0.5</v>
      </c>
      <c r="H63" s="74"/>
      <c r="I63" s="28"/>
      <c r="J63" s="74"/>
      <c r="K63" s="28"/>
      <c r="L63" s="74"/>
      <c r="M63" s="28"/>
      <c r="N63" s="74"/>
      <c r="O63" s="28"/>
      <c r="P63" s="74"/>
      <c r="Q63" s="28"/>
      <c r="R63" s="74"/>
      <c r="S63" s="28"/>
      <c r="T63" s="30">
        <f>IF(IF('Financing Inputs'!$T$31=2,T50+T51,0)+T46+T49+T53+T54+T56+T55&lt;0,T60,T60*$F$63)</f>
        <v>0</v>
      </c>
      <c r="U63" s="28"/>
      <c r="V63" s="30">
        <f>IF(IF('Financing Inputs'!$T$31=2,V50+V51,0)+V46+V49+V53+V54+V56+V55&lt;0,V60,V60*$F$63)</f>
        <v>34.526090000000003</v>
      </c>
      <c r="W63" s="28"/>
      <c r="X63" s="30">
        <f>IF(IF('Financing Inputs'!$T$31=2,X50+X51,0)+X46+X49+X53+X54+X56+X55&lt;0,X60,X60*$F$63)</f>
        <v>42.869860000000003</v>
      </c>
      <c r="Y63" s="28"/>
      <c r="Z63" s="30">
        <f>IF(IF('Financing Inputs'!$T$31=2,Z50+Z51,0)+Z46+Z49+Z53+Z54+Z56+Z55&lt;0,Z60,Z60*$F$63)</f>
        <v>50.99541</v>
      </c>
      <c r="AA63" s="28"/>
      <c r="AB63" s="30">
        <f>IF(IF('Financing Inputs'!$T$31=2,AB50+AB51,0)+AB46+AB49+AB53+AB54+AB56+AB55&lt;0,AB60,AB60*$F$63)</f>
        <v>58.076390000000004</v>
      </c>
      <c r="AC63" s="28"/>
      <c r="AD63" s="30">
        <f>IF(IF('Financing Inputs'!$T$31=2,AD50+AD51,0)+AD46+AD49+AD53+AD54+AD56+AD55&lt;0,AD60,AD60*$F$63)</f>
        <v>64.597435000000004</v>
      </c>
      <c r="AE63" s="28"/>
      <c r="AF63" s="30">
        <f>IF(IF('Financing Inputs'!$T$31=2,AF50+AF51,0)+AF46+AF49+AF53+AF54+AF56+AF55&lt;0,AF60,AF60*$F$63)</f>
        <v>60.620199999999997</v>
      </c>
      <c r="AG63" s="28"/>
      <c r="AH63" s="30">
        <f>IF(IF('Financing Inputs'!$T$31=2,AH50+AH51,0)+AH46+AH49+AH53+AH54+AH56+AH55&lt;0,AH60,AH60*$F$63)</f>
        <v>56.68544</v>
      </c>
      <c r="AI63" s="28"/>
      <c r="AJ63" s="30">
        <f>IF(IF('Financing Inputs'!$T$31=2,AJ50+AJ51,0)+AJ46+AJ49+AJ53+AJ54+AJ56+AJ55&lt;0,AJ60,AJ60*$F$63)</f>
        <v>52.785780000000003</v>
      </c>
      <c r="AK63" s="28"/>
      <c r="AL63" s="30">
        <f>IF(IF('Financing Inputs'!$T$31=2,AL50+AL51,0)+AL46+AL49+AL53+AL54+AL56+AL55&lt;0,AL60,AL60*$F$63)</f>
        <v>48.913514999999997</v>
      </c>
      <c r="AM63" s="28"/>
      <c r="AN63" s="30">
        <f>IF(IF('Financing Inputs'!$T$31=2,AN50+AN51,0)+AN46+AN49+AN53+AN54+AN56+AN55&lt;0,AN60,AN60*$F$63)</f>
        <v>439.47247499999997</v>
      </c>
      <c r="AO63" s="31"/>
    </row>
    <row r="64" spans="2:41" s="21" customFormat="1">
      <c r="B64" s="80"/>
      <c r="H64" s="30"/>
      <c r="I64" s="28"/>
      <c r="J64" s="30"/>
      <c r="K64" s="28"/>
      <c r="L64" s="30"/>
      <c r="M64" s="28"/>
      <c r="N64" s="30"/>
      <c r="O64" s="28"/>
      <c r="P64" s="30"/>
      <c r="Q64" s="28"/>
      <c r="R64" s="30"/>
      <c r="S64" s="28"/>
      <c r="T64" s="30"/>
      <c r="U64" s="28"/>
      <c r="V64" s="30"/>
      <c r="W64" s="28"/>
      <c r="X64" s="30"/>
      <c r="Y64" s="28"/>
      <c r="Z64" s="30"/>
      <c r="AA64" s="28"/>
      <c r="AB64" s="30"/>
      <c r="AC64" s="28"/>
      <c r="AD64" s="30"/>
      <c r="AE64" s="28"/>
      <c r="AF64" s="30"/>
      <c r="AG64" s="28"/>
      <c r="AH64" s="30"/>
      <c r="AI64" s="28"/>
      <c r="AJ64" s="30"/>
      <c r="AK64" s="28"/>
      <c r="AL64" s="30"/>
      <c r="AM64" s="28"/>
      <c r="AN64" s="30"/>
      <c r="AO64" s="31"/>
    </row>
    <row r="65" spans="1:42" s="21" customFormat="1">
      <c r="B65" s="87" t="s">
        <v>284</v>
      </c>
      <c r="C65" s="9"/>
      <c r="D65" s="9"/>
      <c r="E65" s="9"/>
      <c r="F65" s="9"/>
      <c r="H65" s="30"/>
      <c r="I65" s="28"/>
      <c r="J65" s="30"/>
      <c r="K65" s="28"/>
      <c r="L65" s="30"/>
      <c r="M65" s="28"/>
      <c r="N65" s="30"/>
      <c r="O65" s="28"/>
      <c r="P65" s="30"/>
      <c r="Q65" s="28"/>
      <c r="R65" s="30"/>
      <c r="S65" s="28"/>
      <c r="T65" s="30"/>
      <c r="U65" s="28"/>
      <c r="V65" s="30"/>
      <c r="W65" s="28"/>
      <c r="X65" s="30"/>
      <c r="Y65" s="28"/>
      <c r="Z65" s="30"/>
      <c r="AA65" s="28"/>
      <c r="AB65" s="30"/>
      <c r="AC65" s="28"/>
      <c r="AD65" s="30"/>
      <c r="AE65" s="28"/>
      <c r="AF65" s="30"/>
      <c r="AG65" s="28"/>
      <c r="AH65" s="30"/>
      <c r="AI65" s="28"/>
      <c r="AJ65" s="30"/>
      <c r="AK65" s="28"/>
      <c r="AL65" s="30"/>
      <c r="AM65" s="28"/>
      <c r="AN65" s="30"/>
      <c r="AO65" s="31"/>
    </row>
    <row r="66" spans="1:42" s="21" customFormat="1">
      <c r="B66" s="82" t="s">
        <v>214</v>
      </c>
      <c r="C66" s="9"/>
      <c r="D66" s="9"/>
      <c r="E66" s="9"/>
      <c r="F66" s="83">
        <f>-SUMIF(T66:AN66,"&lt;0")</f>
        <v>269.875</v>
      </c>
      <c r="H66" s="74"/>
      <c r="I66" s="28"/>
      <c r="J66" s="74"/>
      <c r="K66" s="28"/>
      <c r="L66" s="74"/>
      <c r="M66" s="28"/>
      <c r="N66" s="74"/>
      <c r="O66" s="28"/>
      <c r="P66" s="74"/>
      <c r="Q66" s="28"/>
      <c r="R66" s="74"/>
      <c r="S66" s="28"/>
      <c r="T66" s="30">
        <f>-T50</f>
        <v>-269.875</v>
      </c>
      <c r="U66" s="28"/>
      <c r="V66" s="30">
        <f>-V50</f>
        <v>0</v>
      </c>
      <c r="W66" s="28"/>
      <c r="X66" s="30">
        <f>-X50</f>
        <v>0</v>
      </c>
      <c r="Y66" s="28"/>
      <c r="Z66" s="30">
        <f>-Z50</f>
        <v>0</v>
      </c>
      <c r="AA66" s="28"/>
      <c r="AB66" s="30">
        <f>-AB50</f>
        <v>0</v>
      </c>
      <c r="AC66" s="28"/>
      <c r="AD66" s="30">
        <f>-AD50</f>
        <v>0</v>
      </c>
      <c r="AE66" s="28"/>
      <c r="AF66" s="30">
        <f>-AF50</f>
        <v>0</v>
      </c>
      <c r="AG66" s="28"/>
      <c r="AH66" s="30">
        <f>-AH50</f>
        <v>0</v>
      </c>
      <c r="AI66" s="28"/>
      <c r="AJ66" s="30">
        <f>-AJ50</f>
        <v>0</v>
      </c>
      <c r="AK66" s="28"/>
      <c r="AL66" s="30">
        <f>-AL50</f>
        <v>0</v>
      </c>
      <c r="AM66" s="28"/>
      <c r="AN66" s="30">
        <f>-AN50</f>
        <v>0</v>
      </c>
      <c r="AO66" s="28"/>
      <c r="AP66" s="30"/>
    </row>
    <row r="67" spans="1:42" s="21" customFormat="1">
      <c r="B67" s="82" t="s">
        <v>215</v>
      </c>
      <c r="C67" s="9"/>
      <c r="D67" s="9"/>
      <c r="E67" s="9"/>
      <c r="F67" s="83">
        <f>SUM(T67:AN67)+SUMIF(T66:AN66,"&gt;0")</f>
        <v>909.54259499999989</v>
      </c>
      <c r="H67" s="74"/>
      <c r="I67" s="28"/>
      <c r="J67" s="74"/>
      <c r="K67" s="28"/>
      <c r="L67" s="74"/>
      <c r="M67" s="28"/>
      <c r="N67" s="74"/>
      <c r="O67" s="28"/>
      <c r="P67" s="74"/>
      <c r="Q67" s="28"/>
      <c r="R67" s="74"/>
      <c r="S67" s="28"/>
      <c r="T67" s="30">
        <f>T62</f>
        <v>0</v>
      </c>
      <c r="U67" s="28"/>
      <c r="V67" s="30">
        <f>V62</f>
        <v>34.526090000000003</v>
      </c>
      <c r="W67" s="28"/>
      <c r="X67" s="30">
        <f t="shared" ref="X67" si="0">X62</f>
        <v>42.869860000000003</v>
      </c>
      <c r="Y67" s="28"/>
      <c r="Z67" s="30">
        <f t="shared" ref="Z67" si="1">Z62</f>
        <v>50.99541</v>
      </c>
      <c r="AA67" s="28"/>
      <c r="AB67" s="30">
        <f t="shared" ref="AB67" si="2">AB62</f>
        <v>58.076390000000004</v>
      </c>
      <c r="AC67" s="28"/>
      <c r="AD67" s="30">
        <f t="shared" ref="AD67" si="3">AD62</f>
        <v>64.597435000000004</v>
      </c>
      <c r="AE67" s="28"/>
      <c r="AF67" s="30">
        <f t="shared" ref="AF67" si="4">AF62</f>
        <v>60.620199999999997</v>
      </c>
      <c r="AG67" s="28"/>
      <c r="AH67" s="30">
        <f t="shared" ref="AH67" si="5">AH62</f>
        <v>56.68544</v>
      </c>
      <c r="AI67" s="28"/>
      <c r="AJ67" s="30">
        <f t="shared" ref="AJ67" si="6">AJ62</f>
        <v>52.785780000000003</v>
      </c>
      <c r="AK67" s="28"/>
      <c r="AL67" s="30">
        <f t="shared" ref="AL67" si="7">AL62</f>
        <v>48.913514999999997</v>
      </c>
      <c r="AM67" s="28"/>
      <c r="AN67" s="30">
        <f t="shared" ref="AN67" si="8">AN62</f>
        <v>439.47247499999997</v>
      </c>
      <c r="AO67" s="28"/>
      <c r="AP67" s="30"/>
    </row>
    <row r="68" spans="1:42" s="21" customFormat="1">
      <c r="B68" s="82" t="s">
        <v>216</v>
      </c>
      <c r="C68" s="9"/>
      <c r="D68" s="9"/>
      <c r="E68" s="9"/>
      <c r="H68" s="74"/>
      <c r="I68" s="28"/>
      <c r="J68" s="74"/>
      <c r="K68" s="28"/>
      <c r="L68" s="74"/>
      <c r="M68" s="28"/>
      <c r="N68" s="74"/>
      <c r="O68" s="28"/>
      <c r="P68" s="74"/>
      <c r="Q68" s="28"/>
      <c r="R68" s="74"/>
      <c r="S68" s="28"/>
      <c r="T68" s="84">
        <f>SUM(T66:T67)</f>
        <v>-269.875</v>
      </c>
      <c r="U68" s="28"/>
      <c r="V68" s="84">
        <f t="shared" ref="V68" si="9">SUM(V66:V67)</f>
        <v>34.526090000000003</v>
      </c>
      <c r="W68" s="28"/>
      <c r="X68" s="84">
        <f t="shared" ref="X68" si="10">SUM(X66:X67)</f>
        <v>42.869860000000003</v>
      </c>
      <c r="Y68" s="28"/>
      <c r="Z68" s="84">
        <f t="shared" ref="Z68" si="11">SUM(Z66:Z67)</f>
        <v>50.99541</v>
      </c>
      <c r="AA68" s="28"/>
      <c r="AB68" s="84">
        <f t="shared" ref="AB68" si="12">SUM(AB66:AB67)</f>
        <v>58.076390000000004</v>
      </c>
      <c r="AC68" s="28"/>
      <c r="AD68" s="84">
        <f t="shared" ref="AD68" si="13">SUM(AD66:AD67)</f>
        <v>64.597435000000004</v>
      </c>
      <c r="AE68" s="28"/>
      <c r="AF68" s="84">
        <f t="shared" ref="AF68" si="14">SUM(AF66:AF67)</f>
        <v>60.620199999999997</v>
      </c>
      <c r="AG68" s="28"/>
      <c r="AH68" s="84">
        <f t="shared" ref="AH68" si="15">SUM(AH66:AH67)</f>
        <v>56.68544</v>
      </c>
      <c r="AI68" s="28"/>
      <c r="AJ68" s="84">
        <f t="shared" ref="AJ68" si="16">SUM(AJ66:AJ67)</f>
        <v>52.785780000000003</v>
      </c>
      <c r="AK68" s="28"/>
      <c r="AL68" s="84">
        <f t="shared" ref="AL68" si="17">SUM(AL66:AL67)</f>
        <v>48.913514999999997</v>
      </c>
      <c r="AM68" s="28"/>
      <c r="AN68" s="84">
        <f t="shared" ref="AN68" si="18">SUM(AN66:AN67)</f>
        <v>439.47247499999997</v>
      </c>
      <c r="AO68" s="31"/>
    </row>
    <row r="69" spans="1:42" s="21" customFormat="1">
      <c r="B69" s="69"/>
      <c r="C69" s="9"/>
      <c r="D69" s="9"/>
      <c r="E69" s="9"/>
      <c r="H69" s="30"/>
      <c r="I69" s="28"/>
      <c r="J69" s="30"/>
      <c r="K69" s="28"/>
      <c r="L69" s="30"/>
      <c r="M69" s="28"/>
      <c r="N69" s="30"/>
      <c r="O69" s="28"/>
      <c r="P69" s="30"/>
      <c r="Q69" s="28"/>
      <c r="R69" s="30"/>
      <c r="S69" s="28"/>
      <c r="T69" s="30"/>
      <c r="U69" s="28"/>
      <c r="V69" s="30"/>
      <c r="W69" s="28"/>
      <c r="X69" s="30"/>
      <c r="Y69" s="28"/>
      <c r="Z69" s="30"/>
      <c r="AA69" s="28"/>
      <c r="AB69" s="30"/>
      <c r="AC69" s="28"/>
      <c r="AD69" s="30"/>
      <c r="AE69" s="28"/>
      <c r="AF69" s="30"/>
      <c r="AG69" s="28"/>
      <c r="AH69" s="30"/>
      <c r="AI69" s="28"/>
      <c r="AJ69" s="30"/>
      <c r="AK69" s="28"/>
      <c r="AL69" s="30"/>
      <c r="AM69" s="28"/>
      <c r="AN69" s="30"/>
      <c r="AO69" s="31"/>
    </row>
    <row r="70" spans="1:42" s="222" customFormat="1">
      <c r="A70" s="21"/>
      <c r="B70" s="223" t="s">
        <v>217</v>
      </c>
      <c r="C70" s="224"/>
      <c r="D70" s="224"/>
      <c r="E70" s="224"/>
      <c r="F70" s="225">
        <f>XIRR(T68:AN68,$T$6:$AN$6)</f>
        <v>0.20067278742790223</v>
      </c>
      <c r="H70" s="226"/>
      <c r="I70" s="227"/>
      <c r="J70" s="226"/>
      <c r="K70" s="227"/>
      <c r="L70" s="226"/>
      <c r="M70" s="227"/>
      <c r="N70" s="226"/>
      <c r="O70" s="227"/>
      <c r="P70" s="226"/>
      <c r="Q70" s="227"/>
      <c r="R70" s="226"/>
      <c r="S70" s="227"/>
      <c r="T70" s="226"/>
      <c r="U70" s="227"/>
      <c r="V70" s="226"/>
      <c r="W70" s="227"/>
      <c r="X70" s="226"/>
      <c r="Y70" s="227"/>
      <c r="Z70" s="226"/>
      <c r="AA70" s="227"/>
      <c r="AB70" s="226"/>
      <c r="AC70" s="227"/>
      <c r="AD70" s="226"/>
      <c r="AE70" s="227"/>
      <c r="AF70" s="226"/>
      <c r="AG70" s="227"/>
      <c r="AH70" s="226"/>
      <c r="AI70" s="227"/>
      <c r="AJ70" s="226"/>
      <c r="AK70" s="227"/>
      <c r="AL70" s="226"/>
      <c r="AM70" s="227"/>
      <c r="AN70" s="226"/>
      <c r="AO70" s="31"/>
    </row>
    <row r="71" spans="1:42" s="21" customFormat="1">
      <c r="B71" s="87"/>
      <c r="C71" s="9"/>
      <c r="D71" s="9"/>
      <c r="E71" s="9"/>
      <c r="F71" s="9"/>
      <c r="H71" s="30"/>
      <c r="I71" s="28"/>
      <c r="J71" s="30"/>
      <c r="K71" s="28"/>
      <c r="L71" s="30"/>
      <c r="M71" s="28"/>
      <c r="N71" s="30"/>
      <c r="O71" s="28"/>
      <c r="P71" s="30"/>
      <c r="Q71" s="28"/>
      <c r="R71" s="30"/>
      <c r="S71" s="28"/>
      <c r="T71" s="30"/>
      <c r="U71" s="28"/>
      <c r="V71" s="30"/>
      <c r="W71" s="28"/>
      <c r="X71" s="30"/>
      <c r="Y71" s="28"/>
      <c r="Z71" s="30"/>
      <c r="AA71" s="28"/>
      <c r="AB71" s="30"/>
      <c r="AC71" s="28"/>
      <c r="AD71" s="30"/>
      <c r="AE71" s="28"/>
      <c r="AF71" s="30"/>
      <c r="AG71" s="28"/>
      <c r="AH71" s="30"/>
      <c r="AI71" s="28"/>
      <c r="AJ71" s="30"/>
      <c r="AK71" s="28"/>
      <c r="AL71" s="30"/>
      <c r="AM71" s="28"/>
      <c r="AN71" s="30"/>
      <c r="AO71" s="31"/>
    </row>
    <row r="72" spans="1:42" s="21" customFormat="1">
      <c r="B72" s="87" t="s">
        <v>285</v>
      </c>
      <c r="C72" s="9"/>
      <c r="D72" s="9"/>
      <c r="E72" s="9"/>
      <c r="F72" s="9"/>
      <c r="H72" s="30"/>
      <c r="I72" s="28"/>
      <c r="J72" s="30"/>
      <c r="K72" s="28"/>
      <c r="L72" s="30"/>
      <c r="M72" s="28"/>
      <c r="N72" s="30"/>
      <c r="O72" s="28"/>
      <c r="P72" s="30"/>
      <c r="Q72" s="28"/>
      <c r="R72" s="30"/>
      <c r="S72" s="28"/>
      <c r="T72" s="30"/>
      <c r="U72" s="28"/>
      <c r="V72" s="30"/>
      <c r="W72" s="28"/>
      <c r="X72" s="30"/>
      <c r="Y72" s="28"/>
      <c r="Z72" s="30"/>
      <c r="AA72" s="28"/>
      <c r="AB72" s="30"/>
      <c r="AC72" s="28"/>
      <c r="AD72" s="30"/>
      <c r="AE72" s="28"/>
      <c r="AF72" s="30"/>
      <c r="AG72" s="28"/>
      <c r="AH72" s="30"/>
      <c r="AI72" s="28"/>
      <c r="AJ72" s="30"/>
      <c r="AK72" s="28"/>
      <c r="AL72" s="30"/>
      <c r="AM72" s="28"/>
      <c r="AN72" s="30"/>
      <c r="AO72" s="31"/>
    </row>
    <row r="73" spans="1:42" s="21" customFormat="1">
      <c r="B73" s="82" t="s">
        <v>214</v>
      </c>
      <c r="C73" s="9"/>
      <c r="D73" s="9"/>
      <c r="E73" s="9"/>
      <c r="F73" s="83">
        <f>-SUMIF(T73:AN73,"&lt;0")</f>
        <v>269.875</v>
      </c>
      <c r="H73" s="74"/>
      <c r="I73" s="28"/>
      <c r="J73" s="74"/>
      <c r="K73" s="28"/>
      <c r="L73" s="74"/>
      <c r="M73" s="28"/>
      <c r="N73" s="74"/>
      <c r="O73" s="28"/>
      <c r="P73" s="74"/>
      <c r="Q73" s="28"/>
      <c r="R73" s="74"/>
      <c r="S73" s="28"/>
      <c r="T73" s="30">
        <f>-T51</f>
        <v>-269.875</v>
      </c>
      <c r="U73" s="28"/>
      <c r="V73" s="30">
        <f>-V51</f>
        <v>0</v>
      </c>
      <c r="W73" s="28"/>
      <c r="X73" s="30">
        <f>-X51</f>
        <v>0</v>
      </c>
      <c r="Y73" s="28"/>
      <c r="Z73" s="30">
        <f>-Z51</f>
        <v>0</v>
      </c>
      <c r="AA73" s="28"/>
      <c r="AB73" s="30">
        <f>-AB51</f>
        <v>0</v>
      </c>
      <c r="AC73" s="28"/>
      <c r="AD73" s="30">
        <f>-AD51</f>
        <v>0</v>
      </c>
      <c r="AE73" s="28"/>
      <c r="AF73" s="30">
        <f>-AF51</f>
        <v>0</v>
      </c>
      <c r="AG73" s="28"/>
      <c r="AH73" s="30">
        <f>-AH51</f>
        <v>0</v>
      </c>
      <c r="AI73" s="28"/>
      <c r="AJ73" s="30">
        <f>-AJ51</f>
        <v>0</v>
      </c>
      <c r="AK73" s="28"/>
      <c r="AL73" s="30">
        <f>-AL51</f>
        <v>0</v>
      </c>
      <c r="AM73" s="28"/>
      <c r="AN73" s="30">
        <f>-AN51</f>
        <v>0</v>
      </c>
      <c r="AO73" s="31"/>
    </row>
    <row r="74" spans="1:42" s="21" customFormat="1">
      <c r="B74" s="82" t="s">
        <v>215</v>
      </c>
      <c r="C74" s="9"/>
      <c r="D74" s="9"/>
      <c r="E74" s="9"/>
      <c r="F74" s="83">
        <f>SUM(T74:AN74)+SUMIF(T73:AN73,"&gt;0")</f>
        <v>909.54259499999989</v>
      </c>
      <c r="H74" s="74"/>
      <c r="I74" s="28"/>
      <c r="J74" s="74"/>
      <c r="K74" s="28"/>
      <c r="L74" s="74"/>
      <c r="M74" s="28"/>
      <c r="N74" s="74"/>
      <c r="O74" s="28"/>
      <c r="P74" s="74"/>
      <c r="Q74" s="28"/>
      <c r="R74" s="74"/>
      <c r="S74" s="28"/>
      <c r="T74" s="30">
        <f>T63</f>
        <v>0</v>
      </c>
      <c r="U74" s="28"/>
      <c r="V74" s="30">
        <f>V63</f>
        <v>34.526090000000003</v>
      </c>
      <c r="W74" s="28"/>
      <c r="X74" s="30">
        <f>X63</f>
        <v>42.869860000000003</v>
      </c>
      <c r="Y74" s="28"/>
      <c r="Z74" s="30">
        <f>Z63</f>
        <v>50.99541</v>
      </c>
      <c r="AA74" s="28"/>
      <c r="AB74" s="30">
        <f>AB63</f>
        <v>58.076390000000004</v>
      </c>
      <c r="AC74" s="28"/>
      <c r="AD74" s="30">
        <f>AD63</f>
        <v>64.597435000000004</v>
      </c>
      <c r="AE74" s="28"/>
      <c r="AF74" s="30">
        <f>AF63</f>
        <v>60.620199999999997</v>
      </c>
      <c r="AG74" s="28"/>
      <c r="AH74" s="30">
        <f>AH63</f>
        <v>56.68544</v>
      </c>
      <c r="AI74" s="28"/>
      <c r="AJ74" s="30">
        <f>AJ63</f>
        <v>52.785780000000003</v>
      </c>
      <c r="AK74" s="28"/>
      <c r="AL74" s="30">
        <f>AL63</f>
        <v>48.913514999999997</v>
      </c>
      <c r="AM74" s="28"/>
      <c r="AN74" s="30">
        <f>AN63</f>
        <v>439.47247499999997</v>
      </c>
      <c r="AO74" s="31"/>
    </row>
    <row r="75" spans="1:42" s="21" customFormat="1">
      <c r="B75" s="82" t="s">
        <v>216</v>
      </c>
      <c r="C75" s="9"/>
      <c r="D75" s="9"/>
      <c r="E75" s="9"/>
      <c r="H75" s="74"/>
      <c r="I75" s="28"/>
      <c r="J75" s="74"/>
      <c r="K75" s="28"/>
      <c r="L75" s="74"/>
      <c r="M75" s="28"/>
      <c r="N75" s="74"/>
      <c r="O75" s="28"/>
      <c r="P75" s="74"/>
      <c r="Q75" s="28"/>
      <c r="R75" s="74"/>
      <c r="S75" s="28"/>
      <c r="T75" s="84">
        <f>SUM(T73:T74)</f>
        <v>-269.875</v>
      </c>
      <c r="U75" s="28"/>
      <c r="V75" s="84">
        <f t="shared" ref="V75" si="19">SUM(V73:V74)</f>
        <v>34.526090000000003</v>
      </c>
      <c r="W75" s="28"/>
      <c r="X75" s="84">
        <f t="shared" ref="X75" si="20">SUM(X73:X74)</f>
        <v>42.869860000000003</v>
      </c>
      <c r="Y75" s="28"/>
      <c r="Z75" s="84">
        <f t="shared" ref="Z75" si="21">SUM(Z73:Z74)</f>
        <v>50.99541</v>
      </c>
      <c r="AA75" s="28"/>
      <c r="AB75" s="84">
        <f t="shared" ref="AB75" si="22">SUM(AB73:AB74)</f>
        <v>58.076390000000004</v>
      </c>
      <c r="AC75" s="28"/>
      <c r="AD75" s="84">
        <f t="shared" ref="AD75" si="23">SUM(AD73:AD74)</f>
        <v>64.597435000000004</v>
      </c>
      <c r="AE75" s="28"/>
      <c r="AF75" s="84">
        <f t="shared" ref="AF75" si="24">SUM(AF73:AF74)</f>
        <v>60.620199999999997</v>
      </c>
      <c r="AG75" s="28"/>
      <c r="AH75" s="84">
        <f t="shared" ref="AH75" si="25">SUM(AH73:AH74)</f>
        <v>56.68544</v>
      </c>
      <c r="AI75" s="28"/>
      <c r="AJ75" s="84">
        <f t="shared" ref="AJ75" si="26">SUM(AJ73:AJ74)</f>
        <v>52.785780000000003</v>
      </c>
      <c r="AK75" s="28"/>
      <c r="AL75" s="84">
        <f t="shared" ref="AL75" si="27">SUM(AL73:AL74)</f>
        <v>48.913514999999997</v>
      </c>
      <c r="AM75" s="28"/>
      <c r="AN75" s="84">
        <f t="shared" ref="AN75" si="28">SUM(AN73:AN74)</f>
        <v>439.47247499999997</v>
      </c>
      <c r="AO75" s="31"/>
    </row>
    <row r="76" spans="1:42" s="21" customFormat="1">
      <c r="B76" s="69"/>
      <c r="C76" s="9"/>
      <c r="D76" s="9"/>
      <c r="E76" s="9"/>
      <c r="H76" s="30"/>
      <c r="I76" s="28"/>
      <c r="J76" s="30"/>
      <c r="K76" s="28"/>
      <c r="L76" s="30"/>
      <c r="M76" s="28"/>
      <c r="N76" s="30"/>
      <c r="O76" s="28"/>
      <c r="P76" s="30"/>
      <c r="Q76" s="28"/>
      <c r="R76" s="30"/>
      <c r="S76" s="28"/>
      <c r="T76" s="30"/>
      <c r="U76" s="28"/>
      <c r="V76" s="30"/>
      <c r="W76" s="28"/>
      <c r="X76" s="30"/>
      <c r="Y76" s="28"/>
      <c r="Z76" s="30"/>
      <c r="AA76" s="28"/>
      <c r="AB76" s="30"/>
      <c r="AC76" s="28"/>
      <c r="AD76" s="30"/>
      <c r="AE76" s="28"/>
      <c r="AF76" s="30"/>
      <c r="AG76" s="28"/>
      <c r="AH76" s="30"/>
      <c r="AI76" s="28"/>
      <c r="AJ76" s="30"/>
      <c r="AK76" s="28"/>
      <c r="AL76" s="30"/>
      <c r="AM76" s="28"/>
      <c r="AN76" s="30"/>
      <c r="AO76" s="31"/>
    </row>
    <row r="77" spans="1:42" s="222" customFormat="1">
      <c r="A77" s="21"/>
      <c r="B77" s="223" t="s">
        <v>217</v>
      </c>
      <c r="C77" s="224"/>
      <c r="D77" s="224"/>
      <c r="E77" s="224"/>
      <c r="F77" s="225">
        <f>XIRR(T75:AN75,$T$6:$AN$6)</f>
        <v>0.20067278742790223</v>
      </c>
      <c r="H77" s="226"/>
      <c r="I77" s="227"/>
      <c r="J77" s="226"/>
      <c r="K77" s="227"/>
      <c r="L77" s="226"/>
      <c r="M77" s="227"/>
      <c r="N77" s="226"/>
      <c r="O77" s="227"/>
      <c r="P77" s="226"/>
      <c r="Q77" s="227"/>
      <c r="R77" s="226"/>
      <c r="S77" s="227"/>
      <c r="T77" s="226"/>
      <c r="U77" s="227"/>
      <c r="V77" s="226"/>
      <c r="W77" s="227"/>
      <c r="X77" s="226"/>
      <c r="Y77" s="227"/>
      <c r="Z77" s="226"/>
      <c r="AA77" s="227"/>
      <c r="AB77" s="226"/>
      <c r="AC77" s="227"/>
      <c r="AD77" s="226"/>
      <c r="AE77" s="227"/>
      <c r="AF77" s="226"/>
      <c r="AG77" s="227"/>
      <c r="AH77" s="226"/>
      <c r="AI77" s="227"/>
      <c r="AJ77" s="226"/>
      <c r="AK77" s="227"/>
      <c r="AL77" s="226"/>
      <c r="AM77" s="227"/>
      <c r="AN77" s="226"/>
      <c r="AO77" s="31"/>
    </row>
    <row r="78" spans="1:42" s="21" customFormat="1">
      <c r="B78" s="87"/>
      <c r="C78" s="9"/>
      <c r="D78" s="9"/>
      <c r="E78" s="9"/>
      <c r="F78" s="9"/>
      <c r="H78" s="30"/>
      <c r="I78" s="28"/>
      <c r="J78" s="30"/>
      <c r="K78" s="28"/>
      <c r="L78" s="30"/>
      <c r="M78" s="28"/>
      <c r="N78" s="30"/>
      <c r="O78" s="28"/>
      <c r="P78" s="30"/>
      <c r="Q78" s="28"/>
      <c r="R78" s="30"/>
      <c r="S78" s="28"/>
      <c r="T78" s="30"/>
      <c r="U78" s="28"/>
      <c r="V78" s="30"/>
      <c r="W78" s="28"/>
      <c r="X78" s="30"/>
      <c r="Y78" s="28"/>
      <c r="Z78" s="30"/>
      <c r="AA78" s="28"/>
      <c r="AB78" s="30"/>
      <c r="AC78" s="28"/>
      <c r="AD78" s="30"/>
      <c r="AE78" s="28"/>
      <c r="AF78" s="30"/>
      <c r="AG78" s="28"/>
      <c r="AH78" s="30"/>
      <c r="AI78" s="28"/>
      <c r="AJ78" s="30"/>
      <c r="AK78" s="28"/>
      <c r="AL78" s="30"/>
      <c r="AM78" s="28"/>
      <c r="AN78" s="30"/>
      <c r="AO78" s="31"/>
    </row>
    <row r="79" spans="1:42" s="21" customFormat="1">
      <c r="H79" s="30"/>
      <c r="I79" s="28"/>
      <c r="J79" s="30"/>
      <c r="K79" s="28"/>
      <c r="L79" s="30"/>
      <c r="M79" s="28"/>
      <c r="N79" s="30"/>
      <c r="O79" s="28"/>
      <c r="P79" s="30"/>
      <c r="Q79" s="28"/>
      <c r="R79" s="30"/>
      <c r="S79" s="28"/>
      <c r="T79" s="30"/>
      <c r="U79" s="28"/>
      <c r="V79" s="30"/>
      <c r="W79" s="28"/>
      <c r="X79" s="30"/>
      <c r="Y79" s="28"/>
      <c r="Z79" s="30"/>
      <c r="AA79" s="28"/>
      <c r="AB79" s="30"/>
      <c r="AC79" s="28"/>
      <c r="AD79" s="30"/>
      <c r="AE79" s="28"/>
      <c r="AF79" s="30"/>
      <c r="AG79" s="28"/>
      <c r="AH79" s="30"/>
      <c r="AI79" s="28"/>
      <c r="AJ79" s="30"/>
      <c r="AK79" s="28"/>
      <c r="AL79" s="30"/>
      <c r="AM79" s="28"/>
      <c r="AN79" s="30"/>
      <c r="AO79" s="31"/>
    </row>
    <row r="80" spans="1:42" s="38" customFormat="1">
      <c r="A80" s="21"/>
      <c r="B80" s="38" t="s">
        <v>219</v>
      </c>
      <c r="H80" s="90"/>
      <c r="I80" s="88"/>
      <c r="J80" s="90"/>
      <c r="K80" s="88"/>
      <c r="L80" s="90"/>
      <c r="M80" s="88"/>
      <c r="N80" s="90"/>
      <c r="O80" s="88"/>
      <c r="P80" s="90"/>
      <c r="Q80" s="88"/>
      <c r="R80" s="90"/>
      <c r="S80" s="88"/>
      <c r="T80" s="89">
        <f>Debt!H15+Debt!H22+Debt!H29+Debt!H36+Debt!H45+Debt!H53</f>
        <v>1619.25</v>
      </c>
      <c r="U80" s="55"/>
      <c r="V80" s="89">
        <f>Debt!J15+Debt!J22+Debt!J29+Debt!J36+Debt!J45+Debt!J53</f>
        <v>1580.0442483320521</v>
      </c>
      <c r="W80" s="55"/>
      <c r="X80" s="89">
        <f>Debt!L15+Debt!L22+Debt!L29+Debt!L36+Debt!L45+Debt!L53</f>
        <v>1537.3099790139888</v>
      </c>
      <c r="Y80" s="55"/>
      <c r="Z80" s="89">
        <f>Debt!N15+Debt!N22+Debt!N29+Debt!N36+Debt!N45+Debt!N53</f>
        <v>1490.7296254572998</v>
      </c>
      <c r="AA80" s="55"/>
      <c r="AB80" s="89">
        <f>Debt!P15+Debt!P22+Debt!P29+Debt!P36+Debt!P45+Debt!P53</f>
        <v>1439.9570400805089</v>
      </c>
      <c r="AC80" s="55"/>
      <c r="AD80" s="89">
        <f>Debt!R15+Debt!R22+Debt!R29+Debt!R36+Debt!R45+Debt!R53</f>
        <v>1384.6149220198067</v>
      </c>
      <c r="AE80" s="55"/>
      <c r="AF80" s="89">
        <f>Debt!T15+Debt!T22+Debt!T29+Debt!T36+Debt!T45+Debt!T53</f>
        <v>1324.2920133336415</v>
      </c>
      <c r="AG80" s="55"/>
      <c r="AH80" s="89">
        <f>Debt!V15+Debt!V22+Debt!V29+Debt!V36+Debt!V45+Debt!V53</f>
        <v>1258.5400428657213</v>
      </c>
      <c r="AI80" s="55"/>
      <c r="AJ80" s="89">
        <f>Debt!X15+Debt!X22+Debt!X29+Debt!X36+Debt!X45+Debt!X53</f>
        <v>1186.8703950556883</v>
      </c>
      <c r="AK80" s="55"/>
      <c r="AL80" s="89">
        <f>Debt!Z15+Debt!Z22+Debt!Z29+Debt!Z36+Debt!Z45+Debt!Z53</f>
        <v>1108.7504789427524</v>
      </c>
      <c r="AM80" s="55"/>
      <c r="AN80" s="89">
        <f>Debt!AB15+Debt!AB22+Debt!AB29+Debt!AB36+Debt!AB45+Debt!AB53</f>
        <v>0</v>
      </c>
      <c r="AO80" s="31"/>
    </row>
    <row r="81" spans="2:81" s="21" customFormat="1">
      <c r="B81" s="80"/>
      <c r="H81" s="30"/>
      <c r="I81" s="28"/>
      <c r="J81" s="30"/>
      <c r="K81" s="28"/>
      <c r="L81" s="30"/>
      <c r="M81" s="28"/>
      <c r="N81" s="30"/>
      <c r="O81" s="28"/>
      <c r="P81" s="30"/>
      <c r="Q81" s="28"/>
      <c r="R81" s="30"/>
      <c r="S81" s="28"/>
      <c r="T81" s="30"/>
      <c r="U81" s="28"/>
      <c r="V81" s="30"/>
      <c r="W81" s="28"/>
      <c r="X81" s="30"/>
      <c r="Y81" s="28"/>
      <c r="Z81" s="30"/>
      <c r="AA81" s="28"/>
      <c r="AB81" s="30"/>
      <c r="AC81" s="28"/>
      <c r="AD81" s="30"/>
      <c r="AE81" s="28"/>
      <c r="AF81" s="30"/>
      <c r="AG81" s="28"/>
      <c r="AH81" s="30"/>
      <c r="AI81" s="28"/>
      <c r="AJ81" s="30"/>
      <c r="AK81" s="28"/>
      <c r="AL81" s="30"/>
      <c r="AM81" s="28"/>
      <c r="AN81" s="30"/>
      <c r="AO81" s="31"/>
    </row>
    <row r="82" spans="2:81" s="24" customFormat="1">
      <c r="B82" s="58" t="s">
        <v>136</v>
      </c>
      <c r="H82" s="68"/>
      <c r="I82" s="67"/>
      <c r="J82" s="68"/>
      <c r="K82" s="67"/>
      <c r="L82" s="68"/>
      <c r="M82" s="67"/>
      <c r="N82" s="68"/>
      <c r="O82" s="67"/>
      <c r="P82" s="68"/>
      <c r="Q82" s="67"/>
      <c r="R82" s="68"/>
      <c r="S82" s="67"/>
      <c r="T82" s="68"/>
      <c r="U82" s="67"/>
      <c r="V82" s="68"/>
      <c r="W82" s="67"/>
      <c r="X82" s="68"/>
      <c r="Y82" s="67"/>
      <c r="Z82" s="68"/>
      <c r="AA82" s="67"/>
      <c r="AB82" s="68"/>
      <c r="AC82" s="67"/>
      <c r="AD82" s="68"/>
      <c r="AE82" s="67"/>
      <c r="AF82" s="68"/>
      <c r="AG82" s="67"/>
      <c r="AH82" s="68"/>
      <c r="AI82" s="67"/>
      <c r="AJ82" s="68"/>
      <c r="AK82" s="67"/>
      <c r="AL82" s="68"/>
      <c r="AM82" s="67"/>
      <c r="AN82" s="68"/>
      <c r="AO82" s="31"/>
      <c r="AP82" s="68"/>
      <c r="AQ82" s="67"/>
      <c r="AR82" s="68"/>
      <c r="AS82" s="70"/>
      <c r="AT82" s="70"/>
      <c r="AU82" s="70"/>
      <c r="AV82" s="68"/>
      <c r="AW82" s="67"/>
      <c r="AX82" s="68"/>
      <c r="AY82" s="67"/>
      <c r="AZ82" s="68"/>
      <c r="BA82" s="67"/>
      <c r="BB82" s="68"/>
      <c r="BC82" s="67"/>
      <c r="BD82" s="68"/>
      <c r="BE82" s="67"/>
      <c r="BF82" s="68"/>
      <c r="BG82" s="67"/>
      <c r="BH82" s="68"/>
      <c r="BI82" s="67"/>
      <c r="BJ82" s="68"/>
      <c r="BK82" s="67"/>
      <c r="BL82" s="68"/>
      <c r="BM82" s="67"/>
      <c r="BN82" s="68"/>
      <c r="BO82" s="67"/>
      <c r="BP82" s="68"/>
      <c r="BQ82" s="67"/>
      <c r="BR82" s="68"/>
      <c r="BS82" s="67"/>
      <c r="BT82" s="68"/>
      <c r="BU82" s="67"/>
      <c r="BV82" s="68"/>
      <c r="BW82" s="67"/>
      <c r="BX82" s="68"/>
      <c r="BY82" s="67"/>
      <c r="BZ82" s="68"/>
      <c r="CA82" s="67"/>
      <c r="CB82" s="68"/>
      <c r="CC82" s="67"/>
    </row>
    <row r="83" spans="2:81" s="24" customFormat="1">
      <c r="B83" s="53" t="s">
        <v>27</v>
      </c>
      <c r="C83" s="41"/>
      <c r="H83" s="30">
        <f>H252+H265+H246</f>
        <v>0</v>
      </c>
      <c r="I83" s="30"/>
      <c r="J83" s="30">
        <f>J252+J265+J246</f>
        <v>0</v>
      </c>
      <c r="K83" s="30"/>
      <c r="L83" s="30">
        <f>L252+L265+L246</f>
        <v>-3.8769500000000003</v>
      </c>
      <c r="M83" s="30"/>
      <c r="N83" s="30">
        <f>N252+N265+N246</f>
        <v>0</v>
      </c>
      <c r="O83" s="30"/>
      <c r="P83" s="30">
        <f>P252+P265+P246</f>
        <v>-2.23725</v>
      </c>
      <c r="Q83" s="30"/>
      <c r="R83" s="30">
        <f>R252+R265+R246</f>
        <v>0</v>
      </c>
      <c r="S83" s="30"/>
      <c r="T83" s="74"/>
      <c r="U83" s="30"/>
      <c r="V83" s="74"/>
      <c r="W83" s="30"/>
      <c r="X83" s="74"/>
      <c r="Y83" s="30"/>
      <c r="Z83" s="74"/>
      <c r="AA83" s="30"/>
      <c r="AB83" s="74"/>
      <c r="AC83" s="30"/>
      <c r="AD83" s="74"/>
      <c r="AE83" s="30"/>
      <c r="AF83" s="74"/>
      <c r="AG83" s="30"/>
      <c r="AH83" s="74"/>
      <c r="AI83" s="30"/>
      <c r="AJ83" s="74"/>
      <c r="AK83" s="30"/>
      <c r="AL83" s="74"/>
      <c r="AM83" s="30"/>
      <c r="AN83" s="74"/>
      <c r="AO83" s="31"/>
      <c r="AP83" s="30"/>
      <c r="AQ83" s="67"/>
      <c r="AR83" s="68"/>
      <c r="AS83" s="70"/>
      <c r="AT83" s="70"/>
      <c r="AU83" s="70"/>
      <c r="AV83" s="30"/>
      <c r="AW83" s="67"/>
      <c r="AX83" s="68"/>
      <c r="AY83" s="67"/>
      <c r="AZ83" s="68"/>
      <c r="BA83" s="67"/>
      <c r="BB83" s="30"/>
      <c r="BC83" s="67"/>
      <c r="BD83" s="30"/>
      <c r="BE83" s="67"/>
      <c r="BF83" s="30"/>
      <c r="BG83" s="67"/>
      <c r="BH83" s="30"/>
      <c r="BI83" s="67"/>
      <c r="BJ83" s="30"/>
      <c r="BK83" s="67"/>
      <c r="BL83" s="68"/>
      <c r="BM83" s="67"/>
      <c r="BN83" s="30"/>
      <c r="BO83" s="67"/>
      <c r="BP83" s="68"/>
      <c r="BQ83" s="67"/>
      <c r="BR83" s="68"/>
      <c r="BS83" s="67"/>
      <c r="BT83" s="30"/>
      <c r="BU83" s="67"/>
      <c r="BV83" s="30"/>
      <c r="BW83" s="67"/>
      <c r="BX83" s="30"/>
      <c r="BY83" s="67"/>
      <c r="BZ83" s="30"/>
      <c r="CA83" s="67"/>
      <c r="CB83" s="30"/>
      <c r="CC83" s="67"/>
    </row>
    <row r="84" spans="2:81" s="24" customFormat="1">
      <c r="B84" s="41" t="s">
        <v>112</v>
      </c>
      <c r="C84" s="41"/>
      <c r="H84" s="30">
        <f>H249</f>
        <v>9.5</v>
      </c>
      <c r="I84" s="30"/>
      <c r="J84" s="30">
        <f>J249</f>
        <v>2.375E-2</v>
      </c>
      <c r="K84" s="30"/>
      <c r="L84" s="30">
        <f>L249</f>
        <v>2.4224999999999999</v>
      </c>
      <c r="M84" s="30"/>
      <c r="N84" s="30">
        <f>N249</f>
        <v>0.91484999999999994</v>
      </c>
      <c r="O84" s="30"/>
      <c r="P84" s="30">
        <f>P249</f>
        <v>4.8449999999999993E-2</v>
      </c>
      <c r="Q84" s="30"/>
      <c r="R84" s="30">
        <f>R249</f>
        <v>0.34675</v>
      </c>
      <c r="S84" s="30"/>
      <c r="T84" s="74"/>
      <c r="U84" s="30"/>
      <c r="V84" s="74"/>
      <c r="W84" s="30"/>
      <c r="X84" s="74"/>
      <c r="Y84" s="30"/>
      <c r="Z84" s="74"/>
      <c r="AA84" s="30"/>
      <c r="AB84" s="74"/>
      <c r="AC84" s="30"/>
      <c r="AD84" s="74"/>
      <c r="AE84" s="30"/>
      <c r="AF84" s="74"/>
      <c r="AG84" s="30"/>
      <c r="AH84" s="74"/>
      <c r="AI84" s="30"/>
      <c r="AJ84" s="74"/>
      <c r="AK84" s="30"/>
      <c r="AL84" s="74"/>
      <c r="AM84" s="30"/>
      <c r="AN84" s="74"/>
      <c r="AO84" s="67"/>
      <c r="AP84" s="66"/>
      <c r="AQ84" s="67"/>
      <c r="AR84" s="68"/>
      <c r="AS84" s="70"/>
      <c r="AT84" s="70"/>
      <c r="AU84" s="70"/>
      <c r="AV84" s="66"/>
      <c r="AW84" s="67"/>
      <c r="AX84" s="68"/>
      <c r="AY84" s="67"/>
      <c r="AZ84" s="68"/>
      <c r="BA84" s="67"/>
      <c r="BB84" s="66"/>
      <c r="BC84" s="67"/>
      <c r="BD84" s="30"/>
      <c r="BE84" s="67"/>
      <c r="BF84" s="66"/>
      <c r="BG84" s="67"/>
      <c r="BH84" s="66"/>
      <c r="BI84" s="67"/>
      <c r="BJ84" s="66"/>
      <c r="BK84" s="67"/>
      <c r="BL84" s="68"/>
      <c r="BM84" s="67"/>
      <c r="BN84" s="66"/>
      <c r="BO84" s="67"/>
      <c r="BP84" s="68"/>
      <c r="BQ84" s="67"/>
      <c r="BR84" s="68"/>
      <c r="BS84" s="67"/>
      <c r="BT84" s="66"/>
      <c r="BU84" s="67"/>
      <c r="BV84" s="30"/>
      <c r="BW84" s="67"/>
      <c r="BX84" s="66"/>
      <c r="BY84" s="67"/>
      <c r="BZ84" s="30"/>
      <c r="CA84" s="67"/>
      <c r="CB84" s="66"/>
      <c r="CC84" s="67"/>
    </row>
    <row r="85" spans="2:81" s="24" customFormat="1">
      <c r="B85" s="41" t="s">
        <v>142</v>
      </c>
      <c r="C85" s="41"/>
      <c r="H85" s="30">
        <f>SUM(H256:H261)</f>
        <v>-129.86025000000001</v>
      </c>
      <c r="I85" s="30"/>
      <c r="J85" s="30">
        <f>SUM(J256:J261)</f>
        <v>-39.347099999999998</v>
      </c>
      <c r="K85" s="30"/>
      <c r="L85" s="30">
        <f>SUM(L256:L261)</f>
        <v>-40.863299999999995</v>
      </c>
      <c r="M85" s="30"/>
      <c r="N85" s="30">
        <f>SUM(N256:N261)</f>
        <v>-28.085800000000006</v>
      </c>
      <c r="O85" s="30"/>
      <c r="P85" s="30">
        <f>SUM(P256:P261)</f>
        <v>-86.4101</v>
      </c>
      <c r="Q85" s="30"/>
      <c r="R85" s="30">
        <f>SUM(R256:R261)</f>
        <v>27.643099999999997</v>
      </c>
      <c r="S85" s="30"/>
      <c r="T85" s="74"/>
      <c r="U85" s="30"/>
      <c r="V85" s="74"/>
      <c r="W85" s="30"/>
      <c r="X85" s="74"/>
      <c r="Y85" s="30"/>
      <c r="Z85" s="74"/>
      <c r="AA85" s="30"/>
      <c r="AB85" s="74"/>
      <c r="AC85" s="30"/>
      <c r="AD85" s="74"/>
      <c r="AE85" s="30"/>
      <c r="AF85" s="74"/>
      <c r="AG85" s="30"/>
      <c r="AH85" s="74"/>
      <c r="AI85" s="30"/>
      <c r="AJ85" s="74"/>
      <c r="AK85" s="30"/>
      <c r="AL85" s="74"/>
      <c r="AM85" s="30"/>
      <c r="AN85" s="74"/>
      <c r="AO85" s="67"/>
      <c r="AP85" s="66"/>
      <c r="AQ85" s="67"/>
      <c r="AR85" s="68"/>
      <c r="AS85" s="70"/>
      <c r="AT85" s="70"/>
      <c r="AU85" s="70"/>
      <c r="AV85" s="66"/>
      <c r="AW85" s="67"/>
      <c r="AX85" s="68"/>
      <c r="AY85" s="67"/>
      <c r="AZ85" s="68"/>
      <c r="BA85" s="67"/>
      <c r="BB85" s="66"/>
      <c r="BC85" s="67"/>
      <c r="BD85" s="30"/>
      <c r="BE85" s="67"/>
      <c r="BF85" s="66"/>
      <c r="BG85" s="67"/>
      <c r="BH85" s="66"/>
      <c r="BI85" s="67"/>
      <c r="BJ85" s="66"/>
      <c r="BK85" s="67"/>
      <c r="BL85" s="68"/>
      <c r="BM85" s="67"/>
      <c r="BN85" s="66"/>
      <c r="BO85" s="67"/>
      <c r="BP85" s="68"/>
      <c r="BQ85" s="67"/>
      <c r="BR85" s="68"/>
      <c r="BS85" s="67"/>
      <c r="BT85" s="66"/>
      <c r="BU85" s="67"/>
      <c r="BV85" s="30"/>
      <c r="BW85" s="67"/>
      <c r="BX85" s="66"/>
      <c r="BY85" s="67"/>
      <c r="BZ85" s="30"/>
      <c r="CA85" s="67"/>
      <c r="CB85" s="66"/>
      <c r="CC85" s="67"/>
    </row>
    <row r="86" spans="2:81" s="24" customFormat="1">
      <c r="B86" s="41" t="s">
        <v>122</v>
      </c>
      <c r="C86" s="41"/>
      <c r="H86" s="30">
        <f>H264</f>
        <v>-3.5311499999999998</v>
      </c>
      <c r="I86" s="30"/>
      <c r="J86" s="30">
        <f>J264</f>
        <v>-3.6736499999999999</v>
      </c>
      <c r="K86" s="30"/>
      <c r="L86" s="30">
        <f>L264</f>
        <v>-1.5066999999999999</v>
      </c>
      <c r="M86" s="30"/>
      <c r="N86" s="30">
        <f>N264</f>
        <v>-7.3596499999999994</v>
      </c>
      <c r="O86" s="30"/>
      <c r="P86" s="30">
        <f>P264</f>
        <v>-1.2701499999999999</v>
      </c>
      <c r="Q86" s="30"/>
      <c r="R86" s="30">
        <f>R264</f>
        <v>-6.4761499999999996</v>
      </c>
      <c r="S86" s="30"/>
      <c r="T86" s="74"/>
      <c r="U86" s="30"/>
      <c r="V86" s="74"/>
      <c r="W86" s="30"/>
      <c r="X86" s="74"/>
      <c r="Y86" s="30"/>
      <c r="Z86" s="74"/>
      <c r="AA86" s="30"/>
      <c r="AB86" s="74"/>
      <c r="AC86" s="30"/>
      <c r="AD86" s="74"/>
      <c r="AE86" s="30"/>
      <c r="AF86" s="74"/>
      <c r="AG86" s="30"/>
      <c r="AH86" s="74"/>
      <c r="AI86" s="30"/>
      <c r="AJ86" s="74"/>
      <c r="AK86" s="30"/>
      <c r="AL86" s="74"/>
      <c r="AM86" s="30"/>
      <c r="AN86" s="74"/>
      <c r="AO86" s="67"/>
      <c r="AP86" s="30"/>
      <c r="AQ86" s="67"/>
      <c r="AR86" s="68"/>
      <c r="AS86" s="70"/>
      <c r="AT86" s="70"/>
      <c r="AU86" s="70"/>
      <c r="AV86" s="30"/>
      <c r="AW86" s="67"/>
      <c r="AX86" s="68"/>
      <c r="AY86" s="67"/>
      <c r="AZ86" s="68"/>
      <c r="BA86" s="67"/>
      <c r="BB86" s="30"/>
      <c r="BC86" s="67"/>
      <c r="BD86" s="30"/>
      <c r="BE86" s="67"/>
      <c r="BF86" s="30"/>
      <c r="BG86" s="67"/>
      <c r="BH86" s="30"/>
      <c r="BI86" s="67"/>
      <c r="BJ86" s="30"/>
      <c r="BK86" s="67"/>
      <c r="BL86" s="68"/>
      <c r="BM86" s="67"/>
      <c r="BN86" s="30"/>
      <c r="BO86" s="67"/>
      <c r="BP86" s="68"/>
      <c r="BQ86" s="67"/>
      <c r="BR86" s="68"/>
      <c r="BS86" s="67"/>
      <c r="BT86" s="30"/>
      <c r="BU86" s="67"/>
      <c r="BV86" s="30"/>
      <c r="BW86" s="67"/>
      <c r="BX86" s="30"/>
      <c r="BY86" s="67"/>
      <c r="BZ86" s="30"/>
      <c r="CA86" s="67"/>
      <c r="CB86" s="30"/>
      <c r="CC86" s="67"/>
    </row>
    <row r="87" spans="2:81" s="24" customFormat="1">
      <c r="B87" s="91" t="s">
        <v>141</v>
      </c>
      <c r="C87" s="41"/>
      <c r="H87" s="30">
        <f>H231+H229</f>
        <v>-4.2018499999999994</v>
      </c>
      <c r="I87" s="30"/>
      <c r="J87" s="30">
        <f>J231+J229</f>
        <v>-0.81509999999999994</v>
      </c>
      <c r="K87" s="30"/>
      <c r="L87" s="30">
        <f>L231+L229</f>
        <v>-3.8104499999999999</v>
      </c>
      <c r="M87" s="30"/>
      <c r="N87" s="30">
        <f>N231+N229</f>
        <v>-3.1026999999999996</v>
      </c>
      <c r="O87" s="30"/>
      <c r="P87" s="30">
        <f>P231+P229</f>
        <v>2.1393999999999997</v>
      </c>
      <c r="Q87" s="30"/>
      <c r="R87" s="30">
        <f>R231+R229</f>
        <v>7.8944999999999999</v>
      </c>
      <c r="S87" s="30"/>
      <c r="T87" s="74"/>
      <c r="U87" s="30"/>
      <c r="V87" s="74"/>
      <c r="W87" s="30"/>
      <c r="X87" s="74"/>
      <c r="Y87" s="30"/>
      <c r="Z87" s="74"/>
      <c r="AA87" s="30"/>
      <c r="AB87" s="74"/>
      <c r="AC87" s="30"/>
      <c r="AD87" s="74"/>
      <c r="AE87" s="30"/>
      <c r="AF87" s="74"/>
      <c r="AG87" s="30"/>
      <c r="AH87" s="74"/>
      <c r="AI87" s="30"/>
      <c r="AJ87" s="74"/>
      <c r="AK87" s="30"/>
      <c r="AL87" s="74"/>
      <c r="AM87" s="30"/>
      <c r="AN87" s="74"/>
      <c r="AO87" s="67"/>
      <c r="AP87" s="30"/>
      <c r="AQ87" s="67"/>
      <c r="AR87" s="68"/>
      <c r="AS87" s="70"/>
      <c r="AT87" s="70"/>
      <c r="AU87" s="70"/>
      <c r="AV87" s="30"/>
      <c r="AW87" s="67"/>
      <c r="AX87" s="68"/>
      <c r="AY87" s="67"/>
      <c r="AZ87" s="68"/>
      <c r="BA87" s="67"/>
      <c r="BB87" s="30"/>
      <c r="BC87" s="67"/>
      <c r="BD87" s="30"/>
      <c r="BE87" s="67"/>
      <c r="BF87" s="30"/>
      <c r="BG87" s="67"/>
      <c r="BH87" s="30"/>
      <c r="BI87" s="67"/>
      <c r="BJ87" s="30"/>
      <c r="BK87" s="67"/>
      <c r="BL87" s="68"/>
      <c r="BM87" s="67"/>
      <c r="BN87" s="30"/>
      <c r="BO87" s="67"/>
      <c r="BP87" s="68"/>
      <c r="BQ87" s="67"/>
      <c r="BR87" s="68"/>
      <c r="BS87" s="67"/>
      <c r="BT87" s="30"/>
      <c r="BU87" s="67"/>
      <c r="BV87" s="30"/>
      <c r="BW87" s="67"/>
      <c r="BX87" s="30"/>
      <c r="BY87" s="67"/>
      <c r="BZ87" s="30"/>
      <c r="CA87" s="67"/>
      <c r="CB87" s="30"/>
      <c r="CC87" s="67"/>
    </row>
    <row r="88" spans="2:81" s="24" customFormat="1">
      <c r="B88" s="53" t="s">
        <v>83</v>
      </c>
      <c r="C88" s="41"/>
      <c r="H88" s="30">
        <f>H208</f>
        <v>-1.3622999999999998</v>
      </c>
      <c r="I88" s="30"/>
      <c r="J88" s="30">
        <f>J208</f>
        <v>-6.0077999999999996</v>
      </c>
      <c r="K88" s="30"/>
      <c r="L88" s="30">
        <f>L208</f>
        <v>1.1067499999999999</v>
      </c>
      <c r="M88" s="30"/>
      <c r="N88" s="30">
        <f>N208</f>
        <v>4.4878</v>
      </c>
      <c r="O88" s="30"/>
      <c r="P88" s="30">
        <f>P208</f>
        <v>-1.4155</v>
      </c>
      <c r="Q88" s="30"/>
      <c r="R88" s="30">
        <f>R208</f>
        <v>-3.4104999999999999</v>
      </c>
      <c r="S88" s="30"/>
      <c r="T88" s="74"/>
      <c r="U88" s="30"/>
      <c r="V88" s="74"/>
      <c r="W88" s="30"/>
      <c r="X88" s="74"/>
      <c r="Y88" s="30"/>
      <c r="Z88" s="74"/>
      <c r="AA88" s="30"/>
      <c r="AB88" s="74"/>
      <c r="AC88" s="30"/>
      <c r="AD88" s="74"/>
      <c r="AE88" s="30"/>
      <c r="AF88" s="74"/>
      <c r="AG88" s="30"/>
      <c r="AH88" s="74"/>
      <c r="AI88" s="30"/>
      <c r="AJ88" s="74"/>
      <c r="AK88" s="30"/>
      <c r="AL88" s="74"/>
      <c r="AM88" s="30"/>
      <c r="AN88" s="74"/>
      <c r="AO88" s="67"/>
      <c r="AP88" s="30"/>
      <c r="AQ88" s="67"/>
      <c r="AR88" s="68"/>
      <c r="AS88" s="70"/>
      <c r="AT88" s="92"/>
      <c r="AU88" s="70"/>
      <c r="AV88" s="30"/>
      <c r="AW88" s="67"/>
      <c r="AX88" s="68"/>
      <c r="AY88" s="67"/>
      <c r="AZ88" s="68"/>
      <c r="BA88" s="67"/>
      <c r="BB88" s="30"/>
      <c r="BC88" s="67"/>
      <c r="BD88" s="30"/>
      <c r="BE88" s="67"/>
      <c r="BF88" s="30"/>
      <c r="BG88" s="67"/>
      <c r="BH88" s="30"/>
      <c r="BI88" s="67"/>
      <c r="BJ88" s="30"/>
      <c r="BK88" s="67"/>
      <c r="BL88" s="68"/>
      <c r="BM88" s="67"/>
      <c r="BN88" s="30"/>
      <c r="BO88" s="67"/>
      <c r="BP88" s="68"/>
      <c r="BQ88" s="67"/>
      <c r="BR88" s="68"/>
      <c r="BS88" s="67"/>
      <c r="BT88" s="30"/>
      <c r="BU88" s="67"/>
      <c r="BV88" s="30"/>
      <c r="BW88" s="67"/>
      <c r="BX88" s="30"/>
      <c r="BY88" s="67"/>
      <c r="BZ88" s="30"/>
      <c r="CA88" s="67"/>
      <c r="CB88" s="30"/>
      <c r="CC88" s="67"/>
    </row>
    <row r="89" spans="2:81" s="24" customFormat="1">
      <c r="B89" s="53" t="s">
        <v>156</v>
      </c>
      <c r="C89" s="41"/>
      <c r="H89" s="30">
        <f>H248</f>
        <v>0</v>
      </c>
      <c r="I89" s="30"/>
      <c r="J89" s="30">
        <f>J248</f>
        <v>0</v>
      </c>
      <c r="K89" s="30"/>
      <c r="L89" s="30">
        <f>L248</f>
        <v>0</v>
      </c>
      <c r="M89" s="30"/>
      <c r="N89" s="30">
        <f>N248</f>
        <v>0</v>
      </c>
      <c r="O89" s="30"/>
      <c r="P89" s="30">
        <f>P248</f>
        <v>0</v>
      </c>
      <c r="Q89" s="30"/>
      <c r="R89" s="30">
        <f>R248</f>
        <v>0</v>
      </c>
      <c r="S89" s="30"/>
      <c r="T89" s="74"/>
      <c r="U89" s="30"/>
      <c r="V89" s="74"/>
      <c r="W89" s="30"/>
      <c r="X89" s="74"/>
      <c r="Y89" s="30"/>
      <c r="Z89" s="74"/>
      <c r="AA89" s="30"/>
      <c r="AB89" s="74"/>
      <c r="AC89" s="30"/>
      <c r="AD89" s="74"/>
      <c r="AE89" s="30"/>
      <c r="AF89" s="74"/>
      <c r="AG89" s="30"/>
      <c r="AH89" s="74"/>
      <c r="AI89" s="30"/>
      <c r="AJ89" s="74"/>
      <c r="AK89" s="30"/>
      <c r="AL89" s="74"/>
      <c r="AM89" s="30"/>
      <c r="AN89" s="74"/>
      <c r="AO89" s="67"/>
      <c r="AP89" s="30"/>
      <c r="AQ89" s="67"/>
      <c r="AR89" s="68"/>
      <c r="AS89" s="70"/>
      <c r="AT89" s="92"/>
      <c r="AU89" s="70"/>
      <c r="AV89" s="30"/>
      <c r="AW89" s="67"/>
      <c r="AX89" s="68"/>
      <c r="AY89" s="67"/>
      <c r="AZ89" s="68"/>
      <c r="BA89" s="67"/>
      <c r="BB89" s="30"/>
      <c r="BC89" s="67"/>
      <c r="BD89" s="30"/>
      <c r="BE89" s="67"/>
      <c r="BF89" s="30"/>
      <c r="BG89" s="67"/>
      <c r="BH89" s="30"/>
      <c r="BI89" s="67"/>
      <c r="BJ89" s="30"/>
      <c r="BK89" s="67"/>
      <c r="BL89" s="68"/>
      <c r="BM89" s="67"/>
      <c r="BN89" s="30"/>
      <c r="BO89" s="67"/>
      <c r="BP89" s="68"/>
      <c r="BQ89" s="67"/>
      <c r="BR89" s="68"/>
      <c r="BS89" s="67"/>
      <c r="BT89" s="30"/>
      <c r="BU89" s="67"/>
      <c r="BV89" s="30"/>
      <c r="BW89" s="67"/>
      <c r="BX89" s="30"/>
      <c r="BY89" s="67"/>
      <c r="BZ89" s="30"/>
      <c r="CA89" s="67"/>
      <c r="CB89" s="30"/>
      <c r="CC89" s="67"/>
    </row>
    <row r="90" spans="2:81" s="24" customFormat="1">
      <c r="B90" s="53" t="s">
        <v>151</v>
      </c>
      <c r="C90" s="41"/>
      <c r="H90" s="30">
        <f>H201</f>
        <v>0</v>
      </c>
      <c r="I90" s="30"/>
      <c r="J90" s="30">
        <f t="shared" ref="J90:L90" si="29">J201</f>
        <v>0</v>
      </c>
      <c r="K90" s="30">
        <f t="shared" si="29"/>
        <v>0</v>
      </c>
      <c r="L90" s="30">
        <f t="shared" si="29"/>
        <v>0</v>
      </c>
      <c r="M90" s="30"/>
      <c r="N90" s="30">
        <f>N201</f>
        <v>0</v>
      </c>
      <c r="O90" s="30"/>
      <c r="P90" s="30">
        <f>P201</f>
        <v>0</v>
      </c>
      <c r="Q90" s="30"/>
      <c r="R90" s="30">
        <f>R201</f>
        <v>-0.51300000000000001</v>
      </c>
      <c r="S90" s="30"/>
      <c r="T90" s="74"/>
      <c r="U90" s="30"/>
      <c r="V90" s="74"/>
      <c r="W90" s="30"/>
      <c r="X90" s="74"/>
      <c r="Y90" s="30"/>
      <c r="Z90" s="74"/>
      <c r="AA90" s="30"/>
      <c r="AB90" s="74"/>
      <c r="AC90" s="30"/>
      <c r="AD90" s="74"/>
      <c r="AE90" s="30"/>
      <c r="AF90" s="74"/>
      <c r="AG90" s="30"/>
      <c r="AH90" s="74"/>
      <c r="AI90" s="30"/>
      <c r="AJ90" s="74"/>
      <c r="AK90" s="30"/>
      <c r="AL90" s="74"/>
      <c r="AM90" s="30"/>
      <c r="AN90" s="74"/>
      <c r="AO90" s="67"/>
      <c r="AP90" s="30"/>
      <c r="AQ90" s="67"/>
      <c r="AR90" s="68"/>
      <c r="AS90" s="70"/>
      <c r="AT90" s="92"/>
      <c r="AU90" s="70"/>
      <c r="AV90" s="30"/>
      <c r="AW90" s="67"/>
      <c r="AX90" s="68"/>
      <c r="AY90" s="67"/>
      <c r="AZ90" s="68"/>
      <c r="BA90" s="67"/>
      <c r="BB90" s="30"/>
      <c r="BC90" s="67"/>
      <c r="BD90" s="30"/>
      <c r="BE90" s="67"/>
      <c r="BF90" s="30"/>
      <c r="BG90" s="67"/>
      <c r="BH90" s="30"/>
      <c r="BI90" s="67"/>
      <c r="BJ90" s="30"/>
      <c r="BK90" s="67"/>
      <c r="BL90" s="68"/>
      <c r="BM90" s="67"/>
      <c r="BN90" s="30"/>
      <c r="BO90" s="67"/>
      <c r="BP90" s="68"/>
      <c r="BQ90" s="67"/>
      <c r="BR90" s="68"/>
      <c r="BS90" s="67"/>
      <c r="BT90" s="30"/>
      <c r="BU90" s="67"/>
      <c r="BV90" s="30"/>
      <c r="BW90" s="67"/>
      <c r="BX90" s="30"/>
      <c r="BY90" s="67"/>
      <c r="BZ90" s="30"/>
      <c r="CA90" s="67"/>
      <c r="CB90" s="30"/>
      <c r="CC90" s="67"/>
    </row>
    <row r="91" spans="2:81" s="24" customFormat="1">
      <c r="B91" s="53" t="s">
        <v>157</v>
      </c>
      <c r="C91" s="41"/>
      <c r="H91" s="30">
        <f>H250</f>
        <v>0</v>
      </c>
      <c r="I91" s="30"/>
      <c r="J91" s="30">
        <f>J250</f>
        <v>0</v>
      </c>
      <c r="K91" s="30"/>
      <c r="L91" s="30">
        <f>L250</f>
        <v>0</v>
      </c>
      <c r="M91" s="30"/>
      <c r="N91" s="30">
        <f>N250</f>
        <v>0</v>
      </c>
      <c r="O91" s="30"/>
      <c r="P91" s="30">
        <f>P250</f>
        <v>0</v>
      </c>
      <c r="Q91" s="30"/>
      <c r="R91" s="30">
        <f>R250</f>
        <v>0.53579999999999994</v>
      </c>
      <c r="S91" s="30"/>
      <c r="T91" s="74"/>
      <c r="U91" s="30"/>
      <c r="V91" s="74"/>
      <c r="W91" s="30"/>
      <c r="X91" s="74"/>
      <c r="Y91" s="30"/>
      <c r="Z91" s="74"/>
      <c r="AA91" s="30"/>
      <c r="AB91" s="74"/>
      <c r="AC91" s="30"/>
      <c r="AD91" s="74"/>
      <c r="AE91" s="30"/>
      <c r="AF91" s="74"/>
      <c r="AG91" s="30"/>
      <c r="AH91" s="74"/>
      <c r="AI91" s="30"/>
      <c r="AJ91" s="74"/>
      <c r="AK91" s="30"/>
      <c r="AL91" s="74"/>
      <c r="AM91" s="30"/>
      <c r="AN91" s="74"/>
      <c r="AO91" s="67"/>
      <c r="AP91" s="30"/>
      <c r="AQ91" s="67"/>
      <c r="AR91" s="68"/>
      <c r="AS91" s="70"/>
      <c r="AT91" s="92"/>
      <c r="AU91" s="70"/>
      <c r="AV91" s="30"/>
      <c r="AW91" s="67"/>
      <c r="AX91" s="68"/>
      <c r="AY91" s="67"/>
      <c r="AZ91" s="68"/>
      <c r="BA91" s="67"/>
      <c r="BB91" s="30"/>
      <c r="BC91" s="67"/>
      <c r="BD91" s="30"/>
      <c r="BE91" s="67"/>
      <c r="BF91" s="30"/>
      <c r="BG91" s="67"/>
      <c r="BH91" s="30"/>
      <c r="BI91" s="67"/>
      <c r="BJ91" s="30"/>
      <c r="BK91" s="67"/>
      <c r="BL91" s="68"/>
      <c r="BM91" s="67"/>
      <c r="BN91" s="30"/>
      <c r="BO91" s="67"/>
      <c r="BP91" s="68"/>
      <c r="BQ91" s="67"/>
      <c r="BR91" s="68"/>
      <c r="BS91" s="67"/>
      <c r="BT91" s="30"/>
      <c r="BU91" s="67"/>
      <c r="BV91" s="30"/>
      <c r="BW91" s="67"/>
      <c r="BX91" s="30"/>
      <c r="BY91" s="67"/>
      <c r="BZ91" s="30"/>
      <c r="CA91" s="67"/>
      <c r="CB91" s="30"/>
      <c r="CC91" s="67"/>
    </row>
    <row r="92" spans="2:81" s="24" customFormat="1">
      <c r="B92" s="53" t="s">
        <v>259</v>
      </c>
      <c r="C92" s="41"/>
      <c r="H92" s="30">
        <f>H251</f>
        <v>0</v>
      </c>
      <c r="I92" s="30"/>
      <c r="J92" s="30">
        <f>J251</f>
        <v>0.99180000000000001</v>
      </c>
      <c r="K92" s="30"/>
      <c r="L92" s="30">
        <f>L251</f>
        <v>0</v>
      </c>
      <c r="M92" s="30"/>
      <c r="N92" s="30">
        <f>N251</f>
        <v>0</v>
      </c>
      <c r="O92" s="30"/>
      <c r="P92" s="30">
        <f>P251</f>
        <v>0</v>
      </c>
      <c r="Q92" s="30"/>
      <c r="R92" s="30">
        <f>R251</f>
        <v>0</v>
      </c>
      <c r="S92" s="30"/>
      <c r="T92" s="74"/>
      <c r="U92" s="30"/>
      <c r="V92" s="74"/>
      <c r="W92" s="30"/>
      <c r="X92" s="74"/>
      <c r="Y92" s="30"/>
      <c r="Z92" s="74"/>
      <c r="AA92" s="30"/>
      <c r="AB92" s="74"/>
      <c r="AC92" s="30"/>
      <c r="AD92" s="74"/>
      <c r="AE92" s="30"/>
      <c r="AF92" s="74"/>
      <c r="AG92" s="30"/>
      <c r="AH92" s="74"/>
      <c r="AI92" s="30"/>
      <c r="AJ92" s="74"/>
      <c r="AK92" s="30"/>
      <c r="AL92" s="74"/>
      <c r="AM92" s="30"/>
      <c r="AN92" s="74"/>
      <c r="AO92" s="67"/>
      <c r="AP92" s="30"/>
      <c r="AQ92" s="67"/>
      <c r="AR92" s="68"/>
      <c r="AS92" s="70"/>
      <c r="AT92" s="92"/>
      <c r="AU92" s="70"/>
      <c r="AV92" s="30"/>
      <c r="AW92" s="67"/>
      <c r="AX92" s="68"/>
      <c r="AY92" s="67"/>
      <c r="AZ92" s="68"/>
      <c r="BA92" s="67"/>
      <c r="BB92" s="30"/>
      <c r="BC92" s="67"/>
      <c r="BD92" s="30"/>
      <c r="BE92" s="67"/>
      <c r="BF92" s="30"/>
      <c r="BG92" s="67"/>
      <c r="BH92" s="30"/>
      <c r="BI92" s="67"/>
      <c r="BJ92" s="30"/>
      <c r="BK92" s="67"/>
      <c r="BL92" s="68"/>
      <c r="BM92" s="67"/>
      <c r="BN92" s="30"/>
      <c r="BO92" s="67"/>
      <c r="BP92" s="68"/>
      <c r="BQ92" s="67"/>
      <c r="BR92" s="68"/>
      <c r="BS92" s="67"/>
      <c r="BT92" s="30"/>
      <c r="BU92" s="67"/>
      <c r="BV92" s="30"/>
      <c r="BW92" s="67"/>
      <c r="BX92" s="30"/>
      <c r="BY92" s="67"/>
      <c r="BZ92" s="30"/>
      <c r="CA92" s="67"/>
      <c r="CB92" s="30"/>
      <c r="CC92" s="67"/>
    </row>
    <row r="93" spans="2:81" s="24" customFormat="1">
      <c r="B93" s="53" t="s">
        <v>121</v>
      </c>
      <c r="C93" s="41"/>
      <c r="H93" s="30">
        <f>H262+H263</f>
        <v>0</v>
      </c>
      <c r="I93" s="30"/>
      <c r="J93" s="30">
        <f>J262+J263</f>
        <v>0</v>
      </c>
      <c r="K93" s="30"/>
      <c r="L93" s="30">
        <f>L262+L263</f>
        <v>0</v>
      </c>
      <c r="M93" s="30"/>
      <c r="N93" s="30">
        <f>N262+N263</f>
        <v>-10.09375</v>
      </c>
      <c r="O93" s="30"/>
      <c r="P93" s="30">
        <f>P262+P263</f>
        <v>0</v>
      </c>
      <c r="Q93" s="30"/>
      <c r="R93" s="30">
        <f>R262+R263</f>
        <v>14.811449999999999</v>
      </c>
      <c r="S93" s="30"/>
      <c r="T93" s="74"/>
      <c r="U93" s="30"/>
      <c r="V93" s="74"/>
      <c r="W93" s="30"/>
      <c r="X93" s="74"/>
      <c r="Y93" s="30"/>
      <c r="Z93" s="74"/>
      <c r="AA93" s="30"/>
      <c r="AB93" s="74"/>
      <c r="AC93" s="30"/>
      <c r="AD93" s="74"/>
      <c r="AE93" s="30"/>
      <c r="AF93" s="74"/>
      <c r="AG93" s="30"/>
      <c r="AH93" s="74"/>
      <c r="AI93" s="30"/>
      <c r="AJ93" s="74"/>
      <c r="AK93" s="30"/>
      <c r="AL93" s="74"/>
      <c r="AM93" s="30"/>
      <c r="AN93" s="74"/>
      <c r="AO93" s="67"/>
      <c r="AP93" s="30"/>
      <c r="AQ93" s="67"/>
      <c r="AR93" s="68"/>
      <c r="AS93" s="70"/>
      <c r="AT93" s="70"/>
      <c r="AU93" s="70"/>
      <c r="AV93" s="30"/>
      <c r="AW93" s="67"/>
      <c r="AX93" s="68"/>
      <c r="AY93" s="67"/>
      <c r="AZ93" s="68"/>
      <c r="BA93" s="67"/>
      <c r="BB93" s="30"/>
      <c r="BC93" s="67"/>
      <c r="BD93" s="30"/>
      <c r="BE93" s="67"/>
      <c r="BF93" s="30"/>
      <c r="BG93" s="67"/>
      <c r="BH93" s="30"/>
      <c r="BI93" s="67"/>
      <c r="BJ93" s="30"/>
      <c r="BK93" s="67"/>
      <c r="BL93" s="68"/>
      <c r="BM93" s="67"/>
      <c r="BN93" s="30"/>
      <c r="BO93" s="67"/>
      <c r="BP93" s="68"/>
      <c r="BQ93" s="67"/>
      <c r="BR93" s="68"/>
      <c r="BS93" s="67"/>
      <c r="BT93" s="30"/>
      <c r="BU93" s="67"/>
      <c r="BV93" s="30"/>
      <c r="BW93" s="67"/>
      <c r="BX93" s="30"/>
      <c r="BY93" s="67"/>
      <c r="BZ93" s="30"/>
      <c r="CA93" s="67"/>
      <c r="CB93" s="30"/>
      <c r="CC93" s="67"/>
    </row>
    <row r="94" spans="2:81" s="24" customFormat="1">
      <c r="B94" s="93" t="s">
        <v>160</v>
      </c>
      <c r="C94" s="41"/>
      <c r="H94" s="30">
        <f>H269</f>
        <v>0</v>
      </c>
      <c r="I94" s="30"/>
      <c r="J94" s="30">
        <f>J269</f>
        <v>0</v>
      </c>
      <c r="K94" s="30"/>
      <c r="L94" s="30">
        <f>L269</f>
        <v>0</v>
      </c>
      <c r="M94" s="30"/>
      <c r="N94" s="30">
        <f>N269</f>
        <v>0</v>
      </c>
      <c r="O94" s="30"/>
      <c r="P94" s="30">
        <f>P269</f>
        <v>0</v>
      </c>
      <c r="Q94" s="30"/>
      <c r="R94" s="30">
        <f>R269</f>
        <v>0</v>
      </c>
      <c r="S94" s="30"/>
      <c r="T94" s="74"/>
      <c r="U94" s="30"/>
      <c r="V94" s="74"/>
      <c r="W94" s="30"/>
      <c r="X94" s="74"/>
      <c r="Y94" s="30"/>
      <c r="Z94" s="74"/>
      <c r="AA94" s="30"/>
      <c r="AB94" s="74"/>
      <c r="AC94" s="30"/>
      <c r="AD94" s="74"/>
      <c r="AE94" s="30"/>
      <c r="AF94" s="74"/>
      <c r="AG94" s="30"/>
      <c r="AH94" s="74"/>
      <c r="AI94" s="30"/>
      <c r="AJ94" s="74"/>
      <c r="AK94" s="30"/>
      <c r="AL94" s="74"/>
      <c r="AM94" s="30"/>
      <c r="AN94" s="74"/>
      <c r="AO94" s="67"/>
      <c r="AP94" s="30"/>
      <c r="AQ94" s="67"/>
      <c r="AR94" s="68"/>
      <c r="AS94" s="70"/>
      <c r="AT94" s="70"/>
      <c r="AU94" s="70"/>
      <c r="AV94" s="30"/>
      <c r="AW94" s="67"/>
      <c r="AX94" s="68"/>
      <c r="AY94" s="67"/>
      <c r="AZ94" s="68"/>
      <c r="BA94" s="67"/>
      <c r="BB94" s="30"/>
      <c r="BC94" s="67"/>
      <c r="BD94" s="30"/>
      <c r="BE94" s="67"/>
      <c r="BF94" s="30"/>
      <c r="BG94" s="67"/>
      <c r="BH94" s="30"/>
      <c r="BI94" s="67"/>
      <c r="BJ94" s="30"/>
      <c r="BK94" s="67"/>
      <c r="BL94" s="68"/>
      <c r="BM94" s="67"/>
      <c r="BN94" s="30"/>
      <c r="BO94" s="67"/>
      <c r="BP94" s="68"/>
      <c r="BQ94" s="67"/>
      <c r="BR94" s="68"/>
      <c r="BS94" s="67"/>
      <c r="BT94" s="30"/>
      <c r="BU94" s="67"/>
      <c r="BV94" s="30"/>
      <c r="BW94" s="67"/>
      <c r="BX94" s="30"/>
      <c r="BY94" s="67"/>
      <c r="BZ94" s="30"/>
      <c r="CA94" s="67"/>
      <c r="CB94" s="30"/>
      <c r="CC94" s="67"/>
    </row>
    <row r="95" spans="2:81" s="24" customFormat="1">
      <c r="B95" s="53" t="s">
        <v>124</v>
      </c>
      <c r="C95" s="41"/>
      <c r="H95" s="30">
        <f>H267</f>
        <v>-1.9398999999999997</v>
      </c>
      <c r="I95" s="30"/>
      <c r="J95" s="30">
        <f>J267</f>
        <v>-1.3366499999999999</v>
      </c>
      <c r="K95" s="30"/>
      <c r="L95" s="30">
        <f>L267</f>
        <v>-1.5959999999999999</v>
      </c>
      <c r="M95" s="30"/>
      <c r="N95" s="30">
        <f>N267</f>
        <v>-5.0007999999999999</v>
      </c>
      <c r="O95" s="30"/>
      <c r="P95" s="30">
        <f>P267</f>
        <v>-1.9009499999999999</v>
      </c>
      <c r="Q95" s="30"/>
      <c r="R95" s="30">
        <f>R267</f>
        <v>-1.6691499999999999</v>
      </c>
      <c r="S95" s="30"/>
      <c r="T95" s="74"/>
      <c r="U95" s="30"/>
      <c r="V95" s="74"/>
      <c r="W95" s="30"/>
      <c r="X95" s="74"/>
      <c r="Y95" s="30"/>
      <c r="Z95" s="74"/>
      <c r="AA95" s="30"/>
      <c r="AB95" s="74"/>
      <c r="AC95" s="30"/>
      <c r="AD95" s="74"/>
      <c r="AE95" s="30"/>
      <c r="AF95" s="74"/>
      <c r="AG95" s="30"/>
      <c r="AH95" s="74"/>
      <c r="AI95" s="30"/>
      <c r="AJ95" s="74"/>
      <c r="AK95" s="30"/>
      <c r="AL95" s="74"/>
      <c r="AM95" s="30"/>
      <c r="AN95" s="74"/>
      <c r="AO95" s="67"/>
      <c r="AP95" s="30"/>
      <c r="AQ95" s="67"/>
      <c r="AR95" s="68"/>
      <c r="AS95" s="70"/>
      <c r="AT95" s="92"/>
      <c r="AU95" s="70"/>
      <c r="AV95" s="30"/>
      <c r="AW95" s="67"/>
      <c r="AX95" s="68"/>
      <c r="AY95" s="67"/>
      <c r="AZ95" s="68"/>
      <c r="BA95" s="67"/>
      <c r="BB95" s="30"/>
      <c r="BC95" s="67"/>
      <c r="BD95" s="30"/>
      <c r="BE95" s="67"/>
      <c r="BF95" s="30"/>
      <c r="BG95" s="67"/>
      <c r="BH95" s="30"/>
      <c r="BI95" s="67"/>
      <c r="BJ95" s="30"/>
      <c r="BK95" s="67"/>
      <c r="BL95" s="68"/>
      <c r="BM95" s="67"/>
      <c r="BN95" s="30"/>
      <c r="BO95" s="67"/>
      <c r="BP95" s="68"/>
      <c r="BQ95" s="67"/>
      <c r="BR95" s="68"/>
      <c r="BS95" s="67"/>
      <c r="BT95" s="30"/>
      <c r="BU95" s="67"/>
      <c r="BV95" s="30"/>
      <c r="BW95" s="67"/>
      <c r="BX95" s="30"/>
      <c r="BY95" s="67"/>
      <c r="BZ95" s="30"/>
      <c r="CA95" s="67"/>
      <c r="CB95" s="30"/>
      <c r="CC95" s="67"/>
    </row>
    <row r="96" spans="2:81" s="24" customFormat="1">
      <c r="B96" s="53" t="s">
        <v>125</v>
      </c>
      <c r="C96" s="41"/>
      <c r="H96" s="30">
        <f>H268</f>
        <v>0.41039999999999999</v>
      </c>
      <c r="I96" s="30"/>
      <c r="J96" s="30">
        <f>J268</f>
        <v>0.48069999999999996</v>
      </c>
      <c r="K96" s="30"/>
      <c r="L96" s="30">
        <f>L268</f>
        <v>0.43890000000000001</v>
      </c>
      <c r="M96" s="30"/>
      <c r="N96" s="30">
        <f>N268</f>
        <v>0.59089999999999998</v>
      </c>
      <c r="O96" s="30"/>
      <c r="P96" s="30">
        <f>P268</f>
        <v>0.62129999999999996</v>
      </c>
      <c r="Q96" s="30"/>
      <c r="R96" s="30">
        <f>R268</f>
        <v>0.93289999999999995</v>
      </c>
      <c r="S96" s="30"/>
      <c r="T96" s="74"/>
      <c r="U96" s="30"/>
      <c r="V96" s="74"/>
      <c r="W96" s="30"/>
      <c r="X96" s="74"/>
      <c r="Y96" s="30"/>
      <c r="Z96" s="74"/>
      <c r="AA96" s="30"/>
      <c r="AB96" s="74"/>
      <c r="AC96" s="30"/>
      <c r="AD96" s="74"/>
      <c r="AE96" s="30"/>
      <c r="AF96" s="74"/>
      <c r="AG96" s="30"/>
      <c r="AH96" s="74"/>
      <c r="AI96" s="30"/>
      <c r="AJ96" s="74"/>
      <c r="AK96" s="30"/>
      <c r="AL96" s="74"/>
      <c r="AM96" s="30"/>
      <c r="AN96" s="74"/>
      <c r="AO96" s="67"/>
      <c r="AP96" s="30"/>
      <c r="AQ96" s="67"/>
      <c r="AR96" s="68"/>
      <c r="AS96" s="70"/>
      <c r="AT96" s="92"/>
      <c r="AU96" s="70"/>
      <c r="AV96" s="30"/>
      <c r="AW96" s="67"/>
      <c r="AX96" s="68"/>
      <c r="AY96" s="67"/>
      <c r="AZ96" s="68"/>
      <c r="BA96" s="67"/>
      <c r="BB96" s="30"/>
      <c r="BC96" s="67"/>
      <c r="BD96" s="30"/>
      <c r="BE96" s="67"/>
      <c r="BF96" s="30"/>
      <c r="BG96" s="67"/>
      <c r="BH96" s="30"/>
      <c r="BI96" s="67"/>
      <c r="BJ96" s="30"/>
      <c r="BK96" s="67"/>
      <c r="BL96" s="68"/>
      <c r="BM96" s="67"/>
      <c r="BN96" s="30"/>
      <c r="BO96" s="67"/>
      <c r="BP96" s="68"/>
      <c r="BQ96" s="67"/>
      <c r="BR96" s="68"/>
      <c r="BS96" s="67"/>
      <c r="BT96" s="30"/>
      <c r="BU96" s="67"/>
      <c r="BV96" s="30"/>
      <c r="BW96" s="67"/>
      <c r="BX96" s="30"/>
      <c r="BY96" s="67"/>
      <c r="BZ96" s="30"/>
      <c r="CA96" s="67"/>
      <c r="CB96" s="30"/>
      <c r="CC96" s="67"/>
    </row>
    <row r="97" spans="2:81" s="24" customFormat="1">
      <c r="B97" s="53" t="s">
        <v>127</v>
      </c>
      <c r="C97" s="41"/>
      <c r="H97" s="30">
        <f>H272</f>
        <v>1.8543999999999998</v>
      </c>
      <c r="I97" s="30"/>
      <c r="J97" s="30">
        <f>J272</f>
        <v>-1.5931500000000001</v>
      </c>
      <c r="K97" s="30"/>
      <c r="L97" s="30">
        <f>L272</f>
        <v>1.5541999999999998</v>
      </c>
      <c r="M97" s="30"/>
      <c r="N97" s="30">
        <f>N272</f>
        <v>1.7271000000000001</v>
      </c>
      <c r="O97" s="30"/>
      <c r="P97" s="30">
        <f>P272</f>
        <v>-3.9899999999999998E-2</v>
      </c>
      <c r="Q97" s="30"/>
      <c r="R97" s="30">
        <f>R272</f>
        <v>-15.035649999999999</v>
      </c>
      <c r="S97" s="30"/>
      <c r="T97" s="74"/>
      <c r="U97" s="30"/>
      <c r="V97" s="74"/>
      <c r="W97" s="30"/>
      <c r="X97" s="74"/>
      <c r="Y97" s="30"/>
      <c r="Z97" s="74"/>
      <c r="AA97" s="30"/>
      <c r="AB97" s="74"/>
      <c r="AC97" s="30"/>
      <c r="AD97" s="74"/>
      <c r="AE97" s="30"/>
      <c r="AF97" s="74"/>
      <c r="AG97" s="30"/>
      <c r="AH97" s="74"/>
      <c r="AI97" s="30"/>
      <c r="AJ97" s="74"/>
      <c r="AK97" s="30"/>
      <c r="AL97" s="74"/>
      <c r="AM97" s="30"/>
      <c r="AN97" s="74"/>
      <c r="AO97" s="67"/>
      <c r="AP97" s="30"/>
      <c r="AQ97" s="67"/>
      <c r="AR97" s="68"/>
      <c r="AS97" s="70"/>
      <c r="AT97" s="92"/>
      <c r="AU97" s="70"/>
      <c r="AV97" s="30"/>
      <c r="AW97" s="67"/>
      <c r="AX97" s="68"/>
      <c r="AY97" s="67"/>
      <c r="AZ97" s="68"/>
      <c r="BA97" s="67"/>
      <c r="BB97" s="30"/>
      <c r="BC97" s="67"/>
      <c r="BD97" s="30"/>
      <c r="BE97" s="67"/>
      <c r="BF97" s="30"/>
      <c r="BG97" s="67"/>
      <c r="BH97" s="30"/>
      <c r="BI97" s="67"/>
      <c r="BJ97" s="30"/>
      <c r="BK97" s="67"/>
      <c r="BL97" s="68"/>
      <c r="BM97" s="67"/>
      <c r="BN97" s="30"/>
      <c r="BO97" s="67"/>
      <c r="BP97" s="68"/>
      <c r="BQ97" s="67"/>
      <c r="BR97" s="68"/>
      <c r="BS97" s="67"/>
      <c r="BT97" s="30"/>
      <c r="BU97" s="67"/>
      <c r="BV97" s="30"/>
      <c r="BW97" s="67"/>
      <c r="BX97" s="30"/>
      <c r="BY97" s="67"/>
      <c r="BZ97" s="30"/>
      <c r="CA97" s="67"/>
      <c r="CB97" s="30"/>
      <c r="CC97" s="67"/>
    </row>
    <row r="98" spans="2:81" s="24" customFormat="1">
      <c r="B98" s="94" t="s">
        <v>137</v>
      </c>
      <c r="C98" s="95"/>
      <c r="D98" s="96"/>
      <c r="E98" s="96"/>
      <c r="F98" s="96"/>
      <c r="H98" s="98">
        <f>SUM(H83:H97)</f>
        <v>-129.13065</v>
      </c>
      <c r="I98" s="28"/>
      <c r="J98" s="98">
        <f>SUM(J83:J97)</f>
        <v>-51.277200000000008</v>
      </c>
      <c r="K98" s="28"/>
      <c r="L98" s="98">
        <f>SUM(L83:L97)</f>
        <v>-46.131050000000002</v>
      </c>
      <c r="M98" s="28"/>
      <c r="N98" s="98">
        <f>SUM(N83:N97)</f>
        <v>-45.922050000000006</v>
      </c>
      <c r="O98" s="28"/>
      <c r="P98" s="98">
        <f>SUM(P83:P97)</f>
        <v>-90.464699999999993</v>
      </c>
      <c r="Q98" s="28"/>
      <c r="R98" s="98">
        <f>SUM(R83:R97)</f>
        <v>25.06004999999999</v>
      </c>
      <c r="S98" s="28"/>
      <c r="T98" s="99"/>
      <c r="U98" s="28"/>
      <c r="V98" s="99"/>
      <c r="W98" s="28"/>
      <c r="X98" s="99"/>
      <c r="Y98" s="28"/>
      <c r="Z98" s="99"/>
      <c r="AA98" s="28"/>
      <c r="AB98" s="99"/>
      <c r="AC98" s="28"/>
      <c r="AD98" s="99"/>
      <c r="AE98" s="28"/>
      <c r="AF98" s="99"/>
      <c r="AG98" s="28"/>
      <c r="AH98" s="99"/>
      <c r="AI98" s="28"/>
      <c r="AJ98" s="99"/>
      <c r="AK98" s="28"/>
      <c r="AL98" s="99"/>
      <c r="AM98" s="28"/>
      <c r="AN98" s="99"/>
      <c r="AO98" s="67"/>
      <c r="AP98" s="97"/>
      <c r="AQ98" s="67"/>
      <c r="AR98" s="68"/>
      <c r="AS98" s="67"/>
      <c r="AT98" s="68"/>
      <c r="AU98" s="67"/>
      <c r="AV98" s="97"/>
      <c r="AW98" s="67"/>
      <c r="AX98" s="68"/>
      <c r="AY98" s="67"/>
      <c r="AZ98" s="68"/>
      <c r="BA98" s="67"/>
      <c r="BB98" s="97"/>
      <c r="BC98" s="67"/>
      <c r="BD98" s="97"/>
      <c r="BE98" s="67"/>
      <c r="BF98" s="97"/>
      <c r="BG98" s="67"/>
      <c r="BH98" s="97"/>
      <c r="BI98" s="67"/>
      <c r="BJ98" s="97"/>
      <c r="BK98" s="67"/>
      <c r="BL98" s="68"/>
      <c r="BM98" s="67"/>
      <c r="BN98" s="97"/>
      <c r="BO98" s="67"/>
      <c r="BP98" s="68"/>
      <c r="BQ98" s="67"/>
      <c r="BR98" s="68"/>
      <c r="BS98" s="67"/>
      <c r="BT98" s="97"/>
      <c r="BU98" s="67"/>
      <c r="BV98" s="97"/>
      <c r="BW98" s="67"/>
      <c r="BX98" s="97"/>
      <c r="BY98" s="67"/>
      <c r="BZ98" s="97"/>
      <c r="CA98" s="67"/>
      <c r="CB98" s="97"/>
      <c r="CC98" s="67"/>
    </row>
    <row r="99" spans="2:81" s="24" customFormat="1">
      <c r="B99" s="30"/>
      <c r="H99" s="30"/>
      <c r="I99" s="28"/>
      <c r="J99" s="30"/>
      <c r="K99" s="28"/>
      <c r="L99" s="30"/>
      <c r="M99" s="28"/>
      <c r="N99" s="30"/>
      <c r="O99" s="28"/>
      <c r="P99" s="30"/>
      <c r="Q99" s="28"/>
      <c r="R99" s="30"/>
      <c r="S99" s="28"/>
      <c r="T99" s="74"/>
      <c r="U99" s="28"/>
      <c r="V99" s="74"/>
      <c r="W99" s="28"/>
      <c r="X99" s="74"/>
      <c r="Y99" s="28"/>
      <c r="Z99" s="74"/>
      <c r="AA99" s="28"/>
      <c r="AB99" s="74"/>
      <c r="AC99" s="28"/>
      <c r="AD99" s="74"/>
      <c r="AE99" s="28"/>
      <c r="AF99" s="74"/>
      <c r="AG99" s="28"/>
      <c r="AH99" s="74"/>
      <c r="AI99" s="28"/>
      <c r="AJ99" s="74"/>
      <c r="AK99" s="28"/>
      <c r="AL99" s="74"/>
      <c r="AM99" s="28"/>
      <c r="AN99" s="74"/>
      <c r="AO99" s="67"/>
      <c r="AP99" s="66"/>
      <c r="AQ99" s="67"/>
      <c r="AR99" s="68"/>
      <c r="AS99" s="67"/>
      <c r="AT99" s="68"/>
      <c r="AU99" s="67"/>
      <c r="AV99" s="66"/>
      <c r="AW99" s="67"/>
      <c r="AX99" s="68"/>
      <c r="AY99" s="67"/>
      <c r="AZ99" s="68"/>
      <c r="BA99" s="67"/>
      <c r="BB99" s="66"/>
      <c r="BC99" s="67"/>
      <c r="BD99" s="66"/>
      <c r="BE99" s="67"/>
      <c r="BF99" s="66"/>
      <c r="BG99" s="67"/>
      <c r="BH99" s="66"/>
      <c r="BI99" s="67"/>
      <c r="BJ99" s="66"/>
      <c r="BK99" s="67"/>
      <c r="BL99" s="68"/>
      <c r="BM99" s="67"/>
      <c r="BN99" s="66"/>
      <c r="BO99" s="67"/>
      <c r="BP99" s="68"/>
      <c r="BQ99" s="67"/>
      <c r="BR99" s="68"/>
      <c r="BS99" s="67"/>
      <c r="BT99" s="66"/>
      <c r="BU99" s="67"/>
      <c r="BV99" s="66"/>
      <c r="BW99" s="67"/>
      <c r="BX99" s="66"/>
      <c r="BY99" s="67"/>
      <c r="BZ99" s="66"/>
      <c r="CA99" s="67"/>
      <c r="CB99" s="66"/>
      <c r="CC99" s="67"/>
    </row>
    <row r="100" spans="2:81" s="24" customFormat="1">
      <c r="B100" s="100" t="s">
        <v>138</v>
      </c>
      <c r="C100" s="96"/>
      <c r="D100" s="96"/>
      <c r="E100" s="96"/>
      <c r="F100" s="96"/>
      <c r="H100" s="98">
        <f>+H98+H46</f>
        <v>-89.100499999999954</v>
      </c>
      <c r="I100" s="28"/>
      <c r="J100" s="98">
        <f>+J98+J46</f>
        <v>7.8241999999999763</v>
      </c>
      <c r="K100" s="28"/>
      <c r="L100" s="98">
        <f>+L98+L46</f>
        <v>-19.193800000000007</v>
      </c>
      <c r="M100" s="28"/>
      <c r="N100" s="98">
        <f>+N98+N46</f>
        <v>24.74655000000002</v>
      </c>
      <c r="O100" s="28"/>
      <c r="P100" s="98">
        <f>+P98+P46</f>
        <v>31.287300000000002</v>
      </c>
      <c r="Q100" s="28"/>
      <c r="R100" s="98">
        <f>+R98+R46</f>
        <v>133.82745000000011</v>
      </c>
      <c r="S100" s="28"/>
      <c r="T100" s="99"/>
      <c r="U100" s="28"/>
      <c r="V100" s="99"/>
      <c r="W100" s="28"/>
      <c r="X100" s="99"/>
      <c r="Y100" s="28"/>
      <c r="Z100" s="99"/>
      <c r="AA100" s="28"/>
      <c r="AB100" s="99"/>
      <c r="AC100" s="28"/>
      <c r="AD100" s="99"/>
      <c r="AE100" s="28"/>
      <c r="AF100" s="99"/>
      <c r="AG100" s="28"/>
      <c r="AH100" s="99"/>
      <c r="AI100" s="28"/>
      <c r="AJ100" s="99"/>
      <c r="AK100" s="28"/>
      <c r="AL100" s="99"/>
      <c r="AM100" s="28"/>
      <c r="AN100" s="99"/>
      <c r="AO100" s="67"/>
      <c r="AP100" s="97"/>
      <c r="AQ100" s="67"/>
      <c r="AR100" s="68"/>
      <c r="AS100" s="67"/>
      <c r="AT100" s="68"/>
      <c r="AU100" s="67"/>
      <c r="AV100" s="97"/>
      <c r="AW100" s="67"/>
      <c r="AX100" s="68"/>
      <c r="AY100" s="67"/>
      <c r="AZ100" s="68"/>
      <c r="BA100" s="67"/>
      <c r="BB100" s="97"/>
      <c r="BC100" s="67"/>
      <c r="BD100" s="97"/>
      <c r="BE100" s="67"/>
      <c r="BF100" s="97"/>
      <c r="BG100" s="67"/>
      <c r="BH100" s="97"/>
      <c r="BI100" s="67"/>
      <c r="BJ100" s="97"/>
      <c r="BK100" s="67"/>
      <c r="BL100" s="68"/>
      <c r="BM100" s="67"/>
      <c r="BN100" s="97"/>
      <c r="BO100" s="67"/>
      <c r="BP100" s="68"/>
      <c r="BQ100" s="67"/>
      <c r="BR100" s="68"/>
      <c r="BS100" s="67"/>
      <c r="BT100" s="97"/>
      <c r="BU100" s="67"/>
      <c r="BV100" s="97"/>
      <c r="BW100" s="67"/>
      <c r="BX100" s="97"/>
      <c r="BY100" s="67"/>
      <c r="BZ100" s="97"/>
      <c r="CA100" s="67"/>
      <c r="CB100" s="97"/>
      <c r="CC100" s="67"/>
    </row>
    <row r="101" spans="2:81" s="24" customFormat="1">
      <c r="B101" s="24" t="s">
        <v>139</v>
      </c>
      <c r="H101" s="30">
        <f>+H275</f>
        <v>338.81464999999997</v>
      </c>
      <c r="I101" s="28"/>
      <c r="J101" s="30">
        <f>+J275</f>
        <v>253.26239999999999</v>
      </c>
      <c r="K101" s="28"/>
      <c r="L101" s="30">
        <f>+L275</f>
        <v>265.48604999999998</v>
      </c>
      <c r="M101" s="28"/>
      <c r="N101" s="30">
        <f>+N275</f>
        <v>249.43294999999998</v>
      </c>
      <c r="O101" s="28"/>
      <c r="P101" s="30">
        <f>+P275</f>
        <v>276.75399999999996</v>
      </c>
      <c r="Q101" s="28"/>
      <c r="R101" s="30">
        <f>+R275</f>
        <v>179.65544999999997</v>
      </c>
      <c r="S101" s="28"/>
      <c r="T101" s="74"/>
      <c r="U101" s="28"/>
      <c r="V101" s="74"/>
      <c r="W101" s="28"/>
      <c r="X101" s="74"/>
      <c r="Y101" s="28"/>
      <c r="Z101" s="74"/>
      <c r="AA101" s="28"/>
      <c r="AB101" s="74"/>
      <c r="AC101" s="28"/>
      <c r="AD101" s="74"/>
      <c r="AE101" s="28"/>
      <c r="AF101" s="74"/>
      <c r="AG101" s="28"/>
      <c r="AH101" s="74"/>
      <c r="AI101" s="28"/>
      <c r="AJ101" s="74"/>
      <c r="AK101" s="28"/>
      <c r="AL101" s="74"/>
      <c r="AM101" s="28"/>
      <c r="AN101" s="74"/>
      <c r="AO101" s="67"/>
      <c r="AP101" s="30"/>
      <c r="AQ101" s="67"/>
      <c r="AR101" s="68"/>
      <c r="AS101" s="67"/>
      <c r="AT101" s="68"/>
      <c r="AU101" s="67"/>
      <c r="AV101" s="30"/>
      <c r="AW101" s="67"/>
      <c r="AX101" s="68"/>
      <c r="AY101" s="67"/>
      <c r="AZ101" s="68"/>
      <c r="BA101" s="67"/>
      <c r="BB101" s="30"/>
      <c r="BC101" s="67"/>
      <c r="BD101" s="30"/>
      <c r="BE101" s="67"/>
      <c r="BF101" s="30"/>
      <c r="BG101" s="67"/>
      <c r="BH101" s="30"/>
      <c r="BI101" s="67"/>
      <c r="BJ101" s="30"/>
      <c r="BK101" s="67"/>
      <c r="BL101" s="68"/>
      <c r="BM101" s="67"/>
      <c r="BN101" s="30"/>
      <c r="BO101" s="67"/>
      <c r="BP101" s="68"/>
      <c r="BQ101" s="67"/>
      <c r="BR101" s="68"/>
      <c r="BS101" s="67"/>
      <c r="BT101" s="30"/>
      <c r="BU101" s="67"/>
      <c r="BV101" s="30"/>
      <c r="BW101" s="67"/>
      <c r="BX101" s="30"/>
      <c r="BY101" s="67"/>
      <c r="BZ101" s="30"/>
      <c r="CA101" s="67"/>
      <c r="CB101" s="30"/>
      <c r="CC101" s="67"/>
    </row>
    <row r="102" spans="2:81" s="24" customFormat="1">
      <c r="B102" s="100" t="s">
        <v>140</v>
      </c>
      <c r="C102" s="96"/>
      <c r="D102" s="96"/>
      <c r="E102" s="96"/>
      <c r="F102" s="96"/>
      <c r="H102" s="98">
        <f>+H100+H101</f>
        <v>249.71415000000002</v>
      </c>
      <c r="I102" s="28"/>
      <c r="J102" s="98">
        <f>+J100+J101</f>
        <v>261.08659999999998</v>
      </c>
      <c r="K102" s="28"/>
      <c r="L102" s="98">
        <f>+L100+L101</f>
        <v>246.29224999999997</v>
      </c>
      <c r="M102" s="28"/>
      <c r="N102" s="98">
        <f>+N100+N101</f>
        <v>274.17950000000002</v>
      </c>
      <c r="O102" s="28"/>
      <c r="P102" s="98">
        <f>+P100+P101</f>
        <v>308.04129999999998</v>
      </c>
      <c r="Q102" s="28"/>
      <c r="R102" s="98">
        <f>+R100+R101</f>
        <v>313.48290000000009</v>
      </c>
      <c r="S102" s="28"/>
      <c r="T102" s="99"/>
      <c r="U102" s="28"/>
      <c r="V102" s="99"/>
      <c r="W102" s="28"/>
      <c r="X102" s="99"/>
      <c r="Y102" s="28"/>
      <c r="Z102" s="99"/>
      <c r="AA102" s="28"/>
      <c r="AB102" s="99"/>
      <c r="AC102" s="28"/>
      <c r="AD102" s="99"/>
      <c r="AE102" s="28"/>
      <c r="AF102" s="99"/>
      <c r="AG102" s="28"/>
      <c r="AH102" s="99"/>
      <c r="AI102" s="28"/>
      <c r="AJ102" s="99"/>
      <c r="AK102" s="28"/>
      <c r="AL102" s="99"/>
      <c r="AM102" s="28"/>
      <c r="AN102" s="99"/>
      <c r="AO102" s="67"/>
      <c r="AP102" s="97"/>
      <c r="AQ102" s="67"/>
      <c r="AR102" s="68"/>
      <c r="AS102" s="67"/>
      <c r="AT102" s="68"/>
      <c r="AU102" s="67"/>
      <c r="AV102" s="97"/>
      <c r="AW102" s="67"/>
      <c r="AX102" s="68"/>
      <c r="AY102" s="67"/>
      <c r="AZ102" s="68"/>
      <c r="BA102" s="67"/>
      <c r="BB102" s="97"/>
      <c r="BC102" s="67"/>
      <c r="BD102" s="97"/>
      <c r="BE102" s="67"/>
      <c r="BF102" s="97"/>
      <c r="BG102" s="67"/>
      <c r="BH102" s="97"/>
      <c r="BI102" s="67"/>
      <c r="BJ102" s="97"/>
      <c r="BK102" s="67"/>
      <c r="BL102" s="68"/>
      <c r="BM102" s="67"/>
      <c r="BN102" s="97"/>
      <c r="BO102" s="67"/>
      <c r="BP102" s="68"/>
      <c r="BQ102" s="67"/>
      <c r="BR102" s="68"/>
      <c r="BS102" s="67"/>
      <c r="BT102" s="97"/>
      <c r="BU102" s="67"/>
      <c r="BV102" s="97"/>
      <c r="BW102" s="67"/>
      <c r="BX102" s="97"/>
      <c r="BY102" s="67"/>
      <c r="BZ102" s="97"/>
      <c r="CA102" s="67"/>
      <c r="CB102" s="97"/>
      <c r="CC102" s="67"/>
    </row>
    <row r="103" spans="2:81" s="230" customFormat="1">
      <c r="B103" s="231" t="s">
        <v>39</v>
      </c>
      <c r="H103" s="232">
        <f>+ROUND(H102-H129,5)</f>
        <v>0</v>
      </c>
      <c r="I103" s="233"/>
      <c r="J103" s="232">
        <f>+ROUND(J102-J129,5)</f>
        <v>0</v>
      </c>
      <c r="K103" s="233"/>
      <c r="L103" s="232">
        <f>+ROUND(L102-L129,5)</f>
        <v>0</v>
      </c>
      <c r="M103" s="233"/>
      <c r="N103" s="232">
        <f>+ROUND(N102-N129,5)</f>
        <v>0</v>
      </c>
      <c r="O103" s="233"/>
      <c r="P103" s="232">
        <f>+ROUND(P102-P129,5)</f>
        <v>0</v>
      </c>
      <c r="Q103" s="233"/>
      <c r="R103" s="232">
        <f>+ROUND(R102-R129,5)</f>
        <v>0</v>
      </c>
      <c r="S103" s="233"/>
      <c r="T103" s="232"/>
      <c r="U103" s="233"/>
      <c r="V103" s="232"/>
      <c r="W103" s="233"/>
      <c r="X103" s="232"/>
      <c r="Y103" s="233"/>
      <c r="Z103" s="232"/>
      <c r="AA103" s="233"/>
      <c r="AB103" s="232"/>
      <c r="AC103" s="233"/>
      <c r="AD103" s="232"/>
      <c r="AE103" s="233"/>
      <c r="AF103" s="232"/>
      <c r="AG103" s="233"/>
      <c r="AH103" s="232"/>
      <c r="AI103" s="233"/>
      <c r="AJ103" s="232"/>
      <c r="AK103" s="233"/>
      <c r="AL103" s="232"/>
      <c r="AM103" s="233"/>
      <c r="AN103" s="232"/>
      <c r="AO103" s="234"/>
      <c r="AP103" s="232"/>
      <c r="AQ103" s="234"/>
      <c r="AR103" s="235"/>
      <c r="AS103" s="234"/>
      <c r="AT103" s="235"/>
      <c r="AU103" s="234"/>
      <c r="AV103" s="232"/>
      <c r="AW103" s="234"/>
      <c r="AX103" s="235"/>
      <c r="AY103" s="234"/>
      <c r="AZ103" s="235"/>
      <c r="BA103" s="234"/>
      <c r="BB103" s="232"/>
      <c r="BC103" s="234"/>
      <c r="BD103" s="232"/>
      <c r="BE103" s="234"/>
      <c r="BF103" s="232"/>
      <c r="BG103" s="234"/>
      <c r="BH103" s="232"/>
      <c r="BI103" s="234"/>
      <c r="BJ103" s="236"/>
      <c r="BK103" s="234"/>
      <c r="BL103" s="235"/>
      <c r="BM103" s="234"/>
      <c r="BN103" s="232"/>
      <c r="BO103" s="234"/>
      <c r="BP103" s="235"/>
      <c r="BQ103" s="234"/>
      <c r="BR103" s="235"/>
      <c r="BS103" s="234"/>
      <c r="BT103" s="232"/>
      <c r="BU103" s="234"/>
      <c r="BV103" s="232"/>
      <c r="BW103" s="234"/>
      <c r="BX103" s="232"/>
      <c r="BY103" s="234"/>
      <c r="BZ103" s="232"/>
      <c r="CA103" s="234"/>
      <c r="CB103" s="237"/>
      <c r="CC103" s="234"/>
    </row>
    <row r="104" spans="2:81" s="21" customFormat="1">
      <c r="H104" s="77"/>
      <c r="J104" s="77"/>
      <c r="L104" s="77"/>
      <c r="N104" s="77"/>
      <c r="P104" s="101"/>
      <c r="R104" s="101"/>
      <c r="T104" s="101"/>
      <c r="V104" s="101"/>
      <c r="X104" s="101"/>
      <c r="Z104" s="101"/>
      <c r="AB104" s="101"/>
      <c r="AD104" s="101"/>
      <c r="AF104" s="101"/>
      <c r="AH104" s="101"/>
      <c r="AJ104" s="101"/>
      <c r="AL104" s="101"/>
      <c r="AN104" s="101"/>
      <c r="AQ104" s="29"/>
    </row>
    <row r="105" spans="2:81" s="21" customFormat="1">
      <c r="B105" s="186" t="s">
        <v>32</v>
      </c>
      <c r="C105" s="187"/>
      <c r="D105" s="187"/>
      <c r="E105" s="187"/>
      <c r="F105" s="187"/>
      <c r="G105" s="187"/>
      <c r="H105" s="188">
        <f>IFERROR((H147+H143)/H29,"na")</f>
        <v>4.1814124575005671</v>
      </c>
      <c r="I105" s="189"/>
      <c r="J105" s="188">
        <f>IFERROR((J147+J143)/J29,"na")</f>
        <v>2.5622948720932941</v>
      </c>
      <c r="K105" s="189"/>
      <c r="L105" s="188">
        <f>IFERROR((L147+L143)/L29,"na")</f>
        <v>2.1117719292768462</v>
      </c>
      <c r="M105" s="189"/>
      <c r="N105" s="188">
        <f>IFERROR((N147+N143)/N29,"na")</f>
        <v>2.1698240866035179</v>
      </c>
      <c r="O105" s="189"/>
      <c r="P105" s="188">
        <f>IFERROR((P147+P143)/P29,"na")</f>
        <v>3.0155120764827434</v>
      </c>
      <c r="Q105" s="189"/>
      <c r="R105" s="188">
        <f>IFERROR((R147+R143)/R29,"na")</f>
        <v>1.3079568259478216</v>
      </c>
      <c r="S105" s="189"/>
      <c r="T105" s="188">
        <f>IFERROR((T80)/T29,"na")</f>
        <v>5.1736660018512381</v>
      </c>
      <c r="U105" s="189"/>
      <c r="V105" s="188">
        <f>IFERROR((V80)/V29,"na")</f>
        <v>4.882679868558049</v>
      </c>
      <c r="W105" s="189"/>
      <c r="X105" s="188">
        <f>IFERROR((X80)/X29,"na")</f>
        <v>4.4474204486749871</v>
      </c>
      <c r="Y105" s="189"/>
      <c r="Z105" s="188">
        <f>IFERROR((Z80)/Z29,"na")</f>
        <v>4.0590947713789038</v>
      </c>
      <c r="AA105" s="189"/>
      <c r="AB105" s="188">
        <f>IFERROR((AB80)/AB29,"na")</f>
        <v>3.7275847760691558</v>
      </c>
      <c r="AC105" s="189"/>
      <c r="AD105" s="188">
        <f>IFERROR((AD80)/AD29,"na")</f>
        <v>3.427084360307453</v>
      </c>
      <c r="AE105" s="189"/>
      <c r="AF105" s="188">
        <f>IFERROR((AF80)/AF29,"na")</f>
        <v>3.3502943762617616</v>
      </c>
      <c r="AG105" s="189"/>
      <c r="AH105" s="188">
        <f>IFERROR((AH80)/AH29,"na")</f>
        <v>3.2540757131466553</v>
      </c>
      <c r="AI105" s="189"/>
      <c r="AJ105" s="188">
        <f>IFERROR((AJ80)/AJ29,"na")</f>
        <v>3.1360643531123116</v>
      </c>
      <c r="AK105" s="189"/>
      <c r="AL105" s="188">
        <f>IFERROR((AL80)/AL29,"na")</f>
        <v>2.993629420263249</v>
      </c>
      <c r="AM105" s="189"/>
      <c r="AN105" s="190">
        <f>IFERROR((AN80)/AN29,"na")</f>
        <v>0</v>
      </c>
      <c r="AO105" s="102"/>
      <c r="AS105" s="70"/>
      <c r="AT105" s="70"/>
      <c r="AU105" s="70"/>
    </row>
    <row r="106" spans="2:81" s="21" customFormat="1">
      <c r="H106" s="77"/>
      <c r="J106" s="77"/>
      <c r="L106" s="77"/>
      <c r="N106" s="77"/>
      <c r="P106" s="101"/>
      <c r="R106" s="101"/>
      <c r="T106" s="101"/>
      <c r="V106" s="101"/>
      <c r="X106" s="101"/>
      <c r="Z106" s="101"/>
      <c r="AB106" s="101"/>
      <c r="AD106" s="101"/>
      <c r="AF106" s="101"/>
      <c r="AH106" s="101"/>
      <c r="AJ106" s="101"/>
      <c r="AL106" s="101"/>
      <c r="AN106" s="101"/>
      <c r="AQ106" s="29"/>
    </row>
    <row r="107" spans="2:81" s="23" customFormat="1" ht="21">
      <c r="B107" s="208" t="s">
        <v>28</v>
      </c>
      <c r="C107" s="209"/>
      <c r="D107" s="209"/>
      <c r="E107" s="209"/>
      <c r="F107" s="209"/>
      <c r="G107" s="209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 s="210"/>
      <c r="AK107" s="210"/>
      <c r="AL107" s="210"/>
      <c r="AM107" s="210"/>
      <c r="AN107" s="210"/>
      <c r="AO107" s="21"/>
    </row>
    <row r="108" spans="2:81" s="21" customFormat="1" ht="5.0999999999999996" customHeight="1"/>
    <row r="109" spans="2:81">
      <c r="B109" s="2" t="s">
        <v>149</v>
      </c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</row>
    <row r="110" spans="2:81">
      <c r="B110" s="221" t="s">
        <v>273</v>
      </c>
      <c r="H110" s="103">
        <v>386.02395000000001</v>
      </c>
      <c r="I110" s="103">
        <v>0</v>
      </c>
      <c r="J110" s="103">
        <v>532.53959999999995</v>
      </c>
      <c r="K110" s="103">
        <v>0</v>
      </c>
      <c r="L110" s="103">
        <v>563.63499999999988</v>
      </c>
      <c r="M110" s="103">
        <v>0</v>
      </c>
      <c r="N110" s="103">
        <v>512.28655000000003</v>
      </c>
      <c r="O110" s="103">
        <v>0</v>
      </c>
      <c r="P110" s="103">
        <v>490.73579999999993</v>
      </c>
      <c r="Q110" s="103">
        <v>0</v>
      </c>
      <c r="R110" s="103">
        <v>696.12294999999995</v>
      </c>
      <c r="S110" s="103"/>
      <c r="T110" s="104">
        <f>IF(AND(T$6&gt;='Financing Inputs'!$T$5,T$6&lt;='Financing Inputs'!$T$19),R110*(1+T112),0)</f>
        <v>762.25463024999988</v>
      </c>
      <c r="U110" s="103"/>
      <c r="V110" s="104">
        <f>IF(AND(V$6&gt;='Financing Inputs'!$T$5,V$6&lt;='Financing Inputs'!$T$19),T110*(1+V112),0)</f>
        <v>823.23500066999998</v>
      </c>
      <c r="W110" s="103"/>
      <c r="X110" s="104">
        <f>IF(AND(X$6&gt;='Financing Inputs'!$T$5,X$6&lt;='Financing Inputs'!$T$19),V110*(1+X112),0)</f>
        <v>880.86145071689998</v>
      </c>
      <c r="Y110" s="103"/>
      <c r="Z110" s="104">
        <f>IF(AND(Z$6&gt;='Financing Inputs'!$T$5,Z$6&lt;='Financing Inputs'!$T$19),X110*(1+Z112),0)</f>
        <v>933.71313775991405</v>
      </c>
      <c r="AA110" s="103"/>
      <c r="AB110" s="104">
        <f>IF(AND(AB$6&gt;='Financing Inputs'!$T$5,AB$6&lt;='Financing Inputs'!$T$19),Z110*(1+AB112),0)</f>
        <v>980.39879464790977</v>
      </c>
      <c r="AC110" s="103"/>
      <c r="AD110" s="104">
        <f>IF(AND(AD$6&gt;='Financing Inputs'!$T$5,AD$6&lt;='Financing Inputs'!$T$19),AB110*(1+AD112),0)</f>
        <v>1019.6147464338262</v>
      </c>
      <c r="AE110" s="103"/>
      <c r="AF110" s="104">
        <f>IF(AND(AF$6&gt;='Financing Inputs'!$T$5,AF$6&lt;='Financing Inputs'!$T$19),AD110*(1+AF112),0)</f>
        <v>989.0263040408114</v>
      </c>
      <c r="AG110" s="103"/>
      <c r="AH110" s="104">
        <f>IF(AND(AH$6&gt;='Financing Inputs'!$T$5,AH$6&lt;='Financing Inputs'!$T$19),AF110*(1+AH112),0)</f>
        <v>959.35551491958699</v>
      </c>
      <c r="AI110" s="103"/>
      <c r="AJ110" s="104">
        <f>IF(AND(AJ$6&gt;='Financing Inputs'!$T$5,AJ$6&lt;='Financing Inputs'!$T$19),AH110*(1+AJ112),0)</f>
        <v>930.57484947199941</v>
      </c>
      <c r="AK110" s="103"/>
      <c r="AL110" s="104">
        <f>IF(AND(AL$6&gt;='Financing Inputs'!$T$5,AL$6&lt;='Financing Inputs'!$T$19),AJ110*(1+AL112),0)</f>
        <v>902.65760398783937</v>
      </c>
      <c r="AM110" s="103"/>
      <c r="AN110" s="104">
        <f>IF(AND(AN$6&gt;='Financing Inputs'!$T$5,AN$6&lt;='Financing Inputs'!$T$19),AL110*(1+AN112),0)</f>
        <v>875.57787586820416</v>
      </c>
    </row>
    <row r="111" spans="2:81" s="32" customFormat="1">
      <c r="B111" s="40" t="s">
        <v>37</v>
      </c>
      <c r="H111" s="35" t="s">
        <v>0</v>
      </c>
      <c r="I111" s="36"/>
      <c r="J111" s="33">
        <f>IFERROR((J110/H110-1),"na")</f>
        <v>0.37955067295694978</v>
      </c>
      <c r="K111" s="36"/>
      <c r="L111" s="33">
        <f>IFERROR((L110/J110-1),"na")</f>
        <v>5.8390775070999323E-2</v>
      </c>
      <c r="M111" s="36"/>
      <c r="N111" s="33">
        <f>IFERROR((N110/L110-1),"na")</f>
        <v>-9.1102309118489599E-2</v>
      </c>
      <c r="O111" s="34"/>
      <c r="P111" s="33">
        <f>IFERROR((P110/N110-1),"na")</f>
        <v>-4.2067764613379133E-2</v>
      </c>
      <c r="Q111" s="34"/>
      <c r="R111" s="33">
        <f>IFERROR((R110/P110-1),"na")</f>
        <v>0.41852897220867114</v>
      </c>
      <c r="S111" s="36"/>
      <c r="T111" s="33">
        <f>IFERROR((T110/R110-1),"na")</f>
        <v>9.4999999999999973E-2</v>
      </c>
      <c r="U111" s="36"/>
      <c r="V111" s="33">
        <f>IFERROR((V110/T110-1),"na")</f>
        <v>8.0000000000000071E-2</v>
      </c>
      <c r="W111" s="36"/>
      <c r="X111" s="33">
        <f>IFERROR((X110/V110-1),"na")</f>
        <v>7.0000000000000062E-2</v>
      </c>
      <c r="Y111" s="36"/>
      <c r="Z111" s="33">
        <f>IFERROR((Z110/X110-1),"na")</f>
        <v>6.0000000000000053E-2</v>
      </c>
      <c r="AA111" s="36"/>
      <c r="AB111" s="33">
        <f>IFERROR((AB110/Z110-1),"na")</f>
        <v>5.0000000000000044E-2</v>
      </c>
      <c r="AC111" s="36"/>
      <c r="AD111" s="33">
        <f>IFERROR((AD110/AB110-1),"na")</f>
        <v>4.0000000000000036E-2</v>
      </c>
      <c r="AE111" s="36"/>
      <c r="AF111" s="33">
        <f>IFERROR((AF110/AD110-1),"na")</f>
        <v>-3.0000000000000027E-2</v>
      </c>
      <c r="AG111" s="36"/>
      <c r="AH111" s="33">
        <f>IFERROR((AH110/AF110-1),"na")</f>
        <v>-3.0000000000000027E-2</v>
      </c>
      <c r="AI111" s="36"/>
      <c r="AJ111" s="33">
        <f>IFERROR((AJ110/AH110-1),"na")</f>
        <v>-2.9999999999999916E-2</v>
      </c>
      <c r="AK111" s="36"/>
      <c r="AL111" s="33">
        <f>IFERROR((AL110/AJ110-1),"na")</f>
        <v>-3.0000000000000027E-2</v>
      </c>
      <c r="AM111" s="36"/>
      <c r="AN111" s="33">
        <f>IFERROR((AN110/AL110-1),"na")</f>
        <v>-3.0000000000000027E-2</v>
      </c>
      <c r="AO111" s="21"/>
    </row>
    <row r="112" spans="2:81" s="32" customFormat="1">
      <c r="B112" s="40" t="s">
        <v>1</v>
      </c>
      <c r="H112" s="35" t="s">
        <v>0</v>
      </c>
      <c r="I112" s="36"/>
      <c r="J112" s="33">
        <f>IFERROR((J110/H110-1),"na")</f>
        <v>0.37955067295694978</v>
      </c>
      <c r="K112" s="36"/>
      <c r="L112" s="33">
        <f>IFERROR((L110/J110-1),"na")</f>
        <v>5.8390775070999323E-2</v>
      </c>
      <c r="M112" s="36"/>
      <c r="N112" s="33">
        <f>IFERROR((N110/L110-1),"na")</f>
        <v>-9.1102309118489599E-2</v>
      </c>
      <c r="O112" s="36"/>
      <c r="P112" s="33">
        <f>IFERROR((P110/N110-1),"na")</f>
        <v>-4.2067764613379133E-2</v>
      </c>
      <c r="Q112" s="36"/>
      <c r="R112" s="33">
        <f>IFERROR((R110/P110-1),"na")</f>
        <v>0.41852897220867114</v>
      </c>
      <c r="S112" s="36"/>
      <c r="T112" s="33">
        <f>IF(AND(T$6&gt;='Financing Inputs'!$T$5,T$6&lt;='Financing Inputs'!$T$19),'Operating Inputs'!BU$11,0)</f>
        <v>9.5000000000000015E-2</v>
      </c>
      <c r="U112" s="36"/>
      <c r="V112" s="33">
        <f>IF(AND(V$6&gt;='Financing Inputs'!$T$5,V$6&lt;='Financing Inputs'!$T$19),'Operating Inputs'!BW$11,0)</f>
        <v>0.08</v>
      </c>
      <c r="W112" s="36"/>
      <c r="X112" s="33">
        <f>IF(AND(X$6&gt;='Financing Inputs'!$T$5,X$6&lt;='Financing Inputs'!$T$19),'Operating Inputs'!BY$11,0)</f>
        <v>7.0000000000000007E-2</v>
      </c>
      <c r="Y112" s="36"/>
      <c r="Z112" s="33">
        <f>IF(AND(Z$6&gt;='Financing Inputs'!$T$5,Z$6&lt;='Financing Inputs'!$T$19),'Operating Inputs'!CA$11,0)</f>
        <v>0.06</v>
      </c>
      <c r="AA112" s="36"/>
      <c r="AB112" s="33">
        <f>IF(AND(AB$6&gt;='Financing Inputs'!$T$5,AB$6&lt;='Financing Inputs'!$T$19),'Operating Inputs'!CC$11,0)</f>
        <v>0.05</v>
      </c>
      <c r="AC112" s="36"/>
      <c r="AD112" s="33">
        <f>IF(AND(AD$6&gt;='Financing Inputs'!$T$5,AD$6&lt;='Financing Inputs'!$T$19),'Operating Inputs'!CE$11,0)</f>
        <v>0.04</v>
      </c>
      <c r="AE112" s="36"/>
      <c r="AF112" s="33">
        <f>IF(AND(AF$6&gt;='Financing Inputs'!$T$5,AF$6&lt;='Financing Inputs'!$T$19),'Operating Inputs'!CG$11,0)</f>
        <v>-3.0000000000000002E-2</v>
      </c>
      <c r="AG112" s="36"/>
      <c r="AH112" s="33">
        <f>IF(AND(AH$6&gt;='Financing Inputs'!$T$5,AH$6&lt;='Financing Inputs'!$T$19),'Operating Inputs'!CI$11,0)</f>
        <v>-3.0000000000000002E-2</v>
      </c>
      <c r="AI112" s="36"/>
      <c r="AJ112" s="33">
        <f>IF(AND(AJ$6&gt;='Financing Inputs'!$T$5,AJ$6&lt;='Financing Inputs'!$T$19),'Operating Inputs'!CK$11,0)</f>
        <v>-3.0000000000000002E-2</v>
      </c>
      <c r="AK112" s="36"/>
      <c r="AL112" s="33">
        <f>IF(AND(AL$6&gt;='Financing Inputs'!$T$5,AL$6&lt;='Financing Inputs'!$T$19),'Operating Inputs'!CM$11,0)</f>
        <v>-3.0000000000000002E-2</v>
      </c>
      <c r="AM112" s="36"/>
      <c r="AN112" s="33">
        <f>IF(AND(AN$6&gt;='Financing Inputs'!$T$5,AN$6&lt;='Financing Inputs'!$T$19),'Operating Inputs'!CO$11,0)</f>
        <v>-3.0000000000000002E-2</v>
      </c>
      <c r="AO112" s="21"/>
    </row>
    <row r="113" spans="2:41">
      <c r="B113" s="221" t="s">
        <v>280</v>
      </c>
      <c r="H113" s="103">
        <v>145.11724999999998</v>
      </c>
      <c r="I113" s="103"/>
      <c r="J113" s="103">
        <v>151.03954999999999</v>
      </c>
      <c r="K113" s="103"/>
      <c r="L113" s="103">
        <v>163.08839999999998</v>
      </c>
      <c r="M113" s="103"/>
      <c r="N113" s="103">
        <v>169.11709999999999</v>
      </c>
      <c r="O113" s="103"/>
      <c r="P113" s="103">
        <v>130.43024999999997</v>
      </c>
      <c r="Q113" s="103"/>
      <c r="R113" s="103">
        <v>244.98124999999999</v>
      </c>
      <c r="S113" s="103"/>
      <c r="T113" s="104">
        <f>IF(AND(T$6&gt;='Financing Inputs'!$T$5,T$6&lt;='Financing Inputs'!$T$19),R113*(1+T115),0)</f>
        <v>269.479375</v>
      </c>
      <c r="U113" s="103"/>
      <c r="V113" s="104">
        <f>IF(AND(V$6&gt;='Financing Inputs'!$T$5,V$6&lt;='Financing Inputs'!$T$19),T113*(1+V115),0)</f>
        <v>296.42731250000003</v>
      </c>
      <c r="W113" s="103"/>
      <c r="X113" s="104">
        <f>IF(AND(X$6&gt;='Financing Inputs'!$T$5,X$6&lt;='Financing Inputs'!$T$19),V113*(1+X115),0)</f>
        <v>326.07004375000008</v>
      </c>
      <c r="Y113" s="103"/>
      <c r="Z113" s="104">
        <f>IF(AND(Z$6&gt;='Financing Inputs'!$T$5,Z$6&lt;='Financing Inputs'!$T$19),X113*(1+Z115),0)</f>
        <v>358.67704812500011</v>
      </c>
      <c r="AA113" s="103"/>
      <c r="AB113" s="104">
        <f>IF(AND(AB$6&gt;='Financing Inputs'!$T$5,AB$6&lt;='Financing Inputs'!$T$19),Z113*(1+AB115),0)</f>
        <v>387.37121197500016</v>
      </c>
      <c r="AC113" s="103"/>
      <c r="AD113" s="104">
        <f>IF(AND(AD$6&gt;='Financing Inputs'!$T$5,AD$6&lt;='Financing Inputs'!$T$19),AB113*(1+AD115),0)</f>
        <v>418.36090893300019</v>
      </c>
      <c r="AE113" s="103"/>
      <c r="AF113" s="104">
        <f>IF(AND(AF$6&gt;='Financing Inputs'!$T$5,AF$6&lt;='Financing Inputs'!$T$19),AD113*(1+AF115),0)</f>
        <v>414.1772998436702</v>
      </c>
      <c r="AG113" s="103"/>
      <c r="AH113" s="104">
        <f>IF(AND(AH$6&gt;='Financing Inputs'!$T$5,AH$6&lt;='Financing Inputs'!$T$19),AF113*(1+AH115),0)</f>
        <v>410.03552684523351</v>
      </c>
      <c r="AI113" s="103"/>
      <c r="AJ113" s="104">
        <f>IF(AND(AJ$6&gt;='Financing Inputs'!$T$5,AJ$6&lt;='Financing Inputs'!$T$19),AH113*(1+AJ115),0)</f>
        <v>405.93517157678116</v>
      </c>
      <c r="AK113" s="103"/>
      <c r="AL113" s="104">
        <f>IF(AND(AL$6&gt;='Financing Inputs'!$T$5,AL$6&lt;='Financing Inputs'!$T$19),AJ113*(1+AL115),0)</f>
        <v>401.87581986101333</v>
      </c>
      <c r="AM113" s="103"/>
      <c r="AN113" s="104">
        <f>IF(AND(AN$6&gt;='Financing Inputs'!$T$5,AN$6&lt;='Financing Inputs'!$T$19),AL113*(1+AN115),0)</f>
        <v>397.85706166240317</v>
      </c>
    </row>
    <row r="114" spans="2:41" s="32" customFormat="1">
      <c r="B114" s="40" t="s">
        <v>37</v>
      </c>
      <c r="H114" s="35" t="s">
        <v>0</v>
      </c>
      <c r="I114" s="36"/>
      <c r="J114" s="33">
        <f>IFERROR((J113/H113-1),"na")</f>
        <v>4.0810448103171693E-2</v>
      </c>
      <c r="K114" s="36"/>
      <c r="L114" s="33">
        <f>IFERROR((L113/J113-1),"na")</f>
        <v>7.9772814471441356E-2</v>
      </c>
      <c r="M114" s="36"/>
      <c r="N114" s="33">
        <f>IFERROR((N113/L113-1),"na")</f>
        <v>3.6965841837923508E-2</v>
      </c>
      <c r="O114" s="34"/>
      <c r="P114" s="33">
        <f>IFERROR((P113/N113-1),"na")</f>
        <v>-0.22875776606859999</v>
      </c>
      <c r="Q114" s="34"/>
      <c r="R114" s="33">
        <f>IFERROR((R113/P113-1),"na")</f>
        <v>0.87825485268946468</v>
      </c>
      <c r="S114" s="36"/>
      <c r="T114" s="33">
        <f>IFERROR((T113/R113-1),"na")</f>
        <v>0.10000000000000009</v>
      </c>
      <c r="U114" s="36"/>
      <c r="V114" s="33">
        <f>IFERROR((V113/T113-1),"na")</f>
        <v>0.10000000000000009</v>
      </c>
      <c r="W114" s="36"/>
      <c r="X114" s="33">
        <f>IFERROR((X113/V113-1),"na")</f>
        <v>0.10000000000000009</v>
      </c>
      <c r="Y114" s="36"/>
      <c r="Z114" s="33">
        <f>IFERROR((Z113/X113-1),"na")</f>
        <v>0.10000000000000009</v>
      </c>
      <c r="AA114" s="36"/>
      <c r="AB114" s="33">
        <f>IFERROR((AB113/Z113-1),"na")</f>
        <v>8.0000000000000071E-2</v>
      </c>
      <c r="AC114" s="36"/>
      <c r="AD114" s="33">
        <f>IFERROR((AD113/AB113-1),"na")</f>
        <v>8.0000000000000071E-2</v>
      </c>
      <c r="AE114" s="36"/>
      <c r="AF114" s="33">
        <f>IFERROR((AF113/AD113-1),"na")</f>
        <v>-1.0000000000000009E-2</v>
      </c>
      <c r="AG114" s="36"/>
      <c r="AH114" s="33">
        <f>IFERROR((AH113/AF113-1),"na")</f>
        <v>-1.0000000000000009E-2</v>
      </c>
      <c r="AI114" s="36"/>
      <c r="AJ114" s="33">
        <f>IFERROR((AJ113/AH113-1),"na")</f>
        <v>-1.0000000000000009E-2</v>
      </c>
      <c r="AK114" s="36"/>
      <c r="AL114" s="33">
        <f>IFERROR((AL113/AJ113-1),"na")</f>
        <v>-1.0000000000000009E-2</v>
      </c>
      <c r="AM114" s="36"/>
      <c r="AN114" s="33">
        <f>IFERROR((AN113/AL113-1),"na")</f>
        <v>-1.0000000000000009E-2</v>
      </c>
      <c r="AO114" s="21"/>
    </row>
    <row r="115" spans="2:41" s="32" customFormat="1">
      <c r="B115" s="40" t="s">
        <v>1</v>
      </c>
      <c r="H115" s="35" t="s">
        <v>0</v>
      </c>
      <c r="I115" s="36"/>
      <c r="J115" s="33">
        <f>IFERROR((J113/H113-1),"na")</f>
        <v>4.0810448103171693E-2</v>
      </c>
      <c r="K115" s="36"/>
      <c r="L115" s="33">
        <f>IFERROR((L113/J113-1),"na")</f>
        <v>7.9772814471441356E-2</v>
      </c>
      <c r="M115" s="36"/>
      <c r="N115" s="33">
        <f>IFERROR((N113/L113-1),"na")</f>
        <v>3.6965841837923508E-2</v>
      </c>
      <c r="O115" s="36"/>
      <c r="P115" s="33">
        <f>IFERROR((P113/N113-1),"na")</f>
        <v>-0.22875776606859999</v>
      </c>
      <c r="Q115" s="36"/>
      <c r="R115" s="33">
        <f>IFERROR((R113/P113-1),"na")</f>
        <v>0.87825485268946468</v>
      </c>
      <c r="S115" s="36"/>
      <c r="T115" s="33">
        <f>IF(AND(T$6&gt;='Financing Inputs'!$T$5,T$6&lt;='Financing Inputs'!$T$19),'Operating Inputs'!BU$12,0)</f>
        <v>0.1</v>
      </c>
      <c r="U115" s="36"/>
      <c r="V115" s="33">
        <f>IF(AND(V$6&gt;='Financing Inputs'!$T$5,V$6&lt;='Financing Inputs'!$T$19),'Operating Inputs'!BW$12,0)</f>
        <v>0.1</v>
      </c>
      <c r="W115" s="36"/>
      <c r="X115" s="33">
        <f>IF(AND(X$6&gt;='Financing Inputs'!$T$5,X$6&lt;='Financing Inputs'!$T$19),'Operating Inputs'!BY$12,0)</f>
        <v>0.1</v>
      </c>
      <c r="Y115" s="36"/>
      <c r="Z115" s="33">
        <f>IF(AND(Z$6&gt;='Financing Inputs'!$T$5,Z$6&lt;='Financing Inputs'!$T$19),'Operating Inputs'!CA$12,0)</f>
        <v>0.1</v>
      </c>
      <c r="AA115" s="36"/>
      <c r="AB115" s="33">
        <f>IF(AND(AB$6&gt;='Financing Inputs'!$T$5,AB$6&lt;='Financing Inputs'!$T$19),'Operating Inputs'!CC$12,0)</f>
        <v>0.08</v>
      </c>
      <c r="AC115" s="36"/>
      <c r="AD115" s="33">
        <f>IF(AND(AD$6&gt;='Financing Inputs'!$T$5,AD$6&lt;='Financing Inputs'!$T$19),'Operating Inputs'!CE$12,0)</f>
        <v>0.08</v>
      </c>
      <c r="AE115" s="36"/>
      <c r="AF115" s="33">
        <f>IF(AND(AF$6&gt;='Financing Inputs'!$T$5,AF$6&lt;='Financing Inputs'!$T$19),'Operating Inputs'!CG$12,0)</f>
        <v>-9.9999999999999985E-3</v>
      </c>
      <c r="AG115" s="36"/>
      <c r="AH115" s="33">
        <f>IF(AND(AH$6&gt;='Financing Inputs'!$T$5,AH$6&lt;='Financing Inputs'!$T$19),'Operating Inputs'!CI$12,0)</f>
        <v>-9.9999999999999985E-3</v>
      </c>
      <c r="AI115" s="36"/>
      <c r="AJ115" s="33">
        <f>IF(AND(AJ$6&gt;='Financing Inputs'!$T$5,AJ$6&lt;='Financing Inputs'!$T$19),'Operating Inputs'!CK$12,0)</f>
        <v>-9.9999999999999985E-3</v>
      </c>
      <c r="AK115" s="36"/>
      <c r="AL115" s="33">
        <f>IF(AND(AL$6&gt;='Financing Inputs'!$T$5,AL$6&lt;='Financing Inputs'!$T$19),'Operating Inputs'!CM$12,0)</f>
        <v>-9.9999999999999985E-3</v>
      </c>
      <c r="AM115" s="36"/>
      <c r="AN115" s="33">
        <f>IF(AND(AN$6&gt;='Financing Inputs'!$T$5,AN$6&lt;='Financing Inputs'!$T$19),'Operating Inputs'!CO$12,0)</f>
        <v>-9.9999999999999985E-3</v>
      </c>
      <c r="AO115" s="21"/>
    </row>
    <row r="116" spans="2:41">
      <c r="B116" s="221" t="s">
        <v>281</v>
      </c>
      <c r="H116" s="103">
        <v>0</v>
      </c>
      <c r="I116" s="103"/>
      <c r="J116" s="105"/>
      <c r="K116" s="103"/>
      <c r="L116" s="105"/>
      <c r="M116" s="103"/>
      <c r="N116" s="105"/>
      <c r="O116" s="103"/>
      <c r="P116" s="105"/>
      <c r="Q116" s="103"/>
      <c r="R116" s="103">
        <v>261.2063</v>
      </c>
      <c r="T116" s="104">
        <f>IF(AND(T$6&gt;='Financing Inputs'!$T$5,T$6&lt;='Financing Inputs'!$T$19),R116*(1+T118),0)</f>
        <v>188.06853599999999</v>
      </c>
      <c r="V116" s="104">
        <f>IF(AND(V$6&gt;='Financing Inputs'!$T$5,V$6&lt;='Financing Inputs'!$T$19),T116*(1+V118),0)</f>
        <v>144.81277272</v>
      </c>
      <c r="X116" s="104">
        <f>IF(AND(X$6&gt;='Financing Inputs'!$T$5,X$6&lt;='Financing Inputs'!$T$19),V116*(1+X118),0)</f>
        <v>147.7090281744</v>
      </c>
      <c r="Z116" s="104">
        <f>IF(AND(Z$6&gt;='Financing Inputs'!$T$5,Z$6&lt;='Financing Inputs'!$T$19),X116*(1+Z118),0)</f>
        <v>150.663208737888</v>
      </c>
      <c r="AB116" s="104">
        <f>IF(AND(AB$6&gt;='Financing Inputs'!$T$5,AB$6&lt;='Financing Inputs'!$T$19),Z116*(1+AB118),0)</f>
        <v>153.67647291264575</v>
      </c>
      <c r="AD116" s="104">
        <f>IF(AND(AD$6&gt;='Financing Inputs'!$T$5,AD$6&lt;='Financing Inputs'!$T$19),AB116*(1+AD118),0)</f>
        <v>156.75000237089867</v>
      </c>
      <c r="AF116" s="104">
        <f>IF(AND(AF$6&gt;='Financing Inputs'!$T$5,AF$6&lt;='Financing Inputs'!$T$19),AD116*(1+AF118),0)</f>
        <v>159.88500241831665</v>
      </c>
      <c r="AH116" s="104">
        <f>IF(AND(AH$6&gt;='Financing Inputs'!$T$5,AH$6&lt;='Financing Inputs'!$T$19),AF116*(1+AH118),0)</f>
        <v>163.08270246668297</v>
      </c>
      <c r="AJ116" s="104">
        <f>IF(AND(AJ$6&gt;='Financing Inputs'!$T$5,AJ$6&lt;='Financing Inputs'!$T$19),AH116*(1+AJ118),0)</f>
        <v>166.34435651601663</v>
      </c>
      <c r="AL116" s="104">
        <f>IF(AND(AL$6&gt;='Financing Inputs'!$T$5,AL$6&lt;='Financing Inputs'!$T$19),AJ116*(1+AL118),0)</f>
        <v>169.67124364633696</v>
      </c>
      <c r="AN116" s="104">
        <f>IF(AND(AN$6&gt;='Financing Inputs'!$T$5,AN$6&lt;='Financing Inputs'!$T$19),AL116*(1+AN118),0)</f>
        <v>173.06466851926371</v>
      </c>
    </row>
    <row r="117" spans="2:41" s="32" customFormat="1">
      <c r="B117" s="40" t="s">
        <v>37</v>
      </c>
      <c r="H117" s="35" t="s">
        <v>0</v>
      </c>
      <c r="I117" s="36"/>
      <c r="J117" s="33" t="str">
        <f>IFERROR((J116/H116-1),"na")</f>
        <v>na</v>
      </c>
      <c r="K117" s="36"/>
      <c r="L117" s="33" t="str">
        <f>IFERROR((L116/J116-1),"na")</f>
        <v>na</v>
      </c>
      <c r="M117" s="36"/>
      <c r="N117" s="33" t="str">
        <f>IFERROR((N116/L116-1),"na")</f>
        <v>na</v>
      </c>
      <c r="O117" s="34"/>
      <c r="P117" s="33" t="str">
        <f>IFERROR((P116/N116-1),"na")</f>
        <v>na</v>
      </c>
      <c r="Q117" s="34"/>
      <c r="R117" s="33" t="str">
        <f>IFERROR((R116/P116-1),"na")</f>
        <v>na</v>
      </c>
      <c r="S117" s="36"/>
      <c r="T117" s="33">
        <f>IFERROR((T116/R116-1),"na")</f>
        <v>-0.28000000000000003</v>
      </c>
      <c r="U117" s="36"/>
      <c r="V117" s="33">
        <f>IFERROR((V116/T116-1),"na")</f>
        <v>-0.22999999999999998</v>
      </c>
      <c r="W117" s="36"/>
      <c r="X117" s="33">
        <f>IFERROR((X116/V116-1),"na")</f>
        <v>2.0000000000000018E-2</v>
      </c>
      <c r="Y117" s="36"/>
      <c r="Z117" s="33">
        <f>IFERROR((Z116/X116-1),"na")</f>
        <v>2.0000000000000018E-2</v>
      </c>
      <c r="AA117" s="36"/>
      <c r="AB117" s="33">
        <f>IFERROR((AB116/Z116-1),"na")</f>
        <v>2.0000000000000018E-2</v>
      </c>
      <c r="AC117" s="36"/>
      <c r="AD117" s="33">
        <f>IFERROR((AD116/AB116-1),"na")</f>
        <v>2.0000000000000018E-2</v>
      </c>
      <c r="AE117" s="36"/>
      <c r="AF117" s="33">
        <f>IFERROR((AF116/AD116-1),"na")</f>
        <v>2.0000000000000018E-2</v>
      </c>
      <c r="AG117" s="36"/>
      <c r="AH117" s="33">
        <f>IFERROR((AH116/AF116-1),"na")</f>
        <v>2.0000000000000018E-2</v>
      </c>
      <c r="AI117" s="36"/>
      <c r="AJ117" s="33">
        <f>IFERROR((AJ116/AH116-1),"na")</f>
        <v>2.0000000000000018E-2</v>
      </c>
      <c r="AK117" s="36"/>
      <c r="AL117" s="33">
        <f>IFERROR((AL116/AJ116-1),"na")</f>
        <v>2.0000000000000018E-2</v>
      </c>
      <c r="AM117" s="36"/>
      <c r="AN117" s="33">
        <f>IFERROR((AN116/AL116-1),"na")</f>
        <v>2.0000000000000018E-2</v>
      </c>
      <c r="AO117" s="21"/>
    </row>
    <row r="118" spans="2:41" s="32" customFormat="1">
      <c r="B118" s="40" t="s">
        <v>1</v>
      </c>
      <c r="H118" s="35" t="s">
        <v>0</v>
      </c>
      <c r="I118" s="36"/>
      <c r="J118" s="33" t="str">
        <f>IFERROR((J116/H116-1),"na")</f>
        <v>na</v>
      </c>
      <c r="K118" s="36"/>
      <c r="L118" s="33" t="str">
        <f>IFERROR((L116/J116-1),"na")</f>
        <v>na</v>
      </c>
      <c r="M118" s="36"/>
      <c r="N118" s="33" t="str">
        <f>IFERROR((N116/L116-1),"na")</f>
        <v>na</v>
      </c>
      <c r="O118" s="36"/>
      <c r="P118" s="33" t="str">
        <f>IFERROR((P116/N116-1),"na")</f>
        <v>na</v>
      </c>
      <c r="Q118" s="36"/>
      <c r="R118" s="33" t="str">
        <f>IFERROR((R116/P116-1),"na")</f>
        <v>na</v>
      </c>
      <c r="S118" s="36"/>
      <c r="T118" s="33">
        <f>IF(AND(T$6&gt;='Financing Inputs'!$T$5,T$6&lt;='Financing Inputs'!$T$19),'Operating Inputs'!BU$13,0)</f>
        <v>-0.27999999999999997</v>
      </c>
      <c r="U118" s="36"/>
      <c r="V118" s="33">
        <f>IF(AND(V$6&gt;='Financing Inputs'!$T$5,V$6&lt;='Financing Inputs'!$T$19),'Operating Inputs'!BW$13,0)</f>
        <v>-0.23</v>
      </c>
      <c r="W118" s="36"/>
      <c r="X118" s="33">
        <f>IF(AND(X$6&gt;='Financing Inputs'!$T$5,X$6&lt;='Financing Inputs'!$T$19),'Operating Inputs'!BY$13,0)</f>
        <v>0.02</v>
      </c>
      <c r="Y118" s="36"/>
      <c r="Z118" s="33">
        <f>IF(AND(Z$6&gt;='Financing Inputs'!$T$5,Z$6&lt;='Financing Inputs'!$T$19),'Operating Inputs'!CA$13,0)</f>
        <v>0.02</v>
      </c>
      <c r="AA118" s="36"/>
      <c r="AB118" s="33">
        <f>IF(AND(AB$6&gt;='Financing Inputs'!$T$5,AB$6&lt;='Financing Inputs'!$T$19),'Operating Inputs'!CC$13,0)</f>
        <v>0.02</v>
      </c>
      <c r="AC118" s="36"/>
      <c r="AD118" s="33">
        <f>IF(AND(AD$6&gt;='Financing Inputs'!$T$5,AD$6&lt;='Financing Inputs'!$T$19),'Operating Inputs'!CE$13,0)</f>
        <v>0.02</v>
      </c>
      <c r="AE118" s="36"/>
      <c r="AF118" s="33">
        <f>IF(AND(AF$6&gt;='Financing Inputs'!$T$5,AF$6&lt;='Financing Inputs'!$T$19),'Operating Inputs'!CG$13,0)</f>
        <v>0.02</v>
      </c>
      <c r="AG118" s="36"/>
      <c r="AH118" s="33">
        <f>IF(AND(AH$6&gt;='Financing Inputs'!$T$5,AH$6&lt;='Financing Inputs'!$T$19),'Operating Inputs'!CI$13,0)</f>
        <v>0.02</v>
      </c>
      <c r="AI118" s="36"/>
      <c r="AJ118" s="33">
        <f>IF(AND(AJ$6&gt;='Financing Inputs'!$T$5,AJ$6&lt;='Financing Inputs'!$T$19),'Operating Inputs'!CK$13,0)</f>
        <v>0.02</v>
      </c>
      <c r="AK118" s="36"/>
      <c r="AL118" s="33">
        <f>IF(AND(AL$6&gt;='Financing Inputs'!$T$5,AL$6&lt;='Financing Inputs'!$T$19),'Operating Inputs'!CM$13,0)</f>
        <v>0.02</v>
      </c>
      <c r="AM118" s="36"/>
      <c r="AN118" s="33">
        <f>IF(AND(AN$6&gt;='Financing Inputs'!$T$5,AN$6&lt;='Financing Inputs'!$T$19),'Operating Inputs'!CO$13,0)</f>
        <v>0.02</v>
      </c>
      <c r="AO118" s="21"/>
    </row>
    <row r="119" spans="2:41">
      <c r="B119" s="221" t="s">
        <v>282</v>
      </c>
      <c r="H119" s="103">
        <v>61.134399999999999</v>
      </c>
      <c r="I119" s="103"/>
      <c r="J119" s="103">
        <v>61.18</v>
      </c>
      <c r="K119" s="103"/>
      <c r="L119" s="103">
        <v>58.149499999999996</v>
      </c>
      <c r="M119" s="103"/>
      <c r="N119" s="103">
        <v>55.387849999999993</v>
      </c>
      <c r="O119" s="103"/>
      <c r="P119" s="103">
        <v>65.880600000000001</v>
      </c>
      <c r="Q119" s="103"/>
      <c r="R119" s="103">
        <v>83.490750000000006</v>
      </c>
      <c r="S119" s="103"/>
      <c r="T119" s="104">
        <f>IF(AND(T$6&gt;='Financing Inputs'!$T$5,T$6&lt;='Financing Inputs'!$T$19),R119*(1+T121),0)</f>
        <v>85.160565000000005</v>
      </c>
      <c r="U119" s="103"/>
      <c r="V119" s="104">
        <f>IF(AND(V$6&gt;='Financing Inputs'!$T$5,V$6&lt;='Financing Inputs'!$T$19),T119*(1+V121),0)</f>
        <v>85.160565000000005</v>
      </c>
      <c r="W119" s="103"/>
      <c r="X119" s="104">
        <f>IF(AND(X$6&gt;='Financing Inputs'!$T$5,X$6&lt;='Financing Inputs'!$T$19),V119*(1+X121),0)</f>
        <v>85.160565000000005</v>
      </c>
      <c r="Y119" s="103"/>
      <c r="Z119" s="104">
        <f>IF(AND(Z$6&gt;='Financing Inputs'!$T$5,Z$6&lt;='Financing Inputs'!$T$19),X119*(1+Z121),0)</f>
        <v>85.160565000000005</v>
      </c>
      <c r="AA119" s="103"/>
      <c r="AB119" s="104">
        <f>IF(AND(AB$6&gt;='Financing Inputs'!$T$5,AB$6&lt;='Financing Inputs'!$T$19),Z119*(1+AB121),0)</f>
        <v>85.160565000000005</v>
      </c>
      <c r="AC119" s="103"/>
      <c r="AD119" s="104">
        <f>IF(AND(AD$6&gt;='Financing Inputs'!$T$5,AD$6&lt;='Financing Inputs'!$T$19),AB119*(1+AD121),0)</f>
        <v>85.160565000000005</v>
      </c>
      <c r="AE119" s="103"/>
      <c r="AF119" s="104">
        <f>IF(AND(AF$6&gt;='Financing Inputs'!$T$5,AF$6&lt;='Financing Inputs'!$T$19),AD119*(1+AF121),0)</f>
        <v>85.160565000000005</v>
      </c>
      <c r="AG119" s="103"/>
      <c r="AH119" s="104">
        <f>IF(AND(AH$6&gt;='Financing Inputs'!$T$5,AH$6&lt;='Financing Inputs'!$T$19),AF119*(1+AH121),0)</f>
        <v>85.160565000000005</v>
      </c>
      <c r="AI119" s="103"/>
      <c r="AJ119" s="104">
        <f>IF(AND(AJ$6&gt;='Financing Inputs'!$T$5,AJ$6&lt;='Financing Inputs'!$T$19),AH119*(1+AJ121),0)</f>
        <v>85.160565000000005</v>
      </c>
      <c r="AK119" s="103"/>
      <c r="AL119" s="104">
        <f>IF(AND(AL$6&gt;='Financing Inputs'!$T$5,AL$6&lt;='Financing Inputs'!$T$19),AJ119*(1+AL121),0)</f>
        <v>85.160565000000005</v>
      </c>
      <c r="AM119" s="103"/>
      <c r="AN119" s="104">
        <f>IF(AND(AN$6&gt;='Financing Inputs'!$T$5,AN$6&lt;='Financing Inputs'!$T$19),AL119*(1+AN121),0)</f>
        <v>85.160565000000005</v>
      </c>
    </row>
    <row r="120" spans="2:41" s="32" customFormat="1">
      <c r="B120" s="40" t="s">
        <v>37</v>
      </c>
      <c r="H120" s="35" t="s">
        <v>0</v>
      </c>
      <c r="I120" s="36"/>
      <c r="J120" s="33">
        <f>IFERROR((J119/H119-1),"na")</f>
        <v>7.4589756340137647E-4</v>
      </c>
      <c r="K120" s="36"/>
      <c r="L120" s="33">
        <f>IFERROR((L119/J119-1),"na")</f>
        <v>-4.9534161490683237E-2</v>
      </c>
      <c r="M120" s="36"/>
      <c r="N120" s="33">
        <f>IFERROR((N119/L119-1),"na")</f>
        <v>-4.7492239830093208E-2</v>
      </c>
      <c r="O120" s="34"/>
      <c r="P120" s="33">
        <f>IFERROR((P119/N119-1),"na")</f>
        <v>0.18944136665351707</v>
      </c>
      <c r="Q120" s="34"/>
      <c r="R120" s="33">
        <f>IFERROR((R119/P119-1),"na")</f>
        <v>0.26730403183941864</v>
      </c>
      <c r="S120" s="36"/>
      <c r="T120" s="33">
        <f>IFERROR((T119/R119-1),"na")</f>
        <v>2.0000000000000018E-2</v>
      </c>
      <c r="U120" s="36"/>
      <c r="V120" s="33">
        <f>IFERROR((V119/T119-1),"na")</f>
        <v>0</v>
      </c>
      <c r="W120" s="36"/>
      <c r="X120" s="33">
        <f>IFERROR((X119/V119-1),"na")</f>
        <v>0</v>
      </c>
      <c r="Y120" s="36"/>
      <c r="Z120" s="33">
        <f>IFERROR((Z119/X119-1),"na")</f>
        <v>0</v>
      </c>
      <c r="AA120" s="36"/>
      <c r="AB120" s="33">
        <f>IFERROR((AB119/Z119-1),"na")</f>
        <v>0</v>
      </c>
      <c r="AC120" s="36"/>
      <c r="AD120" s="33">
        <f>IFERROR((AD119/AB119-1),"na")</f>
        <v>0</v>
      </c>
      <c r="AE120" s="36"/>
      <c r="AF120" s="33">
        <f>IFERROR((AF119/AD119-1),"na")</f>
        <v>0</v>
      </c>
      <c r="AG120" s="36"/>
      <c r="AH120" s="33">
        <f>IFERROR((AH119/AF119-1),"na")</f>
        <v>0</v>
      </c>
      <c r="AI120" s="36"/>
      <c r="AJ120" s="33">
        <f>IFERROR((AJ119/AH119-1),"na")</f>
        <v>0</v>
      </c>
      <c r="AK120" s="36"/>
      <c r="AL120" s="33">
        <f>IFERROR((AL119/AJ119-1),"na")</f>
        <v>0</v>
      </c>
      <c r="AM120" s="36"/>
      <c r="AN120" s="33">
        <f>IFERROR((AN119/AL119-1),"na")</f>
        <v>0</v>
      </c>
      <c r="AO120" s="21"/>
    </row>
    <row r="121" spans="2:41" s="32" customFormat="1">
      <c r="B121" s="40" t="s">
        <v>1</v>
      </c>
      <c r="H121" s="35" t="s">
        <v>0</v>
      </c>
      <c r="I121" s="36"/>
      <c r="J121" s="33">
        <f>IFERROR((J119/H119-1),"na")</f>
        <v>7.4589756340137647E-4</v>
      </c>
      <c r="K121" s="36"/>
      <c r="L121" s="33">
        <f>IFERROR((L119/J119-1),"na")</f>
        <v>-4.9534161490683237E-2</v>
      </c>
      <c r="M121" s="36"/>
      <c r="N121" s="33">
        <f>IFERROR((N119/L119-1),"na")</f>
        <v>-4.7492239830093208E-2</v>
      </c>
      <c r="O121" s="36"/>
      <c r="P121" s="33">
        <f>IFERROR((P119/N119-1),"na")</f>
        <v>0.18944136665351707</v>
      </c>
      <c r="Q121" s="36"/>
      <c r="R121" s="33">
        <f>IFERROR((R119/P119-1),"na")</f>
        <v>0.26730403183941864</v>
      </c>
      <c r="S121" s="36"/>
      <c r="T121" s="33">
        <f>IF(AND(T$6&gt;='Financing Inputs'!$T$5,T$6&lt;='Financing Inputs'!$T$19),'Operating Inputs'!BU$14,0)</f>
        <v>0.02</v>
      </c>
      <c r="U121" s="36"/>
      <c r="V121" s="33">
        <f>IF(AND(V$6&gt;='Financing Inputs'!$T$5,V$6&lt;='Financing Inputs'!$T$19),'Operating Inputs'!BW$14,0)</f>
        <v>0</v>
      </c>
      <c r="W121" s="36"/>
      <c r="X121" s="33">
        <f>IF(AND(X$6&gt;='Financing Inputs'!$T$5,X$6&lt;='Financing Inputs'!$T$19),'Operating Inputs'!BY$14,0)</f>
        <v>0</v>
      </c>
      <c r="Y121" s="36"/>
      <c r="Z121" s="33">
        <f>IF(AND(Z$6&gt;='Financing Inputs'!$T$5,Z$6&lt;='Financing Inputs'!$T$19),'Operating Inputs'!CA$14,0)</f>
        <v>0</v>
      </c>
      <c r="AA121" s="36"/>
      <c r="AB121" s="33">
        <f>IF(AND(AB$6&gt;='Financing Inputs'!$T$5,AB$6&lt;='Financing Inputs'!$T$19),'Operating Inputs'!CC$14,0)</f>
        <v>0</v>
      </c>
      <c r="AC121" s="36"/>
      <c r="AD121" s="33">
        <f>IF(AND(AD$6&gt;='Financing Inputs'!$T$5,AD$6&lt;='Financing Inputs'!$T$19),'Operating Inputs'!CE$14,0)</f>
        <v>0</v>
      </c>
      <c r="AE121" s="36"/>
      <c r="AF121" s="33">
        <f>IF(AND(AF$6&gt;='Financing Inputs'!$T$5,AF$6&lt;='Financing Inputs'!$T$19),'Operating Inputs'!CG$14,0)</f>
        <v>0</v>
      </c>
      <c r="AG121" s="36"/>
      <c r="AH121" s="33">
        <f>IF(AND(AH$6&gt;='Financing Inputs'!$T$5,AH$6&lt;='Financing Inputs'!$T$19),'Operating Inputs'!CI$14,0)</f>
        <v>0</v>
      </c>
      <c r="AI121" s="36"/>
      <c r="AJ121" s="33">
        <f>IF(AND(AJ$6&gt;='Financing Inputs'!$T$5,AJ$6&lt;='Financing Inputs'!$T$19),'Operating Inputs'!CK$14,0)</f>
        <v>0</v>
      </c>
      <c r="AK121" s="36"/>
      <c r="AL121" s="33">
        <f>IF(AND(AL$6&gt;='Financing Inputs'!$T$5,AL$6&lt;='Financing Inputs'!$T$19),'Operating Inputs'!CM$14,0)</f>
        <v>0</v>
      </c>
      <c r="AM121" s="36"/>
      <c r="AN121" s="33">
        <f>IF(AND(AN$6&gt;='Financing Inputs'!$T$5,AN$6&lt;='Financing Inputs'!$T$19),'Operating Inputs'!CO$14,0)</f>
        <v>0</v>
      </c>
      <c r="AO121" s="21"/>
    </row>
    <row r="122" spans="2:41">
      <c r="B122" s="221" t="s">
        <v>283</v>
      </c>
      <c r="H122" s="103">
        <v>-39.961749999999995</v>
      </c>
      <c r="I122" s="103"/>
      <c r="J122" s="103">
        <v>-41.932050000000004</v>
      </c>
      <c r="K122" s="103"/>
      <c r="L122" s="103">
        <v>-70.559349999999995</v>
      </c>
      <c r="M122" s="103"/>
      <c r="N122" s="103">
        <v>-39.914249999999996</v>
      </c>
      <c r="O122" s="103"/>
      <c r="P122" s="103">
        <v>-46.055049999999994</v>
      </c>
      <c r="Q122" s="103"/>
      <c r="R122" s="103">
        <v>-60.559649999999998</v>
      </c>
      <c r="S122" s="103"/>
      <c r="T122" s="104">
        <f>IF(AND(T$6&gt;='Financing Inputs'!$T$5,T$6&lt;='Financing Inputs'!$T$19),R122*(1+'Operating Inputs'!BU$15),0)</f>
        <v>-62.982036000000001</v>
      </c>
      <c r="U122" s="103"/>
      <c r="V122" s="104">
        <f>IF(AND(V$6&gt;='Financing Inputs'!$T$5,V$6&lt;='Financing Inputs'!$T$19),T122*(1+'Operating Inputs'!BW$15),0)</f>
        <v>-65.501317440000008</v>
      </c>
      <c r="W122" s="103"/>
      <c r="X122" s="104">
        <f>IF(AND(X$6&gt;='Financing Inputs'!$T$5,X$6&lt;='Financing Inputs'!$T$19),V122*(1+'Operating Inputs'!BY$15),0)</f>
        <v>-68.12137013760001</v>
      </c>
      <c r="Y122" s="103"/>
      <c r="Z122" s="104">
        <f>IF(AND(Z$6&gt;='Financing Inputs'!$T$5,Z$6&lt;='Financing Inputs'!$T$19),X122*(1+'Operating Inputs'!CA$15),0)</f>
        <v>-70.846224943104019</v>
      </c>
      <c r="AA122" s="103"/>
      <c r="AB122" s="104">
        <f>IF(AND(AB$6&gt;='Financing Inputs'!$T$5,AB$6&lt;='Financing Inputs'!$T$19),Z122*(1+'Operating Inputs'!CC$15),0)</f>
        <v>-73.68007394082818</v>
      </c>
      <c r="AC122" s="103"/>
      <c r="AD122" s="104">
        <f>IF(AND(AD$6&gt;='Financing Inputs'!$T$5,AD$6&lt;='Financing Inputs'!$T$19),AB122*(1+'Operating Inputs'!CE$15),0)</f>
        <v>-76.627276898461304</v>
      </c>
      <c r="AE122" s="103"/>
      <c r="AF122" s="104">
        <f>IF(AND(AF$6&gt;='Financing Inputs'!$T$5,AF$6&lt;='Financing Inputs'!$T$19),AD122*(1+'Operating Inputs'!CG$15),0)</f>
        <v>-79.692367974399758</v>
      </c>
      <c r="AG122" s="103"/>
      <c r="AH122" s="104">
        <f>IF(AND(AH$6&gt;='Financing Inputs'!$T$5,AH$6&lt;='Financing Inputs'!$T$19),AF122*(1+'Operating Inputs'!CI$15),0)</f>
        <v>-82.880062693375748</v>
      </c>
      <c r="AI122" s="103"/>
      <c r="AJ122" s="104">
        <f>IF(AND(AJ$6&gt;='Financing Inputs'!$T$5,AJ$6&lt;='Financing Inputs'!$T$19),AH122*(1+'Operating Inputs'!CK$15),0)</f>
        <v>-86.195265201110786</v>
      </c>
      <c r="AK122" s="103"/>
      <c r="AL122" s="104">
        <f>IF(AND(AL$6&gt;='Financing Inputs'!$T$5,AL$6&lt;='Financing Inputs'!$T$19),AJ122*(1+'Operating Inputs'!CM$15),0)</f>
        <v>-89.643075809155221</v>
      </c>
      <c r="AM122" s="103"/>
      <c r="AN122" s="104">
        <f>IF(AND(AN$6&gt;='Financing Inputs'!$T$5,AN$6&lt;='Financing Inputs'!$T$19),AL122*(1+'Operating Inputs'!CO$15),0)</f>
        <v>-93.228798841521439</v>
      </c>
    </row>
    <row r="123" spans="2:41">
      <c r="B123" s="106" t="s">
        <v>21</v>
      </c>
      <c r="C123" s="107"/>
      <c r="D123" s="107"/>
      <c r="E123" s="107"/>
      <c r="F123" s="107"/>
      <c r="H123" s="108">
        <f>+H110+H113+H116+H119+H122</f>
        <v>552.31385</v>
      </c>
      <c r="I123" s="103"/>
      <c r="J123" s="108">
        <f>+J110+J113+J116+J119+J122</f>
        <v>702.82709999999986</v>
      </c>
      <c r="K123" s="103"/>
      <c r="L123" s="108">
        <f>+L110+L113+L116+L119+L122</f>
        <v>714.31354999999985</v>
      </c>
      <c r="M123" s="103"/>
      <c r="N123" s="108">
        <f>+N110+N113+N116+N119+N122</f>
        <v>696.87724999999989</v>
      </c>
      <c r="O123" s="103"/>
      <c r="P123" s="108">
        <f>+P110+P113+P116+P119+P122</f>
        <v>640.99159999999983</v>
      </c>
      <c r="Q123" s="103"/>
      <c r="R123" s="108">
        <f>+R110+R113+R116+R119+R122</f>
        <v>1225.2416000000001</v>
      </c>
      <c r="T123" s="108">
        <f>+T110+T113+T116+T119+T122</f>
        <v>1241.9810702499997</v>
      </c>
      <c r="V123" s="108">
        <f>+V110+V113+V116+V119+V122</f>
        <v>1284.13433345</v>
      </c>
      <c r="X123" s="108">
        <f>+X110+X113+X116+X119+X122</f>
        <v>1371.6797175036997</v>
      </c>
      <c r="Z123" s="108">
        <f>+Z110+Z113+Z116+Z119+Z122</f>
        <v>1457.3677346796981</v>
      </c>
      <c r="AB123" s="108">
        <f>+AB110+AB113+AB116+AB119+AB122</f>
        <v>1532.9269705947274</v>
      </c>
      <c r="AD123" s="108">
        <f>+AD110+AD113+AD116+AD119+AD122</f>
        <v>1603.2589458392638</v>
      </c>
      <c r="AF123" s="108">
        <f>+AF110+AF113+AF116+AF119+AF122</f>
        <v>1568.5568033283985</v>
      </c>
      <c r="AH123" s="108">
        <f>+AH110+AH113+AH116+AH119+AH122</f>
        <v>1534.7542465381277</v>
      </c>
      <c r="AJ123" s="108">
        <f>+AJ110+AJ113+AJ116+AJ119+AJ122</f>
        <v>1501.8196773636864</v>
      </c>
      <c r="AL123" s="108">
        <f>+AL110+AL113+AL116+AL119+AL122</f>
        <v>1469.7221566860344</v>
      </c>
      <c r="AN123" s="108">
        <f>+AN110+AN113+AN116+AN119+AN122</f>
        <v>1438.4313722083496</v>
      </c>
    </row>
    <row r="124" spans="2:41" s="32" customFormat="1">
      <c r="B124" s="40" t="s">
        <v>37</v>
      </c>
      <c r="H124" s="35" t="s">
        <v>0</v>
      </c>
      <c r="I124" s="36"/>
      <c r="J124" s="33">
        <f>IFERROR((J123/H123-1),"na")</f>
        <v>0.27251398819710904</v>
      </c>
      <c r="K124" s="36"/>
      <c r="L124" s="33">
        <f>IFERROR((L123/J123-1),"na")</f>
        <v>1.6343208735121406E-2</v>
      </c>
      <c r="M124" s="36"/>
      <c r="N124" s="33">
        <f>IFERROR((N123/L123-1),"na")</f>
        <v>-2.4409868747414909E-2</v>
      </c>
      <c r="O124" s="34"/>
      <c r="P124" s="33">
        <f>IFERROR((P123/N123-1),"na")</f>
        <v>-8.019439578491061E-2</v>
      </c>
      <c r="Q124" s="34"/>
      <c r="R124" s="33">
        <f>IFERROR((R123/P123-1),"na")</f>
        <v>0.91147840314912143</v>
      </c>
      <c r="S124" s="36"/>
      <c r="T124" s="33">
        <f>IFERROR((T123/R123-1),"na")</f>
        <v>1.3662179157155396E-2</v>
      </c>
      <c r="U124" s="36"/>
      <c r="V124" s="33">
        <f>IFERROR((V123/T123-1),"na")</f>
        <v>3.3940342739294138E-2</v>
      </c>
      <c r="W124" s="36"/>
      <c r="X124" s="33">
        <f>IFERROR((X123/V123-1),"na")</f>
        <v>6.8174630779084699E-2</v>
      </c>
      <c r="Y124" s="36"/>
      <c r="Z124" s="33">
        <f>IFERROR((Z123/X123-1),"na")</f>
        <v>6.2469406000943639E-2</v>
      </c>
      <c r="AA124" s="36"/>
      <c r="AB124" s="33">
        <f>IFERROR((AB123/Z123-1),"na")</f>
        <v>5.1846376255637372E-2</v>
      </c>
      <c r="AC124" s="36"/>
      <c r="AD124" s="33">
        <f>IFERROR((AD123/AB123-1),"na")</f>
        <v>4.5880838809463809E-2</v>
      </c>
      <c r="AE124" s="36"/>
      <c r="AF124" s="33">
        <f>IFERROR((AF123/AD123-1),"na")</f>
        <v>-2.1644752147445323E-2</v>
      </c>
      <c r="AG124" s="36"/>
      <c r="AH124" s="33">
        <f>IFERROR((AH123/AF123-1),"na")</f>
        <v>-2.1550100524599047E-2</v>
      </c>
      <c r="AI124" s="36"/>
      <c r="AJ124" s="33">
        <f>IFERROR((AJ123/AH123-1),"na")</f>
        <v>-2.1459181004861327E-2</v>
      </c>
      <c r="AK124" s="36"/>
      <c r="AL124" s="33">
        <f>IFERROR((AL123/AJ123-1),"na")</f>
        <v>-2.1372419846033996E-2</v>
      </c>
      <c r="AM124" s="36"/>
      <c r="AN124" s="33">
        <f>IFERROR((AN123/AL123-1),"na")</f>
        <v>-2.1290271998239518E-2</v>
      </c>
      <c r="AO124" s="21"/>
    </row>
    <row r="125" spans="2:41" s="32" customFormat="1">
      <c r="B125" s="40" t="s">
        <v>1</v>
      </c>
      <c r="H125" s="35" t="s">
        <v>0</v>
      </c>
      <c r="I125" s="36"/>
      <c r="J125" s="33">
        <f>IFERROR((J123/H123-1),"na")</f>
        <v>0.27251398819710904</v>
      </c>
      <c r="K125" s="36"/>
      <c r="L125" s="33">
        <f>IFERROR((L123/J123-1),"na")</f>
        <v>1.6343208735121406E-2</v>
      </c>
      <c r="M125" s="36"/>
      <c r="N125" s="33">
        <f>IFERROR((N123/L123-1),"na")</f>
        <v>-2.4409868747414909E-2</v>
      </c>
      <c r="O125" s="36"/>
      <c r="P125" s="33">
        <f>IFERROR((P123/N123-1),"na")</f>
        <v>-8.019439578491061E-2</v>
      </c>
      <c r="Q125" s="36"/>
      <c r="R125" s="33">
        <f>IFERROR((R123/P123-1),"na")</f>
        <v>0.91147840314912143</v>
      </c>
      <c r="S125" s="36"/>
      <c r="T125" s="33">
        <f>IF(AND(T$6&gt;='Financing Inputs'!$T$5,T$6&lt;='Financing Inputs'!$T$19),'Operating Inputs'!BU$11,0)</f>
        <v>9.5000000000000015E-2</v>
      </c>
      <c r="U125" s="36"/>
      <c r="V125" s="33">
        <f>IF(AND(V$6&gt;='Financing Inputs'!$T$5,V$6&lt;='Financing Inputs'!$T$19),'Operating Inputs'!BW$11,0)</f>
        <v>0.08</v>
      </c>
      <c r="W125" s="36"/>
      <c r="X125" s="33">
        <f>IF(AND(X$6&gt;='Financing Inputs'!$T$5,X$6&lt;='Financing Inputs'!$T$19),'Operating Inputs'!BY$11,0)</f>
        <v>7.0000000000000007E-2</v>
      </c>
      <c r="Y125" s="36"/>
      <c r="Z125" s="33">
        <f>IF(AND(Z$6&gt;='Financing Inputs'!$T$5,Z$6&lt;='Financing Inputs'!$T$19),'Operating Inputs'!CA$11,0)</f>
        <v>0.06</v>
      </c>
      <c r="AA125" s="36"/>
      <c r="AB125" s="33">
        <f>IF(AND(AB$6&gt;='Financing Inputs'!$T$5,AB$6&lt;='Financing Inputs'!$T$19),'Operating Inputs'!CC$11,0)</f>
        <v>0.05</v>
      </c>
      <c r="AC125" s="36"/>
      <c r="AD125" s="33">
        <f>IF(AND(AD$6&gt;='Financing Inputs'!$T$5,AD$6&lt;='Financing Inputs'!$T$19),'Operating Inputs'!CE$11,0)</f>
        <v>0.04</v>
      </c>
      <c r="AE125" s="36"/>
      <c r="AF125" s="33">
        <f>IF(AND(AF$6&gt;='Financing Inputs'!$T$5,AF$6&lt;='Financing Inputs'!$T$19),'Operating Inputs'!CG$11,0)</f>
        <v>-3.0000000000000002E-2</v>
      </c>
      <c r="AG125" s="36"/>
      <c r="AH125" s="33">
        <f>IF(AND(AH$6&gt;='Financing Inputs'!$T$5,AH$6&lt;='Financing Inputs'!$T$19),'Operating Inputs'!CI$11,0)</f>
        <v>-3.0000000000000002E-2</v>
      </c>
      <c r="AI125" s="36"/>
      <c r="AJ125" s="33">
        <f>IF(AND(AJ$6&gt;='Financing Inputs'!$T$5,AJ$6&lt;='Financing Inputs'!$T$19),'Operating Inputs'!CK$11,0)</f>
        <v>-3.0000000000000002E-2</v>
      </c>
      <c r="AK125" s="36"/>
      <c r="AL125" s="33">
        <f>IF(AND(AL$6&gt;='Financing Inputs'!$T$5,AL$6&lt;='Financing Inputs'!$T$19),'Operating Inputs'!CM$11,0)</f>
        <v>-3.0000000000000002E-2</v>
      </c>
      <c r="AM125" s="36"/>
      <c r="AN125" s="33">
        <f>IF(AND(AN$6&gt;='Financing Inputs'!$T$5,AN$6&lt;='Financing Inputs'!$T$19),'Operating Inputs'!CO$11,0)</f>
        <v>-3.0000000000000002E-2</v>
      </c>
      <c r="AO125" s="21"/>
    </row>
    <row r="126" spans="2:41"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</row>
    <row r="127" spans="2:41" s="20" customFormat="1" ht="21">
      <c r="B127" s="208" t="s">
        <v>29</v>
      </c>
      <c r="C127" s="209"/>
      <c r="D127" s="209"/>
      <c r="E127" s="209"/>
      <c r="F127" s="209"/>
      <c r="G127" s="209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/>
      <c r="AE127" s="210"/>
      <c r="AF127" s="210"/>
      <c r="AG127" s="210"/>
      <c r="AH127" s="210"/>
      <c r="AI127" s="210"/>
      <c r="AJ127" s="210"/>
      <c r="AK127" s="210"/>
      <c r="AL127" s="210"/>
      <c r="AM127" s="210"/>
      <c r="AN127" s="210"/>
      <c r="AO127" s="21"/>
    </row>
    <row r="128" spans="2:41" s="20" customFormat="1" ht="5.0999999999999996" customHeight="1"/>
    <row r="129" spans="2:40" s="20" customFormat="1">
      <c r="B129" s="21" t="s">
        <v>41</v>
      </c>
      <c r="C129" s="21"/>
      <c r="D129" s="21"/>
      <c r="E129" s="21"/>
      <c r="F129" s="21"/>
      <c r="G129" s="21"/>
      <c r="H129" s="30">
        <f>H162</f>
        <v>249.71414999999996</v>
      </c>
      <c r="J129" s="30">
        <f>J162</f>
        <v>261.08659999999992</v>
      </c>
      <c r="L129" s="30">
        <f>L162</f>
        <v>246.29225</v>
      </c>
      <c r="N129" s="30">
        <f>N162</f>
        <v>274.17950000000002</v>
      </c>
      <c r="P129" s="30">
        <f>P162</f>
        <v>308.04129999999992</v>
      </c>
      <c r="R129" s="30">
        <f>R162</f>
        <v>313.48289999999992</v>
      </c>
      <c r="T129" s="74"/>
      <c r="V129" s="74"/>
      <c r="X129" s="74"/>
      <c r="Z129" s="74"/>
      <c r="AB129" s="74"/>
      <c r="AD129" s="74"/>
      <c r="AF129" s="74"/>
      <c r="AH129" s="74"/>
      <c r="AJ129" s="74"/>
      <c r="AL129" s="74"/>
      <c r="AN129" s="74"/>
    </row>
    <row r="130" spans="2:40" s="20" customFormat="1">
      <c r="B130" s="21" t="s">
        <v>69</v>
      </c>
      <c r="C130" s="21"/>
      <c r="D130" s="21"/>
      <c r="E130" s="21"/>
      <c r="F130" s="21"/>
      <c r="G130" s="21"/>
      <c r="H130" s="30">
        <f t="shared" ref="H130" si="30">H164</f>
        <v>136.11884999999998</v>
      </c>
      <c r="J130" s="30">
        <f t="shared" ref="J130" si="31">J164</f>
        <v>113.88124999999999</v>
      </c>
      <c r="L130" s="30">
        <f t="shared" ref="L130" si="32">L164</f>
        <v>119.18414999999999</v>
      </c>
      <c r="N130" s="30">
        <f t="shared" ref="N130" si="33">N164</f>
        <v>125.62134999999999</v>
      </c>
      <c r="P130" s="30">
        <f t="shared" ref="P130:P131" si="34">P164</f>
        <v>136.93015</v>
      </c>
      <c r="R130" s="30">
        <f t="shared" ref="R130:R131" si="35">R164</f>
        <v>266.40564999999998</v>
      </c>
      <c r="T130" s="74"/>
      <c r="V130" s="74"/>
      <c r="X130" s="74"/>
      <c r="Z130" s="74"/>
      <c r="AB130" s="74"/>
      <c r="AD130" s="74"/>
      <c r="AF130" s="74"/>
      <c r="AH130" s="74"/>
      <c r="AJ130" s="74"/>
      <c r="AL130" s="74"/>
      <c r="AN130" s="74"/>
    </row>
    <row r="131" spans="2:40" s="20" customFormat="1">
      <c r="B131" s="21" t="s">
        <v>33</v>
      </c>
      <c r="C131" s="21"/>
      <c r="D131" s="21"/>
      <c r="E131" s="21"/>
      <c r="F131" s="21"/>
      <c r="G131" s="21"/>
      <c r="H131" s="30">
        <f t="shared" ref="H131" si="36">H165</f>
        <v>39.679600000000001</v>
      </c>
      <c r="J131" s="30">
        <f t="shared" ref="J131" si="37">J165</f>
        <v>49.014299999999999</v>
      </c>
      <c r="L131" s="30">
        <f t="shared" ref="L131" si="38">L165</f>
        <v>47.927500000000002</v>
      </c>
      <c r="N131" s="30">
        <f t="shared" ref="N131" si="39">N165</f>
        <v>96.987399999999994</v>
      </c>
      <c r="P131" s="30">
        <f t="shared" si="34"/>
        <v>55.360299999999995</v>
      </c>
      <c r="R131" s="30">
        <f t="shared" si="35"/>
        <v>80.961849999999998</v>
      </c>
      <c r="T131" s="74"/>
      <c r="V131" s="74"/>
      <c r="X131" s="74"/>
      <c r="Z131" s="74"/>
      <c r="AB131" s="74"/>
      <c r="AD131" s="74"/>
      <c r="AF131" s="74"/>
      <c r="AH131" s="74"/>
      <c r="AJ131" s="74"/>
      <c r="AL131" s="74"/>
      <c r="AN131" s="74"/>
    </row>
    <row r="132" spans="2:40" s="110" customFormat="1">
      <c r="B132" s="37" t="s">
        <v>8</v>
      </c>
      <c r="C132" s="37"/>
      <c r="D132" s="37"/>
      <c r="E132" s="37"/>
      <c r="F132" s="37"/>
      <c r="G132" s="38"/>
      <c r="H132" s="63">
        <f>SUM(H129:H131)</f>
        <v>425.51259999999996</v>
      </c>
      <c r="J132" s="63">
        <f>SUM(J129:J131)</f>
        <v>423.98214999999988</v>
      </c>
      <c r="L132" s="63">
        <f>SUM(L129:L131)</f>
        <v>413.40390000000002</v>
      </c>
      <c r="N132" s="63">
        <f>SUM(N129:N131)</f>
        <v>496.78825000000001</v>
      </c>
      <c r="P132" s="63">
        <f>SUM(P129:P131)</f>
        <v>500.33174999999989</v>
      </c>
      <c r="R132" s="63">
        <f>SUM(R129:R131)</f>
        <v>660.85039999999992</v>
      </c>
      <c r="T132" s="111"/>
      <c r="V132" s="111"/>
      <c r="X132" s="111"/>
      <c r="Z132" s="111"/>
      <c r="AB132" s="111"/>
      <c r="AD132" s="111"/>
      <c r="AF132" s="111"/>
      <c r="AH132" s="111"/>
      <c r="AJ132" s="111"/>
      <c r="AL132" s="111"/>
      <c r="AN132" s="111"/>
    </row>
    <row r="133" spans="2:40" s="20" customFormat="1" ht="5.0999999999999996" customHeight="1">
      <c r="B133" s="21"/>
      <c r="C133" s="21"/>
      <c r="D133" s="21"/>
      <c r="E133" s="21"/>
      <c r="F133" s="21"/>
      <c r="G133" s="21"/>
      <c r="H133" s="66"/>
      <c r="J133" s="66"/>
      <c r="L133" s="66"/>
      <c r="N133" s="66"/>
      <c r="P133" s="66"/>
      <c r="R133" s="66"/>
      <c r="T133" s="112"/>
      <c r="V133" s="112"/>
      <c r="X133" s="112"/>
      <c r="Z133" s="112"/>
      <c r="AB133" s="112"/>
      <c r="AD133" s="112"/>
      <c r="AF133" s="112"/>
      <c r="AH133" s="112"/>
      <c r="AJ133" s="112"/>
      <c r="AL133" s="112"/>
      <c r="AN133" s="112"/>
    </row>
    <row r="134" spans="2:40" s="20" customFormat="1">
      <c r="B134" s="21" t="s">
        <v>46</v>
      </c>
      <c r="C134" s="21"/>
      <c r="D134" s="21"/>
      <c r="E134" s="21"/>
      <c r="F134" s="21"/>
      <c r="G134" s="21"/>
      <c r="H134" s="30">
        <f>H169</f>
        <v>1715.6895499999996</v>
      </c>
      <c r="J134" s="30">
        <f>J169</f>
        <v>1735.4077499999999</v>
      </c>
      <c r="L134" s="30">
        <f>L169</f>
        <v>1779.0051499999995</v>
      </c>
      <c r="N134" s="30">
        <f>N169</f>
        <v>1693.8158000000003</v>
      </c>
      <c r="P134" s="30">
        <f>P169</f>
        <v>1574.7627499999999</v>
      </c>
      <c r="R134" s="30">
        <f>R169</f>
        <v>1494.2065499999999</v>
      </c>
      <c r="T134" s="74"/>
      <c r="V134" s="74"/>
      <c r="X134" s="74"/>
      <c r="Z134" s="74"/>
      <c r="AB134" s="74"/>
      <c r="AD134" s="74"/>
      <c r="AF134" s="74"/>
      <c r="AH134" s="74"/>
      <c r="AJ134" s="74"/>
      <c r="AL134" s="74"/>
      <c r="AN134" s="74"/>
    </row>
    <row r="135" spans="2:40" s="20" customFormat="1">
      <c r="B135" s="21" t="s">
        <v>47</v>
      </c>
      <c r="C135" s="21"/>
      <c r="D135" s="21"/>
      <c r="E135" s="21"/>
      <c r="F135" s="21"/>
      <c r="G135" s="21"/>
      <c r="H135" s="30">
        <f>H170</f>
        <v>0</v>
      </c>
      <c r="J135" s="30">
        <f>J170</f>
        <v>0</v>
      </c>
      <c r="L135" s="30">
        <f>L170</f>
        <v>191.06209999999999</v>
      </c>
      <c r="N135" s="30">
        <f>N170</f>
        <v>142.17320000000001</v>
      </c>
      <c r="P135" s="30">
        <f>P170</f>
        <v>98.980499999999992</v>
      </c>
      <c r="R135" s="30">
        <f>R170</f>
        <v>160.77134999999998</v>
      </c>
      <c r="T135" s="74"/>
      <c r="V135" s="74"/>
      <c r="X135" s="74"/>
      <c r="Z135" s="74"/>
      <c r="AB135" s="74"/>
      <c r="AD135" s="74"/>
      <c r="AF135" s="74"/>
      <c r="AH135" s="74"/>
      <c r="AJ135" s="74"/>
      <c r="AL135" s="74"/>
      <c r="AN135" s="74"/>
    </row>
    <row r="136" spans="2:40" s="20" customFormat="1">
      <c r="B136" s="21" t="s">
        <v>150</v>
      </c>
      <c r="C136" s="21"/>
      <c r="D136" s="21"/>
      <c r="E136" s="21"/>
      <c r="F136" s="21"/>
      <c r="G136" s="21"/>
      <c r="H136" s="30">
        <f>H171</f>
        <v>0</v>
      </c>
      <c r="J136" s="30">
        <f>J171</f>
        <v>0</v>
      </c>
      <c r="L136" s="30">
        <f>L171</f>
        <v>0</v>
      </c>
      <c r="N136" s="30">
        <f>N171</f>
        <v>0</v>
      </c>
      <c r="P136" s="30">
        <f>P171</f>
        <v>0</v>
      </c>
      <c r="R136" s="30">
        <f>R171</f>
        <v>67.725499999999997</v>
      </c>
      <c r="T136" s="74"/>
      <c r="V136" s="74"/>
      <c r="X136" s="74"/>
      <c r="Z136" s="74"/>
      <c r="AB136" s="74"/>
      <c r="AD136" s="74"/>
      <c r="AF136" s="74"/>
      <c r="AH136" s="74"/>
      <c r="AJ136" s="74"/>
      <c r="AL136" s="74"/>
      <c r="AN136" s="74"/>
    </row>
    <row r="137" spans="2:40" s="20" customFormat="1">
      <c r="B137" s="21" t="s">
        <v>48</v>
      </c>
      <c r="C137" s="21"/>
      <c r="D137" s="21"/>
      <c r="E137" s="21"/>
      <c r="F137" s="21"/>
      <c r="G137" s="21"/>
      <c r="H137" s="30">
        <f>H172</f>
        <v>99.944749999999999</v>
      </c>
      <c r="J137" s="30">
        <f>J172</f>
        <v>66.554149999999993</v>
      </c>
      <c r="L137" s="30">
        <f>L172</f>
        <v>80.282599999999988</v>
      </c>
      <c r="N137" s="30">
        <f>N172</f>
        <v>38.012349999999998</v>
      </c>
      <c r="P137" s="30">
        <f>P172</f>
        <v>32.922249999999998</v>
      </c>
      <c r="R137" s="30">
        <f>R172</f>
        <v>42.581849999999996</v>
      </c>
      <c r="T137" s="74"/>
      <c r="V137" s="74"/>
      <c r="X137" s="74"/>
      <c r="Z137" s="74"/>
      <c r="AB137" s="74"/>
      <c r="AD137" s="74"/>
      <c r="AF137" s="74"/>
      <c r="AH137" s="74"/>
      <c r="AJ137" s="74"/>
      <c r="AL137" s="74"/>
      <c r="AN137" s="74"/>
    </row>
    <row r="138" spans="2:40" s="20" customFormat="1">
      <c r="B138" s="37" t="s">
        <v>12</v>
      </c>
      <c r="C138" s="37"/>
      <c r="D138" s="37"/>
      <c r="E138" s="37"/>
      <c r="F138" s="37"/>
      <c r="G138" s="38"/>
      <c r="H138" s="63">
        <f>H132+SUM(H134:H137)</f>
        <v>2241.1468999999997</v>
      </c>
      <c r="J138" s="63">
        <f>J132+SUM(J134:J137)</f>
        <v>2225.9440499999996</v>
      </c>
      <c r="L138" s="63">
        <f>L132+SUM(L134:L137)</f>
        <v>2463.7537499999999</v>
      </c>
      <c r="N138" s="63">
        <f>N132+SUM(N134:N137)</f>
        <v>2370.7896000000001</v>
      </c>
      <c r="P138" s="63">
        <f>P132+SUM(P134:P137)</f>
        <v>2206.9972499999999</v>
      </c>
      <c r="R138" s="63">
        <f>R132+SUM(R134:R137)</f>
        <v>2426.1356499999997</v>
      </c>
      <c r="T138" s="111"/>
      <c r="V138" s="111"/>
      <c r="X138" s="111"/>
      <c r="Z138" s="111"/>
      <c r="AB138" s="111"/>
      <c r="AD138" s="111"/>
      <c r="AF138" s="111"/>
      <c r="AH138" s="111"/>
      <c r="AJ138" s="111"/>
      <c r="AL138" s="111"/>
      <c r="AN138" s="111"/>
    </row>
    <row r="139" spans="2:40" s="20" customFormat="1">
      <c r="B139" s="21"/>
      <c r="C139" s="21"/>
      <c r="D139" s="21"/>
      <c r="E139" s="21"/>
      <c r="F139" s="21"/>
      <c r="G139" s="21"/>
      <c r="H139" s="22"/>
      <c r="J139" s="22"/>
      <c r="L139" s="22"/>
      <c r="N139" s="22"/>
      <c r="P139" s="22"/>
      <c r="R139" s="22"/>
      <c r="T139" s="113"/>
      <c r="V139" s="113"/>
      <c r="X139" s="113"/>
      <c r="Z139" s="113"/>
      <c r="AB139" s="113"/>
      <c r="AD139" s="113"/>
      <c r="AF139" s="113"/>
      <c r="AH139" s="113"/>
      <c r="AJ139" s="113"/>
      <c r="AL139" s="113"/>
      <c r="AN139" s="113"/>
    </row>
    <row r="140" spans="2:40" s="20" customFormat="1">
      <c r="B140" s="21" t="s">
        <v>52</v>
      </c>
      <c r="C140" s="21"/>
      <c r="D140" s="21"/>
      <c r="E140" s="21"/>
      <c r="F140" s="21"/>
      <c r="G140" s="21"/>
      <c r="H140" s="30">
        <f>H177</f>
        <v>77.234049999999996</v>
      </c>
      <c r="J140" s="30">
        <f>J177</f>
        <v>52.07235</v>
      </c>
      <c r="L140" s="30">
        <f>L177</f>
        <v>65.602249999999998</v>
      </c>
      <c r="N140" s="30">
        <f>N177</f>
        <v>47.520899999999997</v>
      </c>
      <c r="P140" s="30">
        <f>P177</f>
        <v>83.561049999999994</v>
      </c>
      <c r="R140" s="30">
        <f>R177</f>
        <v>127.82439999999998</v>
      </c>
      <c r="T140" s="74"/>
      <c r="V140" s="74"/>
      <c r="X140" s="74"/>
      <c r="Z140" s="74"/>
      <c r="AB140" s="74"/>
      <c r="AD140" s="74"/>
      <c r="AF140" s="74"/>
      <c r="AH140" s="74"/>
      <c r="AJ140" s="74"/>
      <c r="AL140" s="74"/>
      <c r="AN140" s="74"/>
    </row>
    <row r="141" spans="2:40" s="20" customFormat="1">
      <c r="B141" s="21" t="s">
        <v>53</v>
      </c>
      <c r="C141" s="21"/>
      <c r="D141" s="21"/>
      <c r="E141" s="21"/>
      <c r="F141" s="21"/>
      <c r="G141" s="21"/>
      <c r="H141" s="30">
        <f t="shared" ref="H141" si="40">H178</f>
        <v>68.096000000000004</v>
      </c>
      <c r="J141" s="30">
        <f t="shared" ref="J141" si="41">J178</f>
        <v>81.314299999999989</v>
      </c>
      <c r="L141" s="30">
        <f t="shared" ref="L141" si="42">L178</f>
        <v>59.269550000000002</v>
      </c>
      <c r="N141" s="30">
        <f t="shared" ref="N141" si="43">N178</f>
        <v>82.683249999999987</v>
      </c>
      <c r="P141" s="30">
        <f t="shared" ref="P141:P144" si="44">P178</f>
        <v>87.126400000000004</v>
      </c>
      <c r="R141" s="30">
        <f t="shared" ref="R141:R144" si="45">R178</f>
        <v>192.95639999999997</v>
      </c>
      <c r="T141" s="74"/>
      <c r="V141" s="74"/>
      <c r="X141" s="74"/>
      <c r="Z141" s="74"/>
      <c r="AB141" s="74"/>
      <c r="AD141" s="74"/>
      <c r="AF141" s="74"/>
      <c r="AH141" s="74"/>
      <c r="AJ141" s="74"/>
      <c r="AL141" s="74"/>
      <c r="AN141" s="74"/>
    </row>
    <row r="142" spans="2:40" s="20" customFormat="1">
      <c r="B142" s="21" t="s">
        <v>34</v>
      </c>
      <c r="C142" s="21"/>
      <c r="D142" s="21"/>
      <c r="E142" s="21"/>
      <c r="F142" s="21"/>
      <c r="G142" s="21"/>
      <c r="H142" s="30">
        <f t="shared" ref="H142" si="46">H179</f>
        <v>2.6590499999999997</v>
      </c>
      <c r="J142" s="30">
        <f t="shared" ref="J142" si="47">J179</f>
        <v>3.6375500000000001</v>
      </c>
      <c r="L142" s="30">
        <f t="shared" ref="L142" si="48">L179</f>
        <v>0</v>
      </c>
      <c r="N142" s="30">
        <f t="shared" ref="N142" si="49">N179</f>
        <v>0</v>
      </c>
      <c r="P142" s="30">
        <f t="shared" si="44"/>
        <v>0</v>
      </c>
      <c r="R142" s="30">
        <f t="shared" si="45"/>
        <v>0</v>
      </c>
      <c r="T142" s="74"/>
      <c r="V142" s="74"/>
      <c r="X142" s="74"/>
      <c r="Z142" s="74"/>
      <c r="AB142" s="74"/>
      <c r="AD142" s="74"/>
      <c r="AF142" s="74"/>
      <c r="AH142" s="74"/>
      <c r="AJ142" s="74"/>
      <c r="AL142" s="74"/>
      <c r="AN142" s="74"/>
    </row>
    <row r="143" spans="2:40" s="20" customFormat="1">
      <c r="B143" s="21" t="s">
        <v>54</v>
      </c>
      <c r="C143" s="21"/>
      <c r="D143" s="21"/>
      <c r="E143" s="21"/>
      <c r="F143" s="21"/>
      <c r="G143" s="21"/>
      <c r="H143" s="30">
        <f t="shared" ref="H143" si="50">H180</f>
        <v>104.36794999999999</v>
      </c>
      <c r="J143" s="30">
        <f t="shared" ref="J143" si="51">J180</f>
        <v>44.889400000000002</v>
      </c>
      <c r="L143" s="30">
        <f t="shared" ref="L143" si="52">L180</f>
        <v>94.744449999999986</v>
      </c>
      <c r="N143" s="30">
        <f t="shared" ref="N143" si="53">N180</f>
        <v>86.118449999999996</v>
      </c>
      <c r="P143" s="30">
        <f t="shared" si="44"/>
        <v>40.729349999999997</v>
      </c>
      <c r="R143" s="30">
        <f t="shared" si="45"/>
        <v>45.877400000000002</v>
      </c>
      <c r="T143" s="74"/>
      <c r="V143" s="74"/>
      <c r="X143" s="74"/>
      <c r="Z143" s="74"/>
      <c r="AB143" s="74"/>
      <c r="AD143" s="74"/>
      <c r="AF143" s="74"/>
      <c r="AH143" s="74"/>
      <c r="AJ143" s="74"/>
      <c r="AL143" s="74"/>
      <c r="AN143" s="74"/>
    </row>
    <row r="144" spans="2:40" s="20" customFormat="1">
      <c r="B144" s="21" t="s">
        <v>55</v>
      </c>
      <c r="C144" s="21"/>
      <c r="D144" s="21"/>
      <c r="E144" s="21"/>
      <c r="F144" s="21"/>
      <c r="G144" s="21"/>
      <c r="H144" s="30">
        <f t="shared" ref="H144" si="54">H181</f>
        <v>0</v>
      </c>
      <c r="J144" s="30">
        <f t="shared" ref="J144" si="55">J181</f>
        <v>0</v>
      </c>
      <c r="L144" s="30">
        <f t="shared" ref="L144" si="56">L181</f>
        <v>51.095749999999995</v>
      </c>
      <c r="N144" s="30">
        <f t="shared" ref="N144" si="57">N181</f>
        <v>49.019049999999993</v>
      </c>
      <c r="P144" s="30">
        <f t="shared" si="44"/>
        <v>52.952049999999993</v>
      </c>
      <c r="R144" s="30">
        <f t="shared" si="45"/>
        <v>59.528899999999993</v>
      </c>
      <c r="T144" s="74"/>
      <c r="V144" s="74"/>
      <c r="X144" s="74"/>
      <c r="Z144" s="74"/>
      <c r="AB144" s="74"/>
      <c r="AD144" s="74"/>
      <c r="AF144" s="74"/>
      <c r="AH144" s="74"/>
      <c r="AJ144" s="74"/>
      <c r="AL144" s="74"/>
      <c r="AN144" s="74"/>
    </row>
    <row r="145" spans="2:81" s="110" customFormat="1">
      <c r="B145" s="37" t="s">
        <v>30</v>
      </c>
      <c r="C145" s="37"/>
      <c r="D145" s="37"/>
      <c r="E145" s="37"/>
      <c r="F145" s="37"/>
      <c r="G145" s="38"/>
      <c r="H145" s="63">
        <f>SUM(H140:H144)</f>
        <v>252.35705000000002</v>
      </c>
      <c r="J145" s="63">
        <f>SUM(J140:J144)</f>
        <v>181.91359999999997</v>
      </c>
      <c r="L145" s="63">
        <f>SUM(L140:L144)</f>
        <v>270.71199999999999</v>
      </c>
      <c r="N145" s="63">
        <f>SUM(N140:N144)</f>
        <v>265.34164999999996</v>
      </c>
      <c r="P145" s="63">
        <f>SUM(P140:P144)</f>
        <v>264.36885000000001</v>
      </c>
      <c r="R145" s="63">
        <f>SUM(R140:R144)</f>
        <v>426.18709999999999</v>
      </c>
      <c r="T145" s="111"/>
      <c r="V145" s="111"/>
      <c r="X145" s="111"/>
      <c r="Z145" s="111"/>
      <c r="AB145" s="111"/>
      <c r="AD145" s="111"/>
      <c r="AF145" s="111"/>
      <c r="AH145" s="111"/>
      <c r="AJ145" s="111"/>
      <c r="AL145" s="111"/>
      <c r="AN145" s="111"/>
    </row>
    <row r="146" spans="2:81" s="20" customFormat="1" ht="5.0999999999999996" customHeight="1">
      <c r="B146" s="21"/>
      <c r="C146" s="21"/>
      <c r="D146" s="21"/>
      <c r="E146" s="21"/>
      <c r="F146" s="21"/>
      <c r="G146" s="21"/>
      <c r="H146" s="66"/>
      <c r="J146" s="66"/>
      <c r="L146" s="66"/>
      <c r="N146" s="66"/>
      <c r="P146" s="66"/>
      <c r="R146" s="66"/>
      <c r="T146" s="112"/>
      <c r="V146" s="112"/>
      <c r="X146" s="112"/>
      <c r="Z146" s="112"/>
      <c r="AB146" s="112"/>
      <c r="AD146" s="112"/>
      <c r="AF146" s="112"/>
      <c r="AH146" s="112"/>
      <c r="AJ146" s="112"/>
      <c r="AL146" s="112"/>
      <c r="AN146" s="112"/>
    </row>
    <row r="147" spans="2:81" s="20" customFormat="1">
      <c r="B147" s="21" t="s">
        <v>57</v>
      </c>
      <c r="C147" s="21"/>
      <c r="D147" s="21"/>
      <c r="E147" s="21"/>
      <c r="F147" s="21"/>
      <c r="G147" s="21"/>
      <c r="H147" s="30">
        <f>H183</f>
        <v>366.47770000000003</v>
      </c>
      <c r="J147" s="30">
        <f>J183</f>
        <v>373.40984999999995</v>
      </c>
      <c r="L147" s="30">
        <f>L183</f>
        <v>290.8159</v>
      </c>
      <c r="N147" s="30">
        <f>N183</f>
        <v>245.96639999999996</v>
      </c>
      <c r="P147" s="30">
        <f>P183</f>
        <v>249.03014999999999</v>
      </c>
      <c r="R147" s="30">
        <f>R183</f>
        <v>297.75849999999997</v>
      </c>
      <c r="T147" s="74"/>
      <c r="V147" s="74"/>
      <c r="X147" s="74"/>
      <c r="Z147" s="74"/>
      <c r="AB147" s="74"/>
      <c r="AD147" s="74"/>
      <c r="AF147" s="74"/>
      <c r="AH147" s="74"/>
      <c r="AJ147" s="74"/>
      <c r="AL147" s="74"/>
      <c r="AN147" s="74"/>
    </row>
    <row r="148" spans="2:81" s="20" customFormat="1">
      <c r="B148" s="21" t="s">
        <v>58</v>
      </c>
      <c r="C148" s="21"/>
      <c r="D148" s="21"/>
      <c r="E148" s="21"/>
      <c r="F148" s="21"/>
      <c r="G148" s="21"/>
      <c r="H148" s="30">
        <f t="shared" ref="H148" si="58">H184</f>
        <v>0</v>
      </c>
      <c r="J148" s="30">
        <f t="shared" ref="J148" si="59">J184</f>
        <v>0</v>
      </c>
      <c r="L148" s="30">
        <f t="shared" ref="L148" si="60">L184</f>
        <v>144.23564999999999</v>
      </c>
      <c r="N148" s="30">
        <f t="shared" ref="N148" si="61">N184</f>
        <v>95.958550000000002</v>
      </c>
      <c r="P148" s="30">
        <f t="shared" ref="P148:P150" si="62">P184</f>
        <v>47.688099999999999</v>
      </c>
      <c r="R148" s="30">
        <f t="shared" ref="R148:R150" si="63">R184</f>
        <v>110.37575</v>
      </c>
      <c r="T148" s="74"/>
      <c r="V148" s="74"/>
      <c r="X148" s="74"/>
      <c r="Z148" s="74"/>
      <c r="AB148" s="74"/>
      <c r="AD148" s="74"/>
      <c r="AF148" s="74"/>
      <c r="AH148" s="74"/>
      <c r="AJ148" s="74"/>
      <c r="AL148" s="74"/>
      <c r="AN148" s="74"/>
    </row>
    <row r="149" spans="2:81" s="20" customFormat="1">
      <c r="B149" s="21" t="s">
        <v>59</v>
      </c>
      <c r="C149" s="21"/>
      <c r="D149" s="21"/>
      <c r="E149" s="21"/>
      <c r="F149" s="21"/>
      <c r="G149" s="21"/>
      <c r="H149" s="30">
        <f t="shared" ref="H149" si="64">H185</f>
        <v>98.181550000000001</v>
      </c>
      <c r="J149" s="30">
        <f t="shared" ref="J149" si="65">J185</f>
        <v>100.56889999999999</v>
      </c>
      <c r="L149" s="30">
        <f t="shared" ref="L149" si="66">L185</f>
        <v>106.5254</v>
      </c>
      <c r="N149" s="30">
        <f t="shared" ref="N149" si="67">N185</f>
        <v>105.27995</v>
      </c>
      <c r="P149" s="30">
        <f t="shared" si="62"/>
        <v>82.617699999999985</v>
      </c>
      <c r="R149" s="30">
        <f t="shared" si="63"/>
        <v>105.02725</v>
      </c>
      <c r="T149" s="74"/>
      <c r="V149" s="74"/>
      <c r="X149" s="74"/>
      <c r="Z149" s="74"/>
      <c r="AB149" s="74"/>
      <c r="AD149" s="74"/>
      <c r="AF149" s="74"/>
      <c r="AH149" s="74"/>
      <c r="AJ149" s="74"/>
      <c r="AL149" s="74"/>
      <c r="AN149" s="74"/>
    </row>
    <row r="150" spans="2:81" s="20" customFormat="1">
      <c r="B150" s="21" t="s">
        <v>60</v>
      </c>
      <c r="C150" s="21"/>
      <c r="D150" s="21"/>
      <c r="E150" s="21"/>
      <c r="F150" s="21"/>
      <c r="G150" s="21"/>
      <c r="H150" s="30">
        <f t="shared" ref="H150" si="68">H186</f>
        <v>38.655499999999996</v>
      </c>
      <c r="J150" s="30">
        <f t="shared" ref="J150" si="69">J186</f>
        <v>37.561099999999996</v>
      </c>
      <c r="L150" s="30">
        <f t="shared" ref="L150" si="70">L186</f>
        <v>36.711799999999997</v>
      </c>
      <c r="N150" s="30">
        <f t="shared" ref="N150" si="71">N186</f>
        <v>3.6840999999999999</v>
      </c>
      <c r="P150" s="30">
        <f t="shared" si="62"/>
        <v>0.92624999999999991</v>
      </c>
      <c r="R150" s="30">
        <f t="shared" si="63"/>
        <v>62.935600000000001</v>
      </c>
      <c r="T150" s="74"/>
      <c r="V150" s="74"/>
      <c r="X150" s="74"/>
      <c r="Z150" s="74"/>
      <c r="AB150" s="74"/>
      <c r="AD150" s="74"/>
      <c r="AF150" s="74"/>
      <c r="AH150" s="74"/>
      <c r="AJ150" s="74"/>
      <c r="AL150" s="74"/>
      <c r="AN150" s="74"/>
    </row>
    <row r="151" spans="2:81" s="20" customFormat="1">
      <c r="B151" s="37" t="s">
        <v>31</v>
      </c>
      <c r="C151" s="37"/>
      <c r="D151" s="37"/>
      <c r="E151" s="37"/>
      <c r="F151" s="37"/>
      <c r="G151" s="38"/>
      <c r="H151" s="63">
        <f>H145+SUM(H147:H150)</f>
        <v>755.67180000000008</v>
      </c>
      <c r="J151" s="63">
        <f>J145+SUM(J147:J150)</f>
        <v>693.45344999999998</v>
      </c>
      <c r="L151" s="63">
        <f>L145+SUM(L147:L150)</f>
        <v>849.00075000000004</v>
      </c>
      <c r="N151" s="63">
        <f>N145+SUM(N147:N150)</f>
        <v>716.23064999999997</v>
      </c>
      <c r="P151" s="63">
        <f>P145+SUM(P147:P150)</f>
        <v>644.63104999999996</v>
      </c>
      <c r="R151" s="63">
        <f>R145+SUM(R147:R150)</f>
        <v>1002.2841999999999</v>
      </c>
      <c r="T151" s="111"/>
      <c r="V151" s="111"/>
      <c r="X151" s="111"/>
      <c r="Z151" s="111"/>
      <c r="AB151" s="111"/>
      <c r="AD151" s="111"/>
      <c r="AF151" s="111"/>
      <c r="AH151" s="111"/>
      <c r="AJ151" s="111"/>
      <c r="AL151" s="111"/>
      <c r="AN151" s="111"/>
    </row>
    <row r="152" spans="2:81" s="20" customFormat="1" ht="5.0999999999999996" customHeight="1">
      <c r="B152" s="21"/>
      <c r="C152" s="21"/>
      <c r="D152" s="21"/>
      <c r="E152" s="21"/>
      <c r="F152" s="21"/>
      <c r="G152" s="21"/>
      <c r="H152" s="66"/>
      <c r="J152" s="66"/>
      <c r="L152" s="66"/>
      <c r="N152" s="66"/>
      <c r="P152" s="66"/>
      <c r="R152" s="66"/>
      <c r="T152" s="112"/>
      <c r="V152" s="112"/>
      <c r="X152" s="112"/>
      <c r="Z152" s="112"/>
      <c r="AB152" s="112"/>
      <c r="AD152" s="112"/>
      <c r="AF152" s="112"/>
      <c r="AH152" s="112"/>
      <c r="AJ152" s="112"/>
      <c r="AL152" s="112"/>
      <c r="AN152" s="112"/>
    </row>
    <row r="153" spans="2:81" s="110" customFormat="1">
      <c r="B153" s="38" t="s">
        <v>62</v>
      </c>
      <c r="C153" s="38"/>
      <c r="D153" s="38"/>
      <c r="E153" s="38"/>
      <c r="F153" s="38"/>
      <c r="G153" s="38"/>
      <c r="H153" s="114">
        <f>H188</f>
        <v>0</v>
      </c>
      <c r="J153" s="114">
        <f>J188</f>
        <v>0</v>
      </c>
      <c r="L153" s="114">
        <f>L188</f>
        <v>3.2822499999999999</v>
      </c>
      <c r="N153" s="114">
        <f>N188</f>
        <v>3.6622499999999998</v>
      </c>
      <c r="P153" s="114">
        <f>P188</f>
        <v>0</v>
      </c>
      <c r="R153" s="114">
        <f>R188</f>
        <v>0</v>
      </c>
      <c r="T153" s="115"/>
      <c r="V153" s="115"/>
      <c r="X153" s="115"/>
      <c r="Z153" s="115"/>
      <c r="AB153" s="115"/>
      <c r="AD153" s="115"/>
      <c r="AF153" s="115"/>
      <c r="AH153" s="115"/>
      <c r="AJ153" s="115"/>
      <c r="AL153" s="115"/>
      <c r="AN153" s="115"/>
    </row>
    <row r="154" spans="2:81" s="20" customFormat="1" ht="5.0999999999999996" customHeight="1">
      <c r="B154" s="21"/>
      <c r="C154" s="21"/>
      <c r="D154" s="21"/>
      <c r="E154" s="21"/>
      <c r="F154" s="21"/>
      <c r="G154" s="21"/>
      <c r="H154" s="66"/>
      <c r="J154" s="66"/>
      <c r="L154" s="66"/>
      <c r="N154" s="66"/>
      <c r="P154" s="66"/>
      <c r="R154" s="66"/>
      <c r="T154" s="112"/>
      <c r="V154" s="112"/>
      <c r="X154" s="112"/>
      <c r="Z154" s="112"/>
      <c r="AB154" s="112"/>
      <c r="AD154" s="112"/>
      <c r="AF154" s="112"/>
      <c r="AH154" s="112"/>
      <c r="AJ154" s="112"/>
      <c r="AL154" s="112"/>
      <c r="AN154" s="112"/>
    </row>
    <row r="155" spans="2:81" s="20" customFormat="1">
      <c r="B155" s="21" t="s">
        <v>38</v>
      </c>
      <c r="C155" s="21"/>
      <c r="D155" s="21"/>
      <c r="E155" s="21"/>
      <c r="F155" s="21"/>
      <c r="G155" s="21"/>
      <c r="H155" s="30">
        <f>H193</f>
        <v>1485.4750999999999</v>
      </c>
      <c r="J155" s="30">
        <f>J193</f>
        <v>1532.4906000000001</v>
      </c>
      <c r="L155" s="30">
        <f>L193</f>
        <v>1611.47075</v>
      </c>
      <c r="N155" s="30">
        <f>N193</f>
        <v>1650.8967</v>
      </c>
      <c r="P155" s="30">
        <f>P193</f>
        <v>1562.3661999999997</v>
      </c>
      <c r="R155" s="30">
        <f>R193</f>
        <v>1423.8514499999997</v>
      </c>
      <c r="T155" s="74"/>
      <c r="V155" s="74"/>
      <c r="X155" s="74"/>
      <c r="Z155" s="74"/>
      <c r="AB155" s="74"/>
      <c r="AD155" s="74"/>
      <c r="AF155" s="74"/>
      <c r="AH155" s="74"/>
      <c r="AJ155" s="74"/>
      <c r="AL155" s="74"/>
      <c r="AN155" s="74"/>
    </row>
    <row r="156" spans="2:81" s="20" customFormat="1">
      <c r="B156" s="37" t="s">
        <v>147</v>
      </c>
      <c r="C156" s="37"/>
      <c r="D156" s="37"/>
      <c r="E156" s="37"/>
      <c r="F156" s="37"/>
      <c r="G156" s="38"/>
      <c r="H156" s="63">
        <f>+H151+H153+H155</f>
        <v>2241.1468999999997</v>
      </c>
      <c r="J156" s="63">
        <f>+J151+J153+J155</f>
        <v>2225.9440500000001</v>
      </c>
      <c r="L156" s="63">
        <f>+L151+L153+L155</f>
        <v>2463.7537499999999</v>
      </c>
      <c r="N156" s="63">
        <f>+N151+N153+N155</f>
        <v>2370.7896000000001</v>
      </c>
      <c r="P156" s="63">
        <f>+P151+P153+P155</f>
        <v>2206.9972499999994</v>
      </c>
      <c r="R156" s="63">
        <f>+R151+R153+R155</f>
        <v>2426.1356499999997</v>
      </c>
      <c r="T156" s="111"/>
      <c r="V156" s="111"/>
      <c r="X156" s="111"/>
      <c r="Z156" s="111"/>
      <c r="AB156" s="111"/>
      <c r="AD156" s="111"/>
      <c r="AF156" s="111"/>
      <c r="AH156" s="111"/>
      <c r="AJ156" s="111"/>
      <c r="AL156" s="111"/>
      <c r="AN156" s="111"/>
    </row>
    <row r="157" spans="2:81" s="230" customFormat="1">
      <c r="B157" s="231" t="s">
        <v>39</v>
      </c>
      <c r="H157" s="232">
        <f>ROUND(H156-H138,5)</f>
        <v>0</v>
      </c>
      <c r="I157" s="233"/>
      <c r="J157" s="232">
        <f>ROUND(J156-J138,5)</f>
        <v>0</v>
      </c>
      <c r="K157" s="233"/>
      <c r="L157" s="232">
        <f>ROUND(L156-L138,5)</f>
        <v>0</v>
      </c>
      <c r="M157" s="233"/>
      <c r="N157" s="232">
        <f>ROUND(N156-N138,5)</f>
        <v>0</v>
      </c>
      <c r="O157" s="233"/>
      <c r="P157" s="232">
        <f>ROUND(P156-P138,5)</f>
        <v>0</v>
      </c>
      <c r="Q157" s="233"/>
      <c r="R157" s="232">
        <f>ROUND(R156-R138,5)</f>
        <v>0</v>
      </c>
      <c r="S157" s="233"/>
      <c r="T157" s="232"/>
      <c r="U157" s="233"/>
      <c r="V157" s="232"/>
      <c r="W157" s="233"/>
      <c r="X157" s="232"/>
      <c r="Y157" s="233"/>
      <c r="Z157" s="232"/>
      <c r="AA157" s="233"/>
      <c r="AB157" s="232"/>
      <c r="AC157" s="233"/>
      <c r="AD157" s="232"/>
      <c r="AE157" s="233"/>
      <c r="AF157" s="232"/>
      <c r="AG157" s="233"/>
      <c r="AH157" s="232"/>
      <c r="AI157" s="233"/>
      <c r="AJ157" s="232"/>
      <c r="AK157" s="233"/>
      <c r="AL157" s="232"/>
      <c r="AM157" s="233"/>
      <c r="AN157" s="232"/>
      <c r="AO157" s="234"/>
      <c r="AP157" s="232"/>
      <c r="AQ157" s="234"/>
      <c r="AR157" s="235"/>
      <c r="AS157" s="234"/>
      <c r="AT157" s="235"/>
      <c r="AU157" s="234"/>
      <c r="AV157" s="232"/>
      <c r="AW157" s="234"/>
      <c r="AX157" s="235"/>
      <c r="AY157" s="234"/>
      <c r="AZ157" s="235"/>
      <c r="BA157" s="234"/>
      <c r="BB157" s="232"/>
      <c r="BC157" s="234"/>
      <c r="BD157" s="232"/>
      <c r="BE157" s="234"/>
      <c r="BF157" s="232"/>
      <c r="BG157" s="234"/>
      <c r="BH157" s="232"/>
      <c r="BI157" s="234"/>
      <c r="BJ157" s="236"/>
      <c r="BK157" s="234"/>
      <c r="BL157" s="235"/>
      <c r="BM157" s="234"/>
      <c r="BN157" s="232"/>
      <c r="BO157" s="234"/>
      <c r="BP157" s="235"/>
      <c r="BQ157" s="234"/>
      <c r="BR157" s="235"/>
      <c r="BS157" s="234"/>
      <c r="BT157" s="232"/>
      <c r="BU157" s="234"/>
      <c r="BV157" s="232"/>
      <c r="BW157" s="234"/>
      <c r="BX157" s="232"/>
      <c r="BY157" s="234"/>
      <c r="BZ157" s="232"/>
      <c r="CA157" s="234"/>
      <c r="CB157" s="237"/>
      <c r="CC157" s="234"/>
    </row>
    <row r="158" spans="2:81" s="55" customFormat="1" ht="13.8"/>
    <row r="159" spans="2:81" s="116" customFormat="1" ht="18">
      <c r="B159" s="38" t="s">
        <v>7</v>
      </c>
      <c r="C159" s="1"/>
      <c r="D159" s="1"/>
      <c r="E159" s="1"/>
      <c r="F159" s="1"/>
      <c r="G159" s="1"/>
      <c r="H159" s="10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2:81" s="116" customFormat="1" ht="18">
      <c r="B160" s="38" t="s">
        <v>68</v>
      </c>
      <c r="C160" s="1"/>
      <c r="D160" s="1"/>
      <c r="E160" s="1"/>
      <c r="F160" s="1"/>
      <c r="G160" s="1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03"/>
    </row>
    <row r="161" spans="2:40" s="116" customFormat="1" ht="18">
      <c r="B161" s="117" t="s">
        <v>40</v>
      </c>
      <c r="C161" s="1"/>
      <c r="D161" s="1"/>
      <c r="E161" s="1"/>
      <c r="F161" s="1"/>
      <c r="G161" s="1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</row>
    <row r="162" spans="2:40" s="116" customFormat="1" ht="18">
      <c r="B162" s="109" t="s">
        <v>41</v>
      </c>
      <c r="C162" s="1"/>
      <c r="D162" s="1"/>
      <c r="E162" s="1"/>
      <c r="F162" s="1"/>
      <c r="G162" s="1"/>
      <c r="H162" s="211">
        <v>249.71414999999996</v>
      </c>
      <c r="I162" s="103"/>
      <c r="J162" s="211">
        <v>261.08659999999992</v>
      </c>
      <c r="K162" s="103"/>
      <c r="L162" s="211">
        <v>246.29225</v>
      </c>
      <c r="M162" s="103"/>
      <c r="N162" s="211">
        <v>274.17950000000002</v>
      </c>
      <c r="O162" s="103"/>
      <c r="P162" s="211">
        <v>308.04129999999992</v>
      </c>
      <c r="Q162" s="118"/>
      <c r="R162" s="211">
        <v>313.48289999999992</v>
      </c>
      <c r="S162" s="119"/>
      <c r="T162" s="118"/>
      <c r="U162" s="119"/>
      <c r="V162" s="211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2:40" s="116" customFormat="1" ht="18">
      <c r="B163" s="109" t="s">
        <v>42</v>
      </c>
      <c r="C163" s="1"/>
      <c r="D163" s="1"/>
      <c r="E163" s="1"/>
      <c r="F163" s="1"/>
      <c r="G163" s="1"/>
      <c r="H163" s="211">
        <v>0</v>
      </c>
      <c r="I163" s="103"/>
      <c r="J163" s="211">
        <v>0</v>
      </c>
      <c r="K163" s="103"/>
      <c r="L163" s="211">
        <v>51.423499999999997</v>
      </c>
      <c r="M163" s="103"/>
      <c r="N163" s="211">
        <v>0</v>
      </c>
      <c r="O163" s="103"/>
      <c r="P163" s="211">
        <v>69.931399999999996</v>
      </c>
      <c r="Q163" s="118"/>
      <c r="R163" s="211">
        <v>0</v>
      </c>
      <c r="S163" s="119"/>
      <c r="T163" s="118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2:40" s="116" customFormat="1" ht="18">
      <c r="B164" s="109" t="s">
        <v>69</v>
      </c>
      <c r="C164" s="1"/>
      <c r="D164" s="1"/>
      <c r="E164" s="1"/>
      <c r="F164" s="1"/>
      <c r="G164" s="1"/>
      <c r="H164" s="211">
        <v>136.11884999999998</v>
      </c>
      <c r="I164" s="211">
        <v>0</v>
      </c>
      <c r="J164" s="211">
        <v>113.88124999999999</v>
      </c>
      <c r="K164" s="103"/>
      <c r="L164" s="211">
        <v>119.18414999999999</v>
      </c>
      <c r="M164" s="103"/>
      <c r="N164" s="211">
        <v>125.62134999999999</v>
      </c>
      <c r="O164" s="103"/>
      <c r="P164" s="211">
        <v>136.93015</v>
      </c>
      <c r="Q164" s="118"/>
      <c r="R164" s="211">
        <v>266.40564999999998</v>
      </c>
      <c r="S164" s="119"/>
      <c r="T164" s="118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2:40" s="116" customFormat="1" ht="18">
      <c r="B165" s="109" t="s">
        <v>33</v>
      </c>
      <c r="C165" s="1"/>
      <c r="D165" s="1"/>
      <c r="E165" s="1"/>
      <c r="F165" s="1"/>
      <c r="G165" s="1"/>
      <c r="H165" s="211">
        <v>39.679600000000001</v>
      </c>
      <c r="I165" s="103"/>
      <c r="J165" s="211">
        <v>49.014299999999999</v>
      </c>
      <c r="K165" s="103"/>
      <c r="L165" s="211">
        <v>47.927500000000002</v>
      </c>
      <c r="M165" s="103"/>
      <c r="N165" s="211">
        <v>96.987399999999994</v>
      </c>
      <c r="O165" s="103"/>
      <c r="P165" s="211">
        <v>55.360299999999995</v>
      </c>
      <c r="Q165" s="120"/>
      <c r="R165" s="211">
        <v>80.961849999999998</v>
      </c>
      <c r="S165" s="121"/>
      <c r="T165" s="118"/>
      <c r="U165" s="121"/>
      <c r="V165" s="119"/>
      <c r="W165" s="121"/>
      <c r="X165" s="119"/>
      <c r="Y165" s="121"/>
      <c r="Z165" s="119"/>
      <c r="AA165" s="121"/>
      <c r="AB165" s="119"/>
      <c r="AC165" s="121"/>
      <c r="AD165" s="119"/>
      <c r="AE165" s="121"/>
      <c r="AF165" s="119"/>
      <c r="AG165" s="121"/>
      <c r="AH165" s="119"/>
      <c r="AI165" s="121"/>
      <c r="AJ165" s="119"/>
      <c r="AK165" s="121"/>
      <c r="AL165" s="119"/>
      <c r="AM165" s="121"/>
      <c r="AN165" s="119"/>
    </row>
    <row r="166" spans="2:40" s="116" customFormat="1" ht="18">
      <c r="B166" s="117" t="s">
        <v>43</v>
      </c>
      <c r="C166" s="1"/>
      <c r="D166" s="1"/>
      <c r="E166" s="1"/>
      <c r="F166" s="1"/>
      <c r="G166" s="1"/>
      <c r="H166" s="122">
        <f>SUM(H162:H165)</f>
        <v>425.51259999999996</v>
      </c>
      <c r="I166" s="103"/>
      <c r="J166" s="122">
        <f>SUM(J162:J165)</f>
        <v>423.98214999999988</v>
      </c>
      <c r="K166" s="103"/>
      <c r="L166" s="122">
        <f>SUM(L162:L165)</f>
        <v>464.82740000000001</v>
      </c>
      <c r="M166" s="103"/>
      <c r="N166" s="122">
        <f>SUM(N162:N165)</f>
        <v>496.78825000000001</v>
      </c>
      <c r="O166" s="103"/>
      <c r="P166" s="122">
        <f>SUM(P162:P165)</f>
        <v>570.26315</v>
      </c>
      <c r="Q166" s="118"/>
      <c r="R166" s="120">
        <f>SUM(R162:R165)</f>
        <v>660.85039999999992</v>
      </c>
      <c r="S166" s="119"/>
      <c r="T166" s="120"/>
      <c r="U166" s="119"/>
      <c r="V166" s="121"/>
      <c r="W166" s="119"/>
      <c r="X166" s="121"/>
      <c r="Y166" s="119"/>
      <c r="Z166" s="121"/>
      <c r="AA166" s="119"/>
      <c r="AB166" s="121"/>
      <c r="AC166" s="119"/>
      <c r="AD166" s="121"/>
      <c r="AE166" s="119"/>
      <c r="AF166" s="121"/>
      <c r="AG166" s="119"/>
      <c r="AH166" s="121"/>
      <c r="AI166" s="119"/>
      <c r="AJ166" s="121"/>
      <c r="AK166" s="119"/>
      <c r="AL166" s="121"/>
      <c r="AM166" s="119"/>
      <c r="AN166" s="121"/>
    </row>
    <row r="167" spans="2:40" s="116" customFormat="1" ht="18">
      <c r="B167" s="109" t="s">
        <v>44</v>
      </c>
      <c r="C167" s="1"/>
      <c r="D167" s="1"/>
      <c r="E167" s="1"/>
      <c r="F167" s="1"/>
      <c r="G167" s="1"/>
      <c r="H167" s="211">
        <v>2560.9833999999996</v>
      </c>
      <c r="I167" s="103"/>
      <c r="J167" s="211">
        <v>2646.4890999999998</v>
      </c>
      <c r="K167" s="103"/>
      <c r="L167" s="211">
        <v>2776.1602999999996</v>
      </c>
      <c r="M167" s="103"/>
      <c r="N167" s="211">
        <v>2801.4616500000002</v>
      </c>
      <c r="O167" s="103"/>
      <c r="P167" s="211">
        <v>2791.2462999999998</v>
      </c>
      <c r="Q167" s="118"/>
      <c r="R167" s="211">
        <v>2924.6424499999998</v>
      </c>
      <c r="S167" s="119"/>
      <c r="T167" s="118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2:40" s="116" customFormat="1" ht="18">
      <c r="B168" s="109" t="s">
        <v>45</v>
      </c>
      <c r="C168" s="1"/>
      <c r="D168" s="1"/>
      <c r="E168" s="1"/>
      <c r="F168" s="1"/>
      <c r="G168" s="1"/>
      <c r="H168" s="211">
        <v>-845.29385000000002</v>
      </c>
      <c r="I168" s="103"/>
      <c r="J168" s="211">
        <v>-911.08134999999993</v>
      </c>
      <c r="K168" s="103"/>
      <c r="L168" s="211">
        <v>-997.15514999999994</v>
      </c>
      <c r="M168" s="103"/>
      <c r="N168" s="211">
        <v>-1107.6458499999999</v>
      </c>
      <c r="O168" s="103"/>
      <c r="P168" s="211">
        <v>-1216.4835499999999</v>
      </c>
      <c r="Q168" s="13"/>
      <c r="R168" s="211">
        <v>-1430.4358999999999</v>
      </c>
      <c r="S168" s="123"/>
      <c r="T168" s="118"/>
      <c r="U168" s="123"/>
      <c r="V168" s="119"/>
      <c r="W168" s="123"/>
      <c r="X168" s="119"/>
      <c r="Y168" s="123"/>
      <c r="Z168" s="119"/>
      <c r="AA168" s="123"/>
      <c r="AB168" s="119"/>
      <c r="AC168" s="123"/>
      <c r="AD168" s="119"/>
      <c r="AE168" s="123"/>
      <c r="AF168" s="119"/>
      <c r="AG168" s="123"/>
      <c r="AH168" s="119"/>
      <c r="AI168" s="123"/>
      <c r="AJ168" s="119"/>
      <c r="AK168" s="123"/>
      <c r="AL168" s="119"/>
      <c r="AM168" s="123"/>
      <c r="AN168" s="119"/>
    </row>
    <row r="169" spans="2:40" s="116" customFormat="1" ht="18">
      <c r="B169" s="117" t="s">
        <v>46</v>
      </c>
      <c r="C169" s="1"/>
      <c r="D169" s="1"/>
      <c r="E169" s="1"/>
      <c r="F169" s="1"/>
      <c r="G169" s="1"/>
      <c r="H169" s="122">
        <f>SUM(H167:H168)</f>
        <v>1715.6895499999996</v>
      </c>
      <c r="I169" s="103"/>
      <c r="J169" s="122">
        <f>SUM(J167:J168)</f>
        <v>1735.4077499999999</v>
      </c>
      <c r="K169" s="103"/>
      <c r="L169" s="122">
        <f>SUM(L167:L168)</f>
        <v>1779.0051499999995</v>
      </c>
      <c r="M169" s="103"/>
      <c r="N169" s="122">
        <f>SUM(N167:N168)</f>
        <v>1693.8158000000003</v>
      </c>
      <c r="O169" s="103"/>
      <c r="P169" s="122">
        <f>SUM(P167:P168)</f>
        <v>1574.7627499999999</v>
      </c>
      <c r="Q169" s="118"/>
      <c r="R169" s="120">
        <f>SUM(R167:R168)</f>
        <v>1494.2065499999999</v>
      </c>
      <c r="S169" s="119"/>
      <c r="T169" s="120"/>
      <c r="U169" s="119"/>
      <c r="V169" s="121"/>
      <c r="W169" s="119"/>
      <c r="X169" s="121"/>
      <c r="Y169" s="119"/>
      <c r="Z169" s="121"/>
      <c r="AA169" s="119"/>
      <c r="AB169" s="121"/>
      <c r="AC169" s="119"/>
      <c r="AD169" s="121"/>
      <c r="AE169" s="119"/>
      <c r="AF169" s="121"/>
      <c r="AG169" s="119"/>
      <c r="AH169" s="121"/>
      <c r="AI169" s="119"/>
      <c r="AJ169" s="121"/>
      <c r="AK169" s="119"/>
      <c r="AL169" s="121"/>
      <c r="AM169" s="119"/>
      <c r="AN169" s="121"/>
    </row>
    <row r="170" spans="2:40" s="116" customFormat="1" ht="18">
      <c r="B170" s="8" t="s">
        <v>47</v>
      </c>
      <c r="C170" s="1"/>
      <c r="D170" s="1"/>
      <c r="E170" s="1"/>
      <c r="F170" s="1"/>
      <c r="G170" s="1"/>
      <c r="H170" s="211">
        <v>0</v>
      </c>
      <c r="I170" s="103"/>
      <c r="J170" s="211">
        <v>0</v>
      </c>
      <c r="K170" s="103"/>
      <c r="L170" s="211">
        <v>191.06209999999999</v>
      </c>
      <c r="M170" s="103"/>
      <c r="N170" s="211">
        <v>142.17320000000001</v>
      </c>
      <c r="O170" s="103"/>
      <c r="P170" s="211">
        <v>98.980499999999992</v>
      </c>
      <c r="Q170" s="118"/>
      <c r="R170" s="211">
        <v>160.77134999999998</v>
      </c>
      <c r="S170" s="119"/>
      <c r="T170" s="118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2:40" s="116" customFormat="1" ht="18">
      <c r="B171" s="8" t="s">
        <v>150</v>
      </c>
      <c r="C171" s="1"/>
      <c r="D171" s="1"/>
      <c r="E171" s="1"/>
      <c r="F171" s="1"/>
      <c r="G171" s="1"/>
      <c r="H171" s="103"/>
      <c r="I171" s="103"/>
      <c r="J171" s="103"/>
      <c r="K171" s="103"/>
      <c r="L171" s="103"/>
      <c r="M171" s="103"/>
      <c r="N171" s="103"/>
      <c r="O171" s="103"/>
      <c r="P171" s="103"/>
      <c r="Q171" s="118"/>
      <c r="R171" s="211">
        <v>67.725499999999997</v>
      </c>
      <c r="S171" s="119"/>
      <c r="T171" s="118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2:40" s="116" customFormat="1" ht="18">
      <c r="B172" s="8" t="s">
        <v>48</v>
      </c>
      <c r="C172" s="1"/>
      <c r="D172" s="1"/>
      <c r="E172" s="1"/>
      <c r="F172" s="1"/>
      <c r="G172" s="1"/>
      <c r="H172" s="211">
        <v>99.944749999999999</v>
      </c>
      <c r="I172" s="103"/>
      <c r="J172" s="211">
        <v>66.554149999999993</v>
      </c>
      <c r="K172" s="103"/>
      <c r="L172" s="211">
        <v>80.282599999999988</v>
      </c>
      <c r="M172" s="103"/>
      <c r="N172" s="211">
        <v>38.012349999999998</v>
      </c>
      <c r="O172" s="103"/>
      <c r="P172" s="211">
        <v>32.922249999999998</v>
      </c>
      <c r="Q172" s="13"/>
      <c r="R172" s="211">
        <v>42.581849999999996</v>
      </c>
      <c r="S172" s="123"/>
      <c r="T172" s="118"/>
      <c r="U172" s="123"/>
      <c r="V172" s="119"/>
      <c r="W172" s="123"/>
      <c r="X172" s="119"/>
      <c r="Y172" s="123"/>
      <c r="Z172" s="119"/>
      <c r="AA172" s="123"/>
      <c r="AB172" s="119"/>
      <c r="AC172" s="123"/>
      <c r="AD172" s="119"/>
      <c r="AE172" s="123"/>
      <c r="AF172" s="119"/>
      <c r="AG172" s="123"/>
      <c r="AH172" s="119"/>
      <c r="AI172" s="123"/>
      <c r="AJ172" s="119"/>
      <c r="AK172" s="123"/>
      <c r="AL172" s="119"/>
      <c r="AM172" s="123"/>
      <c r="AN172" s="119"/>
    </row>
    <row r="173" spans="2:40" s="116" customFormat="1" ht="18">
      <c r="B173" s="2" t="s">
        <v>49</v>
      </c>
      <c r="C173" s="1"/>
      <c r="D173" s="1"/>
      <c r="E173" s="1"/>
      <c r="F173" s="1"/>
      <c r="G173" s="1"/>
      <c r="H173" s="122">
        <f>SUM(H166,H169:H172)</f>
        <v>2241.1468999999997</v>
      </c>
      <c r="I173" s="103"/>
      <c r="J173" s="122">
        <f>SUM(J166,J169:J172)</f>
        <v>2225.9440499999996</v>
      </c>
      <c r="K173" s="103"/>
      <c r="L173" s="122">
        <f>SUM(L166,L169:L172)</f>
        <v>2515.1772499999997</v>
      </c>
      <c r="M173" s="103"/>
      <c r="N173" s="122">
        <f>SUM(N166,N169:N172)</f>
        <v>2370.7896000000005</v>
      </c>
      <c r="O173" s="103"/>
      <c r="P173" s="122">
        <f>SUM(P166,P169:P172)</f>
        <v>2276.9286499999998</v>
      </c>
      <c r="Q173" s="118"/>
      <c r="R173" s="120">
        <f>SUM(R166,R169:R172)</f>
        <v>2426.1356499999997</v>
      </c>
      <c r="S173" s="119"/>
      <c r="T173" s="120"/>
      <c r="U173" s="119"/>
      <c r="V173" s="121"/>
      <c r="W173" s="119"/>
      <c r="X173" s="121"/>
      <c r="Y173" s="119"/>
      <c r="Z173" s="121"/>
      <c r="AA173" s="119"/>
      <c r="AB173" s="121"/>
      <c r="AC173" s="119"/>
      <c r="AD173" s="121"/>
      <c r="AE173" s="119"/>
      <c r="AF173" s="121"/>
      <c r="AG173" s="119"/>
      <c r="AH173" s="121"/>
      <c r="AI173" s="119"/>
      <c r="AJ173" s="121"/>
      <c r="AK173" s="119"/>
      <c r="AL173" s="121"/>
      <c r="AM173" s="119"/>
      <c r="AN173" s="121"/>
    </row>
    <row r="174" spans="2:40" s="116" customFormat="1" ht="18">
      <c r="B174" s="1" t="s">
        <v>50</v>
      </c>
      <c r="C174" s="1"/>
      <c r="D174" s="1"/>
      <c r="E174" s="1"/>
      <c r="F174" s="1"/>
      <c r="G174" s="1"/>
      <c r="H174" s="103"/>
      <c r="I174" s="103"/>
      <c r="J174" s="103"/>
      <c r="K174" s="103"/>
      <c r="L174" s="103"/>
      <c r="M174" s="103"/>
      <c r="N174" s="103"/>
      <c r="O174" s="103"/>
      <c r="P174" s="103"/>
      <c r="Q174" s="118"/>
      <c r="R174" s="118"/>
      <c r="S174" s="119"/>
      <c r="T174" s="118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2:40" s="116" customFormat="1" ht="18">
      <c r="B175" s="2" t="s">
        <v>70</v>
      </c>
      <c r="C175" s="1"/>
      <c r="D175" s="1"/>
      <c r="E175" s="1"/>
      <c r="F175" s="1"/>
      <c r="G175" s="1"/>
      <c r="H175" s="103"/>
      <c r="I175" s="103"/>
      <c r="J175" s="103"/>
      <c r="K175" s="103"/>
      <c r="L175" s="103"/>
      <c r="M175" s="103"/>
      <c r="N175" s="103"/>
      <c r="O175" s="103"/>
      <c r="P175" s="103"/>
      <c r="Q175" s="118"/>
      <c r="R175" s="118"/>
      <c r="S175" s="119"/>
      <c r="T175" s="118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2:40" s="116" customFormat="1" ht="18">
      <c r="B176" s="124" t="s">
        <v>51</v>
      </c>
      <c r="C176" s="1"/>
      <c r="D176" s="1"/>
      <c r="E176" s="1"/>
      <c r="F176" s="1"/>
      <c r="G176" s="1"/>
      <c r="H176" s="103"/>
      <c r="I176" s="103"/>
      <c r="J176" s="103"/>
      <c r="K176" s="103"/>
      <c r="L176" s="103"/>
      <c r="M176" s="103"/>
      <c r="N176" s="103"/>
      <c r="O176" s="103"/>
      <c r="P176" s="103"/>
      <c r="Q176" s="118"/>
      <c r="R176" s="118"/>
      <c r="S176" s="119"/>
      <c r="T176" s="118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2:40" s="116" customFormat="1" ht="18">
      <c r="B177" s="125" t="s">
        <v>52</v>
      </c>
      <c r="C177" s="1"/>
      <c r="D177" s="1"/>
      <c r="E177" s="1"/>
      <c r="F177" s="1"/>
      <c r="G177" s="1"/>
      <c r="H177" s="211">
        <v>77.234049999999996</v>
      </c>
      <c r="I177" s="103"/>
      <c r="J177" s="211">
        <v>52.07235</v>
      </c>
      <c r="K177" s="103"/>
      <c r="L177" s="211">
        <v>65.602249999999998</v>
      </c>
      <c r="M177" s="103"/>
      <c r="N177" s="211">
        <v>47.520899999999997</v>
      </c>
      <c r="O177" s="103"/>
      <c r="P177" s="211">
        <v>83.561049999999994</v>
      </c>
      <c r="Q177" s="118"/>
      <c r="R177" s="211">
        <v>127.82439999999998</v>
      </c>
      <c r="S177" s="119"/>
      <c r="T177" s="118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2:40" s="116" customFormat="1" ht="18">
      <c r="B178" s="125" t="s">
        <v>53</v>
      </c>
      <c r="C178" s="1"/>
      <c r="D178" s="1"/>
      <c r="E178" s="1"/>
      <c r="F178" s="1"/>
      <c r="G178" s="1"/>
      <c r="H178" s="211">
        <v>68.096000000000004</v>
      </c>
      <c r="I178" s="103"/>
      <c r="J178" s="211">
        <v>81.314299999999989</v>
      </c>
      <c r="K178" s="103"/>
      <c r="L178" s="211">
        <v>59.269550000000002</v>
      </c>
      <c r="M178" s="103"/>
      <c r="N178" s="211">
        <v>82.683249999999987</v>
      </c>
      <c r="O178" s="103"/>
      <c r="P178" s="211">
        <v>87.126400000000004</v>
      </c>
      <c r="Q178" s="118"/>
      <c r="R178" s="211">
        <v>192.95639999999997</v>
      </c>
      <c r="S178" s="119"/>
      <c r="T178" s="118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2:40" s="116" customFormat="1" ht="18">
      <c r="B179" s="125" t="s">
        <v>34</v>
      </c>
      <c r="C179" s="1"/>
      <c r="D179" s="1"/>
      <c r="E179" s="1"/>
      <c r="F179" s="1"/>
      <c r="G179" s="1"/>
      <c r="H179" s="211">
        <v>2.6590499999999997</v>
      </c>
      <c r="I179" s="103"/>
      <c r="J179" s="211">
        <v>3.6375500000000001</v>
      </c>
      <c r="K179" s="103"/>
      <c r="L179" s="211">
        <v>0</v>
      </c>
      <c r="M179" s="103"/>
      <c r="N179" s="211">
        <v>0</v>
      </c>
      <c r="O179" s="103"/>
      <c r="P179" s="211">
        <v>0</v>
      </c>
      <c r="Q179" s="118"/>
      <c r="R179" s="211">
        <v>0</v>
      </c>
      <c r="S179" s="119"/>
      <c r="T179" s="118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2:40" s="116" customFormat="1" ht="18">
      <c r="B180" s="125" t="s">
        <v>54</v>
      </c>
      <c r="C180" s="1"/>
      <c r="D180" s="1"/>
      <c r="E180" s="1"/>
      <c r="F180" s="1"/>
      <c r="G180" s="1"/>
      <c r="H180" s="211">
        <v>104.36794999999999</v>
      </c>
      <c r="I180" s="103"/>
      <c r="J180" s="211">
        <v>44.889400000000002</v>
      </c>
      <c r="K180" s="103"/>
      <c r="L180" s="211">
        <v>94.744449999999986</v>
      </c>
      <c r="M180" s="103"/>
      <c r="N180" s="211">
        <v>86.118449999999996</v>
      </c>
      <c r="O180" s="103"/>
      <c r="P180" s="211">
        <v>40.729349999999997</v>
      </c>
      <c r="Q180" s="118"/>
      <c r="R180" s="211">
        <v>45.877400000000002</v>
      </c>
      <c r="S180" s="119"/>
      <c r="T180" s="118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2:40" s="116" customFormat="1" ht="18">
      <c r="B181" s="125" t="s">
        <v>55</v>
      </c>
      <c r="C181" s="1"/>
      <c r="D181" s="1"/>
      <c r="E181" s="1"/>
      <c r="F181" s="1"/>
      <c r="G181" s="1"/>
      <c r="H181" s="211">
        <v>0</v>
      </c>
      <c r="I181" s="103"/>
      <c r="J181" s="211">
        <v>0</v>
      </c>
      <c r="K181" s="103"/>
      <c r="L181" s="211">
        <v>51.095749999999995</v>
      </c>
      <c r="M181" s="103"/>
      <c r="N181" s="211">
        <v>49.019049999999993</v>
      </c>
      <c r="O181" s="103"/>
      <c r="P181" s="211">
        <v>52.952049999999993</v>
      </c>
      <c r="Q181" s="13"/>
      <c r="R181" s="211">
        <v>59.528899999999993</v>
      </c>
      <c r="S181" s="123"/>
      <c r="T181" s="118"/>
      <c r="U181" s="123"/>
      <c r="V181" s="119"/>
      <c r="W181" s="123"/>
      <c r="X181" s="119"/>
      <c r="Y181" s="123"/>
      <c r="Z181" s="119"/>
      <c r="AA181" s="123"/>
      <c r="AB181" s="119"/>
      <c r="AC181" s="123"/>
      <c r="AD181" s="119"/>
      <c r="AE181" s="123"/>
      <c r="AF181" s="119"/>
      <c r="AG181" s="123"/>
      <c r="AH181" s="119"/>
      <c r="AI181" s="123"/>
      <c r="AJ181" s="119"/>
      <c r="AK181" s="123"/>
      <c r="AL181" s="119"/>
      <c r="AM181" s="123"/>
      <c r="AN181" s="119"/>
    </row>
    <row r="182" spans="2:40" s="116" customFormat="1" ht="18">
      <c r="B182" s="124" t="s">
        <v>56</v>
      </c>
      <c r="C182" s="1"/>
      <c r="D182" s="1"/>
      <c r="E182" s="1"/>
      <c r="F182" s="1"/>
      <c r="G182" s="1"/>
      <c r="H182" s="122">
        <f>SUM(H177:H181)</f>
        <v>252.35705000000002</v>
      </c>
      <c r="I182" s="103"/>
      <c r="J182" s="122">
        <f>SUM(J177:J181)</f>
        <v>181.91359999999997</v>
      </c>
      <c r="K182" s="103"/>
      <c r="L182" s="122">
        <f>SUM(L177:L181)</f>
        <v>270.71199999999999</v>
      </c>
      <c r="M182" s="103"/>
      <c r="N182" s="122">
        <f>SUM(N177:N181)</f>
        <v>265.34164999999996</v>
      </c>
      <c r="O182" s="103"/>
      <c r="P182" s="122">
        <f>SUM(P177:P181)</f>
        <v>264.36885000000001</v>
      </c>
      <c r="Q182" s="118"/>
      <c r="R182" s="120">
        <f>SUM(R177:R181)</f>
        <v>426.18709999999999</v>
      </c>
      <c r="S182" s="119"/>
      <c r="T182" s="120"/>
      <c r="U182" s="119"/>
      <c r="V182" s="121"/>
      <c r="W182" s="119"/>
      <c r="X182" s="121"/>
      <c r="Y182" s="119"/>
      <c r="Z182" s="121"/>
      <c r="AA182" s="119"/>
      <c r="AB182" s="121"/>
      <c r="AC182" s="119"/>
      <c r="AD182" s="121"/>
      <c r="AE182" s="119"/>
      <c r="AF182" s="121"/>
      <c r="AG182" s="119"/>
      <c r="AH182" s="121"/>
      <c r="AI182" s="119"/>
      <c r="AJ182" s="121"/>
      <c r="AK182" s="119"/>
      <c r="AL182" s="121"/>
      <c r="AM182" s="119"/>
      <c r="AN182" s="121"/>
    </row>
    <row r="183" spans="2:40" s="116" customFormat="1" ht="18">
      <c r="B183" s="109" t="s">
        <v>57</v>
      </c>
      <c r="C183" s="1"/>
      <c r="D183" s="1"/>
      <c r="E183" s="1"/>
      <c r="F183" s="1"/>
      <c r="G183" s="1"/>
      <c r="H183" s="211">
        <v>366.47770000000003</v>
      </c>
      <c r="I183" s="103"/>
      <c r="J183" s="211">
        <v>373.40984999999995</v>
      </c>
      <c r="K183" s="103"/>
      <c r="L183" s="211">
        <v>290.8159</v>
      </c>
      <c r="M183" s="103"/>
      <c r="N183" s="211">
        <v>245.96639999999996</v>
      </c>
      <c r="O183" s="103"/>
      <c r="P183" s="211">
        <v>249.03014999999999</v>
      </c>
      <c r="Q183" s="118"/>
      <c r="R183" s="211">
        <v>297.75849999999997</v>
      </c>
      <c r="S183" s="119"/>
      <c r="T183" s="118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2:40" s="116" customFormat="1" ht="18">
      <c r="B184" s="109" t="s">
        <v>58</v>
      </c>
      <c r="C184" s="1"/>
      <c r="D184" s="1"/>
      <c r="E184" s="1"/>
      <c r="F184" s="1"/>
      <c r="G184" s="1"/>
      <c r="H184" s="211">
        <v>0</v>
      </c>
      <c r="I184" s="103"/>
      <c r="J184" s="211">
        <v>0</v>
      </c>
      <c r="K184" s="103"/>
      <c r="L184" s="211">
        <v>144.23564999999999</v>
      </c>
      <c r="M184" s="103"/>
      <c r="N184" s="211">
        <v>95.958550000000002</v>
      </c>
      <c r="O184" s="103"/>
      <c r="P184" s="211">
        <v>47.688099999999999</v>
      </c>
      <c r="Q184" s="118"/>
      <c r="R184" s="211">
        <v>110.37575</v>
      </c>
      <c r="S184" s="119"/>
      <c r="T184" s="118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2:40" s="116" customFormat="1" ht="18">
      <c r="B185" s="109" t="s">
        <v>59</v>
      </c>
      <c r="C185" s="1"/>
      <c r="D185" s="1"/>
      <c r="E185" s="1"/>
      <c r="F185" s="1"/>
      <c r="G185" s="1"/>
      <c r="H185" s="211">
        <v>98.181550000000001</v>
      </c>
      <c r="I185" s="103"/>
      <c r="J185" s="211">
        <v>100.56889999999999</v>
      </c>
      <c r="K185" s="103"/>
      <c r="L185" s="211">
        <v>106.5254</v>
      </c>
      <c r="M185" s="103"/>
      <c r="N185" s="211">
        <v>105.27995</v>
      </c>
      <c r="O185" s="103"/>
      <c r="P185" s="211">
        <v>82.617699999999985</v>
      </c>
      <c r="Q185" s="118"/>
      <c r="R185" s="211">
        <v>105.02725</v>
      </c>
      <c r="S185" s="119"/>
      <c r="T185" s="118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2:40" s="116" customFormat="1" ht="18">
      <c r="B186" s="109" t="s">
        <v>60</v>
      </c>
      <c r="C186" s="1"/>
      <c r="D186" s="1"/>
      <c r="E186" s="1"/>
      <c r="F186" s="1"/>
      <c r="G186" s="1"/>
      <c r="H186" s="211">
        <v>38.655499999999996</v>
      </c>
      <c r="I186" s="103"/>
      <c r="J186" s="211">
        <v>37.561099999999996</v>
      </c>
      <c r="K186" s="103"/>
      <c r="L186" s="211">
        <v>36.711799999999997</v>
      </c>
      <c r="M186" s="103"/>
      <c r="N186" s="211">
        <v>3.6840999999999999</v>
      </c>
      <c r="O186" s="103"/>
      <c r="P186" s="211">
        <v>0.92624999999999991</v>
      </c>
      <c r="Q186" s="13"/>
      <c r="R186" s="211">
        <v>62.935600000000001</v>
      </c>
      <c r="S186" s="123"/>
      <c r="T186" s="118"/>
      <c r="U186" s="123"/>
      <c r="V186" s="119"/>
      <c r="W186" s="123"/>
      <c r="X186" s="119"/>
      <c r="Y186" s="123"/>
      <c r="Z186" s="119"/>
      <c r="AA186" s="123"/>
      <c r="AB186" s="119"/>
      <c r="AC186" s="123"/>
      <c r="AD186" s="119"/>
      <c r="AE186" s="123"/>
      <c r="AF186" s="119"/>
      <c r="AG186" s="123"/>
      <c r="AH186" s="119"/>
      <c r="AI186" s="123"/>
      <c r="AJ186" s="119"/>
      <c r="AK186" s="123"/>
      <c r="AL186" s="119"/>
      <c r="AM186" s="123"/>
      <c r="AN186" s="119"/>
    </row>
    <row r="187" spans="2:40" s="116" customFormat="1" ht="18">
      <c r="B187" s="117" t="s">
        <v>61</v>
      </c>
      <c r="C187" s="1"/>
      <c r="D187" s="1"/>
      <c r="E187" s="1"/>
      <c r="F187" s="1"/>
      <c r="G187" s="1"/>
      <c r="H187" s="122">
        <f>SUM(H182:H186)</f>
        <v>755.67179999999996</v>
      </c>
      <c r="I187" s="103"/>
      <c r="J187" s="122">
        <f>SUM(J182:J186)</f>
        <v>693.45344999999986</v>
      </c>
      <c r="K187" s="103"/>
      <c r="L187" s="122">
        <f>SUM(L182:L186)</f>
        <v>849.00075000000004</v>
      </c>
      <c r="M187" s="103"/>
      <c r="N187" s="122">
        <f>SUM(N182:N186)</f>
        <v>716.23064999999986</v>
      </c>
      <c r="O187" s="103"/>
      <c r="P187" s="122">
        <f>SUM(P182:P186)</f>
        <v>644.63104999999996</v>
      </c>
      <c r="Q187" s="118"/>
      <c r="R187" s="120">
        <f>SUM(R182:R186)</f>
        <v>1002.2842000000001</v>
      </c>
      <c r="S187" s="119"/>
      <c r="T187" s="120"/>
      <c r="U187" s="119"/>
      <c r="V187" s="121"/>
      <c r="W187" s="119"/>
      <c r="X187" s="121"/>
      <c r="Y187" s="119"/>
      <c r="Z187" s="121"/>
      <c r="AA187" s="119"/>
      <c r="AB187" s="121"/>
      <c r="AC187" s="119"/>
      <c r="AD187" s="121"/>
      <c r="AE187" s="119"/>
      <c r="AF187" s="121"/>
      <c r="AG187" s="119"/>
      <c r="AH187" s="121"/>
      <c r="AI187" s="119"/>
      <c r="AJ187" s="121"/>
      <c r="AK187" s="119"/>
      <c r="AL187" s="121"/>
      <c r="AM187" s="119"/>
      <c r="AN187" s="121"/>
    </row>
    <row r="188" spans="2:40" s="116" customFormat="1" ht="18">
      <c r="B188" s="109" t="s">
        <v>62</v>
      </c>
      <c r="C188" s="1"/>
      <c r="D188" s="1"/>
      <c r="E188" s="1"/>
      <c r="F188" s="1"/>
      <c r="G188" s="1"/>
      <c r="H188" s="211">
        <v>0</v>
      </c>
      <c r="I188" s="103"/>
      <c r="J188" s="211">
        <v>0</v>
      </c>
      <c r="K188" s="103"/>
      <c r="L188" s="211">
        <v>3.2822499999999999</v>
      </c>
      <c r="M188" s="103"/>
      <c r="N188" s="211">
        <v>3.6622499999999998</v>
      </c>
      <c r="O188" s="103"/>
      <c r="P188" s="211">
        <v>0</v>
      </c>
      <c r="Q188" s="118"/>
      <c r="R188" s="118"/>
      <c r="S188" s="119"/>
      <c r="T188" s="118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2:40" s="116" customFormat="1" ht="18">
      <c r="B189" s="124" t="s">
        <v>63</v>
      </c>
      <c r="C189" s="1"/>
      <c r="D189" s="1"/>
      <c r="E189" s="1"/>
      <c r="F189" s="1"/>
      <c r="G189" s="1"/>
      <c r="H189" s="103"/>
      <c r="I189" s="103"/>
      <c r="J189" s="103"/>
      <c r="K189" s="103"/>
      <c r="L189" s="103"/>
      <c r="M189" s="103"/>
      <c r="N189" s="103"/>
      <c r="O189" s="103"/>
      <c r="P189" s="103"/>
      <c r="Q189" s="118"/>
      <c r="R189" s="118"/>
      <c r="S189" s="119"/>
      <c r="T189" s="118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2:40" s="116" customFormat="1" ht="18">
      <c r="B190" s="125" t="s">
        <v>71</v>
      </c>
      <c r="C190" s="1"/>
      <c r="D190" s="1"/>
      <c r="E190" s="1"/>
      <c r="F190" s="1"/>
      <c r="G190" s="1"/>
      <c r="H190" s="211">
        <v>1216.5120499999998</v>
      </c>
      <c r="I190" s="103"/>
      <c r="J190" s="211">
        <v>1238.8741</v>
      </c>
      <c r="K190" s="103"/>
      <c r="L190" s="211">
        <v>1249.8722499999999</v>
      </c>
      <c r="M190" s="103"/>
      <c r="N190" s="211">
        <v>1258.6378999999999</v>
      </c>
      <c r="O190" s="103"/>
      <c r="P190" s="211">
        <v>1225.1256999999998</v>
      </c>
      <c r="Q190" s="118"/>
      <c r="R190" s="211">
        <v>1205.8881999999999</v>
      </c>
      <c r="S190" s="119"/>
      <c r="T190" s="118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2:40" s="116" customFormat="1" ht="18">
      <c r="B191" s="125" t="s">
        <v>64</v>
      </c>
      <c r="C191" s="1"/>
      <c r="D191" s="1"/>
      <c r="E191" s="1"/>
      <c r="F191" s="1"/>
      <c r="G191" s="1"/>
      <c r="H191" s="211">
        <v>335.26069999999999</v>
      </c>
      <c r="I191" s="103"/>
      <c r="J191" s="211">
        <v>363.88229999999999</v>
      </c>
      <c r="K191" s="103"/>
      <c r="L191" s="211">
        <v>423.10149999999999</v>
      </c>
      <c r="M191" s="103"/>
      <c r="N191" s="211">
        <v>441.2978</v>
      </c>
      <c r="O191" s="103"/>
      <c r="P191" s="211">
        <v>390.51839999999999</v>
      </c>
      <c r="Q191" s="118"/>
      <c r="R191" s="211">
        <v>296.82749999999999</v>
      </c>
      <c r="S191" s="119"/>
      <c r="T191" s="118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2:40" s="116" customFormat="1" ht="18">
      <c r="B192" s="125" t="s">
        <v>65</v>
      </c>
      <c r="C192" s="1"/>
      <c r="D192" s="1"/>
      <c r="E192" s="1"/>
      <c r="F192" s="1"/>
      <c r="G192" s="1"/>
      <c r="H192" s="211">
        <v>-66.297650000000004</v>
      </c>
      <c r="I192" s="103"/>
      <c r="J192" s="211">
        <v>-70.265799999999999</v>
      </c>
      <c r="K192" s="103"/>
      <c r="L192" s="211">
        <v>-61.502999999999993</v>
      </c>
      <c r="M192" s="103"/>
      <c r="N192" s="211">
        <v>-49.038999999999994</v>
      </c>
      <c r="O192" s="103"/>
      <c r="P192" s="211">
        <v>-53.277899999999995</v>
      </c>
      <c r="Q192" s="118"/>
      <c r="R192" s="211">
        <v>-78.864249999999998</v>
      </c>
      <c r="S192" s="121"/>
      <c r="T192" s="118"/>
      <c r="U192" s="121"/>
      <c r="V192" s="119"/>
      <c r="W192" s="121"/>
      <c r="X192" s="119"/>
      <c r="Y192" s="121"/>
      <c r="Z192" s="119"/>
      <c r="AA192" s="121"/>
      <c r="AB192" s="119"/>
      <c r="AC192" s="121"/>
      <c r="AD192" s="119"/>
      <c r="AE192" s="121"/>
      <c r="AF192" s="119"/>
      <c r="AG192" s="121"/>
      <c r="AH192" s="119"/>
      <c r="AI192" s="121"/>
      <c r="AJ192" s="119"/>
      <c r="AK192" s="121"/>
      <c r="AL192" s="119"/>
      <c r="AM192" s="121"/>
      <c r="AN192" s="119"/>
    </row>
    <row r="193" spans="2:40" s="116" customFormat="1" ht="18">
      <c r="B193" s="117" t="s">
        <v>66</v>
      </c>
      <c r="C193" s="1"/>
      <c r="D193" s="1"/>
      <c r="E193" s="1"/>
      <c r="F193" s="1"/>
      <c r="G193" s="1"/>
      <c r="H193" s="122">
        <f>SUM(H190:H192)</f>
        <v>1485.4750999999999</v>
      </c>
      <c r="I193" s="103"/>
      <c r="J193" s="122">
        <f>SUM(J190:J192)</f>
        <v>1532.4906000000001</v>
      </c>
      <c r="K193" s="103"/>
      <c r="L193" s="122">
        <f>SUM(L190:L192)</f>
        <v>1611.47075</v>
      </c>
      <c r="M193" s="103"/>
      <c r="N193" s="122">
        <f>SUM(N190:N192)</f>
        <v>1650.8967</v>
      </c>
      <c r="O193" s="103"/>
      <c r="P193" s="122">
        <f>SUM(P190:P192)</f>
        <v>1562.3661999999997</v>
      </c>
      <c r="Q193" s="118"/>
      <c r="R193" s="120">
        <f>SUM(R190:R192)</f>
        <v>1423.8514499999997</v>
      </c>
      <c r="S193" s="119"/>
      <c r="T193" s="120"/>
      <c r="U193" s="119"/>
      <c r="V193" s="121"/>
      <c r="W193" s="119"/>
      <c r="X193" s="121"/>
      <c r="Y193" s="119"/>
      <c r="Z193" s="121"/>
      <c r="AA193" s="119"/>
      <c r="AB193" s="121"/>
      <c r="AC193" s="119"/>
      <c r="AD193" s="121"/>
      <c r="AE193" s="119"/>
      <c r="AF193" s="121"/>
      <c r="AG193" s="119"/>
      <c r="AH193" s="121"/>
      <c r="AI193" s="119"/>
      <c r="AJ193" s="121"/>
      <c r="AK193" s="119"/>
      <c r="AL193" s="121"/>
      <c r="AM193" s="119"/>
      <c r="AN193" s="121"/>
    </row>
    <row r="194" spans="2:40" s="116" customFormat="1" ht="18">
      <c r="B194" s="2" t="s">
        <v>67</v>
      </c>
      <c r="C194" s="1"/>
      <c r="D194" s="1"/>
      <c r="E194" s="1"/>
      <c r="F194" s="1"/>
      <c r="G194" s="1"/>
      <c r="H194" s="122">
        <f>SUM(H187,H188,H193)</f>
        <v>2241.1468999999997</v>
      </c>
      <c r="I194" s="103"/>
      <c r="J194" s="122">
        <f>SUM(J187,J188,J193)</f>
        <v>2225.9440500000001</v>
      </c>
      <c r="K194" s="103"/>
      <c r="L194" s="122">
        <f>SUM(L187,L188,L193)</f>
        <v>2463.7537499999999</v>
      </c>
      <c r="M194" s="103"/>
      <c r="N194" s="122">
        <f>SUM(N187,N188,N193)</f>
        <v>2370.7896000000001</v>
      </c>
      <c r="O194" s="103"/>
      <c r="P194" s="122">
        <f>SUM(P187,P188,P193)</f>
        <v>2206.9972499999994</v>
      </c>
      <c r="Q194" s="118"/>
      <c r="R194" s="120">
        <f>SUM(R187,R188,R193)</f>
        <v>2426.1356499999997</v>
      </c>
      <c r="S194" s="119"/>
      <c r="T194" s="120"/>
      <c r="U194" s="119"/>
      <c r="V194" s="121"/>
      <c r="W194" s="119"/>
      <c r="X194" s="121"/>
      <c r="Y194" s="119"/>
      <c r="Z194" s="121"/>
      <c r="AA194" s="119"/>
      <c r="AB194" s="121"/>
      <c r="AC194" s="119"/>
      <c r="AD194" s="121"/>
      <c r="AE194" s="119"/>
      <c r="AF194" s="121"/>
      <c r="AG194" s="119"/>
      <c r="AH194" s="121"/>
      <c r="AI194" s="119"/>
      <c r="AJ194" s="121"/>
      <c r="AK194" s="119"/>
      <c r="AL194" s="121"/>
      <c r="AM194" s="119"/>
      <c r="AN194" s="121"/>
    </row>
    <row r="195" spans="2:40" s="116" customFormat="1" ht="18">
      <c r="B195" s="1"/>
      <c r="C195" s="1"/>
      <c r="D195" s="1"/>
      <c r="E195" s="1"/>
      <c r="F195" s="1"/>
      <c r="G195" s="1"/>
      <c r="H195" s="103"/>
      <c r="I195" s="103"/>
      <c r="J195" s="103"/>
      <c r="K195" s="103"/>
      <c r="L195" s="103"/>
      <c r="M195" s="103"/>
      <c r="N195" s="103"/>
      <c r="O195" s="103"/>
      <c r="P195" s="103"/>
      <c r="Q195" s="118"/>
      <c r="R195" s="118"/>
      <c r="S195" s="119"/>
      <c r="T195" s="118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2:40" s="116" customFormat="1" ht="18">
      <c r="B196" s="2" t="s">
        <v>72</v>
      </c>
      <c r="C196" s="1"/>
      <c r="D196" s="1"/>
      <c r="E196" s="1"/>
      <c r="F196" s="1"/>
      <c r="G196" s="1"/>
      <c r="H196" s="103"/>
      <c r="I196" s="103"/>
      <c r="J196" s="103"/>
      <c r="K196" s="103"/>
      <c r="L196" s="103"/>
      <c r="M196" s="103"/>
      <c r="N196" s="103"/>
      <c r="O196" s="103"/>
      <c r="P196" s="103"/>
      <c r="Q196" s="118"/>
      <c r="R196" s="118"/>
      <c r="S196" s="119"/>
      <c r="T196" s="118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2:40" s="116" customFormat="1" ht="18">
      <c r="B197" s="1" t="s">
        <v>73</v>
      </c>
      <c r="C197" s="1"/>
      <c r="D197" s="1"/>
      <c r="E197" s="1"/>
      <c r="F197" s="1"/>
      <c r="G197" s="1"/>
      <c r="H197" s="211">
        <v>552.31385</v>
      </c>
      <c r="I197" s="103"/>
      <c r="J197" s="211">
        <v>702.82709999999997</v>
      </c>
      <c r="K197" s="103"/>
      <c r="L197" s="211">
        <v>714.31354999999996</v>
      </c>
      <c r="M197" s="103"/>
      <c r="N197" s="211">
        <v>696.87724999999989</v>
      </c>
      <c r="O197" s="103"/>
      <c r="P197" s="211">
        <v>640.99159999999995</v>
      </c>
      <c r="Q197" s="118"/>
      <c r="R197" s="211">
        <v>1225.2416000000001</v>
      </c>
      <c r="S197" s="119"/>
      <c r="T197" s="118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2:40" s="116" customFormat="1" ht="18">
      <c r="B198" s="1" t="s">
        <v>74</v>
      </c>
      <c r="C198" s="1"/>
      <c r="D198" s="1"/>
      <c r="E198" s="1"/>
      <c r="F198" s="1"/>
      <c r="G198" s="1"/>
      <c r="H198" s="211">
        <v>493.25614999999993</v>
      </c>
      <c r="I198" s="103"/>
      <c r="J198" s="211">
        <v>587.22730000000001</v>
      </c>
      <c r="K198" s="103"/>
      <c r="L198" s="211">
        <v>583.36744999999996</v>
      </c>
      <c r="M198" s="103"/>
      <c r="N198" s="211">
        <v>620.9636999999999</v>
      </c>
      <c r="O198" s="103"/>
      <c r="P198" s="211">
        <v>626.36824999999999</v>
      </c>
      <c r="Q198" s="13"/>
      <c r="R198" s="211">
        <v>1034.9033999999999</v>
      </c>
      <c r="S198" s="123"/>
      <c r="T198" s="118"/>
      <c r="U198" s="123"/>
      <c r="V198" s="119"/>
      <c r="W198" s="123"/>
      <c r="X198" s="119"/>
      <c r="Y198" s="123"/>
      <c r="Z198" s="119"/>
      <c r="AA198" s="123"/>
      <c r="AB198" s="119"/>
      <c r="AC198" s="123"/>
      <c r="AD198" s="119"/>
      <c r="AE198" s="123"/>
      <c r="AF198" s="119"/>
      <c r="AG198" s="123"/>
      <c r="AH198" s="119"/>
      <c r="AI198" s="123"/>
      <c r="AJ198" s="119"/>
      <c r="AK198" s="123"/>
      <c r="AL198" s="119"/>
      <c r="AM198" s="123"/>
      <c r="AN198" s="119"/>
    </row>
    <row r="199" spans="2:40" s="116" customFormat="1" ht="18">
      <c r="B199" s="2" t="s">
        <v>75</v>
      </c>
      <c r="C199" s="1"/>
      <c r="D199" s="1"/>
      <c r="E199" s="1"/>
      <c r="F199" s="1"/>
      <c r="G199" s="1"/>
      <c r="H199" s="122">
        <f>H197-H198</f>
        <v>59.057700000000068</v>
      </c>
      <c r="I199" s="103"/>
      <c r="J199" s="122">
        <f>J197-J198</f>
        <v>115.59979999999996</v>
      </c>
      <c r="K199" s="103"/>
      <c r="L199" s="122">
        <f>L197-L198</f>
        <v>130.9461</v>
      </c>
      <c r="M199" s="103"/>
      <c r="N199" s="122">
        <f>N197-N198</f>
        <v>75.913549999999987</v>
      </c>
      <c r="O199" s="103"/>
      <c r="P199" s="122">
        <f>P197-P198</f>
        <v>14.623349999999959</v>
      </c>
      <c r="Q199" s="118"/>
      <c r="R199" s="120">
        <f>R197-R198</f>
        <v>190.33820000000014</v>
      </c>
      <c r="S199" s="119"/>
      <c r="T199" s="120"/>
      <c r="U199" s="119"/>
      <c r="V199" s="121"/>
      <c r="W199" s="119"/>
      <c r="X199" s="121"/>
      <c r="Y199" s="119"/>
      <c r="Z199" s="121"/>
      <c r="AA199" s="119"/>
      <c r="AB199" s="121"/>
      <c r="AC199" s="119"/>
      <c r="AD199" s="121"/>
      <c r="AE199" s="119"/>
      <c r="AF199" s="121"/>
      <c r="AG199" s="119"/>
      <c r="AH199" s="121"/>
      <c r="AI199" s="119"/>
      <c r="AJ199" s="121"/>
      <c r="AK199" s="119"/>
      <c r="AL199" s="121"/>
      <c r="AM199" s="119"/>
      <c r="AN199" s="121"/>
    </row>
    <row r="200" spans="2:40" s="116" customFormat="1" ht="18">
      <c r="B200" s="8" t="s">
        <v>76</v>
      </c>
      <c r="C200" s="1"/>
      <c r="D200" s="1"/>
      <c r="E200" s="1"/>
      <c r="F200" s="1"/>
      <c r="G200" s="1"/>
      <c r="H200" s="211">
        <v>-3.705E-2</v>
      </c>
      <c r="I200" s="103"/>
      <c r="J200" s="211">
        <v>0.13869999999999999</v>
      </c>
      <c r="K200" s="103"/>
      <c r="L200" s="211">
        <v>0</v>
      </c>
      <c r="M200" s="103"/>
      <c r="N200" s="211">
        <v>0.84455000000000002</v>
      </c>
      <c r="O200" s="103"/>
      <c r="P200" s="211">
        <v>-0.59944999999999993</v>
      </c>
      <c r="Q200" s="118"/>
      <c r="R200" s="211">
        <v>0.34864999999999996</v>
      </c>
      <c r="S200" s="119"/>
      <c r="T200" s="118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2:40" s="116" customFormat="1" ht="18">
      <c r="B201" s="8" t="s">
        <v>151</v>
      </c>
      <c r="C201" s="1"/>
      <c r="D201" s="1"/>
      <c r="E201" s="1"/>
      <c r="F201" s="1"/>
      <c r="G201" s="1"/>
      <c r="H201" s="103"/>
      <c r="I201" s="103"/>
      <c r="J201" s="103"/>
      <c r="K201" s="103"/>
      <c r="L201" s="103"/>
      <c r="M201" s="103"/>
      <c r="N201" s="103"/>
      <c r="O201" s="103"/>
      <c r="P201" s="103"/>
      <c r="Q201" s="118"/>
      <c r="R201" s="211">
        <v>-0.51300000000000001</v>
      </c>
      <c r="S201" s="119"/>
      <c r="T201" s="118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2:40" s="116" customFormat="1" ht="18">
      <c r="B202" s="8" t="s">
        <v>152</v>
      </c>
      <c r="C202" s="1"/>
      <c r="D202" s="1"/>
      <c r="E202" s="1"/>
      <c r="F202" s="1"/>
      <c r="G202" s="1"/>
      <c r="H202" s="103"/>
      <c r="I202" s="103"/>
      <c r="J202" s="103"/>
      <c r="K202" s="103"/>
      <c r="L202" s="103"/>
      <c r="M202" s="103"/>
      <c r="N202" s="103"/>
      <c r="O202" s="103"/>
      <c r="P202" s="103"/>
      <c r="Q202" s="118"/>
      <c r="R202" s="211">
        <v>-40.133699999999997</v>
      </c>
      <c r="S202" s="119"/>
      <c r="T202" s="118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2:40" s="116" customFormat="1" ht="18">
      <c r="B203" s="8" t="s">
        <v>78</v>
      </c>
      <c r="C203" s="1"/>
      <c r="D203" s="1"/>
      <c r="E203" s="1"/>
      <c r="F203" s="1"/>
      <c r="G203" s="1"/>
      <c r="H203" s="211">
        <v>-60.094149999999992</v>
      </c>
      <c r="I203" s="103"/>
      <c r="J203" s="211">
        <v>-66.772649999999999</v>
      </c>
      <c r="K203" s="103"/>
      <c r="L203" s="211">
        <v>-66.348949999999988</v>
      </c>
      <c r="M203" s="103"/>
      <c r="N203" s="211">
        <v>-58.029800000000002</v>
      </c>
      <c r="O203" s="103"/>
      <c r="P203" s="211">
        <v>-60.276549999999993</v>
      </c>
      <c r="Q203" s="13"/>
      <c r="R203" s="211">
        <v>-89.705650000000006</v>
      </c>
      <c r="S203" s="119"/>
      <c r="T203" s="118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2:40" s="116" customFormat="1" ht="18">
      <c r="B204" s="8" t="s">
        <v>77</v>
      </c>
      <c r="C204" s="1"/>
      <c r="D204" s="1"/>
      <c r="E204" s="1"/>
      <c r="F204" s="1"/>
      <c r="G204" s="1"/>
      <c r="H204" s="211">
        <v>0</v>
      </c>
      <c r="I204" s="103"/>
      <c r="J204" s="211">
        <v>0</v>
      </c>
      <c r="K204" s="103"/>
      <c r="L204" s="211">
        <v>0</v>
      </c>
      <c r="M204" s="103"/>
      <c r="N204" s="211">
        <v>-6.3545499999999997</v>
      </c>
      <c r="O204" s="103"/>
      <c r="P204" s="211">
        <v>0</v>
      </c>
      <c r="Q204" s="118"/>
      <c r="R204" s="211">
        <v>0</v>
      </c>
      <c r="S204" s="126"/>
      <c r="T204" s="118"/>
      <c r="U204" s="126"/>
      <c r="V204" s="119"/>
      <c r="W204" s="126"/>
      <c r="X204" s="119"/>
      <c r="Y204" s="126"/>
      <c r="Z204" s="119"/>
      <c r="AA204" s="126"/>
      <c r="AB204" s="119"/>
      <c r="AC204" s="126"/>
      <c r="AD204" s="119"/>
      <c r="AE204" s="126"/>
      <c r="AF204" s="119"/>
      <c r="AG204" s="126"/>
      <c r="AH204" s="119"/>
      <c r="AI204" s="126"/>
      <c r="AJ204" s="119"/>
      <c r="AK204" s="126"/>
      <c r="AL204" s="119"/>
      <c r="AM204" s="126"/>
      <c r="AN204" s="119"/>
    </row>
    <row r="205" spans="2:40" s="116" customFormat="1" ht="18">
      <c r="B205" s="2" t="s">
        <v>79</v>
      </c>
      <c r="C205" s="1"/>
      <c r="D205" s="1"/>
      <c r="E205" s="1"/>
      <c r="F205" s="1"/>
      <c r="G205" s="1"/>
      <c r="H205" s="122">
        <f>SUM(H199:H204)</f>
        <v>-1.0734999999999246</v>
      </c>
      <c r="I205" s="103"/>
      <c r="J205" s="122">
        <f>SUM(J199:J204)</f>
        <v>48.965849999999961</v>
      </c>
      <c r="K205" s="103"/>
      <c r="L205" s="122">
        <f>SUM(L199:L204)</f>
        <v>64.597150000000013</v>
      </c>
      <c r="M205" s="103"/>
      <c r="N205" s="122">
        <f>SUM(N199:N204)</f>
        <v>12.373749999999983</v>
      </c>
      <c r="O205" s="103"/>
      <c r="P205" s="122">
        <f>SUM(P199:P204)</f>
        <v>-46.252650000000031</v>
      </c>
      <c r="Q205" s="118"/>
      <c r="R205" s="120">
        <f>SUM(R199:R204)</f>
        <v>60.334500000000119</v>
      </c>
      <c r="S205" s="119"/>
      <c r="T205" s="120"/>
      <c r="U205" s="119"/>
      <c r="V205" s="121"/>
      <c r="W205" s="119"/>
      <c r="X205" s="121"/>
      <c r="Y205" s="119"/>
      <c r="Z205" s="121"/>
      <c r="AA205" s="119"/>
      <c r="AB205" s="121"/>
      <c r="AC205" s="119"/>
      <c r="AD205" s="121"/>
      <c r="AE205" s="119"/>
      <c r="AF205" s="121"/>
      <c r="AG205" s="119"/>
      <c r="AH205" s="121"/>
      <c r="AI205" s="119"/>
      <c r="AJ205" s="121"/>
      <c r="AK205" s="119"/>
      <c r="AL205" s="121"/>
      <c r="AM205" s="119"/>
      <c r="AN205" s="121"/>
    </row>
    <row r="206" spans="2:40" s="116" customFormat="1" ht="18">
      <c r="B206" s="8" t="s">
        <v>81</v>
      </c>
      <c r="C206" s="1"/>
      <c r="D206" s="1"/>
      <c r="E206" s="1"/>
      <c r="F206" s="1"/>
      <c r="G206" s="1"/>
      <c r="H206" s="211">
        <v>-17.839099999999998</v>
      </c>
      <c r="I206" s="103"/>
      <c r="J206" s="211">
        <v>-13.06345</v>
      </c>
      <c r="K206" s="103"/>
      <c r="L206" s="211">
        <v>-7.9163499999999996</v>
      </c>
      <c r="M206" s="103"/>
      <c r="N206" s="211">
        <v>-27.104449999999996</v>
      </c>
      <c r="O206" s="103"/>
      <c r="P206" s="211">
        <v>-22.040949999999999</v>
      </c>
      <c r="Q206" s="118"/>
      <c r="R206" s="211">
        <v>-16.4711</v>
      </c>
      <c r="S206" s="119"/>
      <c r="T206" s="118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2:40" s="116" customFormat="1" ht="18">
      <c r="B207" s="8" t="s">
        <v>153</v>
      </c>
      <c r="C207" s="1"/>
      <c r="D207" s="1"/>
      <c r="E207" s="1"/>
      <c r="F207" s="1"/>
      <c r="G207" s="1"/>
      <c r="H207" s="103"/>
      <c r="I207" s="103"/>
      <c r="J207" s="103"/>
      <c r="K207" s="103"/>
      <c r="L207" s="103"/>
      <c r="M207" s="103"/>
      <c r="N207" s="103"/>
      <c r="O207" s="103"/>
      <c r="P207" s="103"/>
      <c r="Q207" s="118"/>
      <c r="R207" s="211">
        <v>0</v>
      </c>
      <c r="S207" s="126"/>
      <c r="T207" s="118"/>
      <c r="U207" s="126"/>
      <c r="V207" s="119"/>
      <c r="W207" s="126"/>
      <c r="X207" s="119"/>
      <c r="Y207" s="126"/>
      <c r="Z207" s="119"/>
      <c r="AA207" s="126"/>
      <c r="AB207" s="119"/>
      <c r="AC207" s="126"/>
      <c r="AD207" s="119"/>
      <c r="AE207" s="126"/>
      <c r="AF207" s="119"/>
      <c r="AG207" s="126"/>
      <c r="AH207" s="119"/>
      <c r="AI207" s="126"/>
      <c r="AJ207" s="119"/>
      <c r="AK207" s="126"/>
      <c r="AL207" s="119"/>
      <c r="AM207" s="126"/>
      <c r="AN207" s="119"/>
    </row>
    <row r="208" spans="2:40" s="116" customFormat="1" ht="18">
      <c r="B208" s="8" t="s">
        <v>83</v>
      </c>
      <c r="C208" s="1"/>
      <c r="D208" s="1"/>
      <c r="E208" s="1"/>
      <c r="F208" s="1"/>
      <c r="G208" s="1"/>
      <c r="H208" s="211">
        <v>-1.3622999999999998</v>
      </c>
      <c r="I208" s="103"/>
      <c r="J208" s="211">
        <v>-6.0077999999999996</v>
      </c>
      <c r="K208" s="103"/>
      <c r="L208" s="211">
        <v>1.1067499999999999</v>
      </c>
      <c r="M208" s="103"/>
      <c r="N208" s="211">
        <v>4.4878</v>
      </c>
      <c r="O208" s="103"/>
      <c r="P208" s="211">
        <v>-1.4155</v>
      </c>
      <c r="Q208" s="118"/>
      <c r="R208" s="211">
        <v>-3.4104999999999999</v>
      </c>
      <c r="S208" s="119"/>
      <c r="T208" s="118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2:40" s="116" customFormat="1" ht="18">
      <c r="B209" s="8" t="s">
        <v>84</v>
      </c>
      <c r="C209" s="1"/>
      <c r="D209" s="1"/>
      <c r="E209" s="1"/>
      <c r="F209" s="1"/>
      <c r="G209" s="1"/>
      <c r="H209" s="103"/>
      <c r="I209" s="103"/>
      <c r="J209" s="103"/>
      <c r="K209" s="103"/>
      <c r="L209" s="103"/>
      <c r="M209" s="103"/>
      <c r="N209" s="103"/>
      <c r="O209" s="103"/>
      <c r="P209" s="103"/>
      <c r="Q209" s="120"/>
      <c r="R209" s="118"/>
      <c r="S209" s="119"/>
      <c r="T209" s="118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2:40" s="130" customFormat="1" ht="18">
      <c r="B210" s="8" t="s">
        <v>82</v>
      </c>
      <c r="C210" s="127"/>
      <c r="D210" s="127"/>
      <c r="E210" s="127"/>
      <c r="F210" s="127"/>
      <c r="G210" s="127"/>
      <c r="H210" s="211">
        <v>-0.37714999999999999</v>
      </c>
      <c r="I210" s="128"/>
      <c r="J210" s="211">
        <v>-1.12385</v>
      </c>
      <c r="K210" s="128"/>
      <c r="L210" s="211">
        <v>-1.7099999999999997E-2</v>
      </c>
      <c r="M210" s="128"/>
      <c r="N210" s="211">
        <v>8.7770500000000009</v>
      </c>
      <c r="O210" s="128"/>
      <c r="P210" s="211">
        <v>-0.12920000000000001</v>
      </c>
      <c r="Q210" s="118"/>
      <c r="R210" s="211">
        <v>-35.413150000000002</v>
      </c>
      <c r="S210" s="129"/>
      <c r="T210" s="118"/>
      <c r="U210" s="129"/>
      <c r="V210" s="119"/>
      <c r="W210" s="129"/>
      <c r="X210" s="119"/>
      <c r="Y210" s="129"/>
      <c r="Z210" s="119"/>
      <c r="AA210" s="129"/>
      <c r="AB210" s="119"/>
      <c r="AC210" s="129"/>
      <c r="AD210" s="119"/>
      <c r="AE210" s="129"/>
      <c r="AF210" s="119"/>
      <c r="AG210" s="129"/>
      <c r="AH210" s="119"/>
      <c r="AI210" s="129"/>
      <c r="AJ210" s="119"/>
      <c r="AK210" s="129"/>
      <c r="AL210" s="119"/>
      <c r="AM210" s="129"/>
      <c r="AN210" s="119"/>
    </row>
    <row r="211" spans="2:40" s="130" customFormat="1" ht="18">
      <c r="B211" s="8" t="s">
        <v>80</v>
      </c>
      <c r="C211" s="127"/>
      <c r="D211" s="127"/>
      <c r="E211" s="127"/>
      <c r="F211" s="127"/>
      <c r="G211" s="127"/>
      <c r="H211" s="211">
        <v>-2.2495999999999996</v>
      </c>
      <c r="I211" s="128"/>
      <c r="J211" s="211">
        <v>-3.7221000000000002</v>
      </c>
      <c r="K211" s="128"/>
      <c r="L211" s="211">
        <v>1.3670500000000001</v>
      </c>
      <c r="M211" s="128"/>
      <c r="N211" s="211">
        <v>0.20519999999999999</v>
      </c>
      <c r="O211" s="128"/>
      <c r="P211" s="211">
        <v>-9.5E-4</v>
      </c>
      <c r="Q211" s="118"/>
      <c r="R211" s="211">
        <v>0</v>
      </c>
      <c r="S211" s="121"/>
      <c r="T211" s="118"/>
      <c r="U211" s="121"/>
      <c r="V211" s="119"/>
      <c r="W211" s="121"/>
      <c r="X211" s="119"/>
      <c r="Y211" s="121"/>
      <c r="Z211" s="119"/>
      <c r="AA211" s="121"/>
      <c r="AB211" s="119"/>
      <c r="AC211" s="121"/>
      <c r="AD211" s="119"/>
      <c r="AE211" s="121"/>
      <c r="AF211" s="119"/>
      <c r="AG211" s="121"/>
      <c r="AH211" s="119"/>
      <c r="AI211" s="121"/>
      <c r="AJ211" s="119"/>
      <c r="AK211" s="121"/>
      <c r="AL211" s="119"/>
      <c r="AM211" s="121"/>
      <c r="AN211" s="119"/>
    </row>
    <row r="212" spans="2:40" s="116" customFormat="1" ht="18">
      <c r="B212" s="2" t="s">
        <v>85</v>
      </c>
      <c r="C212" s="1"/>
      <c r="D212" s="1"/>
      <c r="E212" s="1"/>
      <c r="F212" s="1"/>
      <c r="G212" s="1"/>
      <c r="H212" s="122">
        <f>SUM(H205:H211)</f>
        <v>-22.901649999999925</v>
      </c>
      <c r="I212" s="103"/>
      <c r="J212" s="122">
        <f>SUM(J205:J211)</f>
        <v>25.048649999999956</v>
      </c>
      <c r="K212" s="103"/>
      <c r="L212" s="122">
        <f>SUM(L205:L211)</f>
        <v>59.13750000000001</v>
      </c>
      <c r="M212" s="103"/>
      <c r="N212" s="122">
        <f>SUM(N205:N211)</f>
        <v>-1.260650000000012</v>
      </c>
      <c r="O212" s="103"/>
      <c r="P212" s="122">
        <f>SUM(P205:P211)</f>
        <v>-69.839250000000021</v>
      </c>
      <c r="Q212" s="118"/>
      <c r="R212" s="120">
        <f>SUM(R205:R211)</f>
        <v>5.0397500000001187</v>
      </c>
      <c r="S212" s="119"/>
      <c r="T212" s="120"/>
      <c r="U212" s="119"/>
      <c r="V212" s="121"/>
      <c r="W212" s="119"/>
      <c r="X212" s="121"/>
      <c r="Y212" s="119"/>
      <c r="Z212" s="121"/>
      <c r="AA212" s="119"/>
      <c r="AB212" s="121"/>
      <c r="AC212" s="119"/>
      <c r="AD212" s="121"/>
      <c r="AE212" s="119"/>
      <c r="AF212" s="121"/>
      <c r="AG212" s="119"/>
      <c r="AH212" s="121"/>
      <c r="AI212" s="119"/>
      <c r="AJ212" s="121"/>
      <c r="AK212" s="119"/>
      <c r="AL212" s="121"/>
      <c r="AM212" s="119"/>
      <c r="AN212" s="121"/>
    </row>
    <row r="213" spans="2:40" s="116" customFormat="1" ht="18">
      <c r="B213" s="8" t="s">
        <v>86</v>
      </c>
      <c r="C213" s="1"/>
      <c r="D213" s="1"/>
      <c r="E213" s="1"/>
      <c r="F213" s="1"/>
      <c r="G213" s="1"/>
      <c r="H213" s="211">
        <v>-47.902799999999999</v>
      </c>
      <c r="I213" s="103"/>
      <c r="J213" s="211">
        <v>2.2799999999999998</v>
      </c>
      <c r="K213" s="103"/>
      <c r="L213" s="211">
        <v>7.4660500000000001</v>
      </c>
      <c r="M213" s="103"/>
      <c r="N213" s="211">
        <v>-17.76595</v>
      </c>
      <c r="O213" s="103"/>
      <c r="P213" s="211">
        <v>-8.5100999999999996</v>
      </c>
      <c r="Q213" s="120"/>
      <c r="R213" s="211">
        <v>17.4344</v>
      </c>
      <c r="S213" s="119"/>
      <c r="T213" s="118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2:40" s="116" customFormat="1" ht="18">
      <c r="B214" s="2" t="s">
        <v>87</v>
      </c>
      <c r="C214" s="1"/>
      <c r="D214" s="1"/>
      <c r="E214" s="1"/>
      <c r="F214" s="1"/>
      <c r="G214" s="1"/>
      <c r="H214" s="122">
        <f>H212-H213</f>
        <v>25.001150000000074</v>
      </c>
      <c r="I214" s="103"/>
      <c r="J214" s="122">
        <f>J212-J213</f>
        <v>22.768649999999955</v>
      </c>
      <c r="K214" s="103"/>
      <c r="L214" s="122">
        <f>L212-L213</f>
        <v>51.671450000000007</v>
      </c>
      <c r="M214" s="103"/>
      <c r="N214" s="122">
        <f>N212-N213</f>
        <v>16.505299999999988</v>
      </c>
      <c r="O214" s="103"/>
      <c r="P214" s="122">
        <f>P212-P213</f>
        <v>-61.32915000000002</v>
      </c>
      <c r="Q214" s="118"/>
      <c r="R214" s="120">
        <f>R212-R213</f>
        <v>-12.394649999999881</v>
      </c>
      <c r="S214" s="119"/>
      <c r="T214" s="120"/>
      <c r="U214" s="119"/>
      <c r="V214" s="121"/>
      <c r="W214" s="119"/>
      <c r="X214" s="121"/>
      <c r="Y214" s="119"/>
      <c r="Z214" s="121"/>
      <c r="AA214" s="119"/>
      <c r="AB214" s="121"/>
      <c r="AC214" s="119"/>
      <c r="AD214" s="121"/>
      <c r="AE214" s="119"/>
      <c r="AF214" s="121"/>
      <c r="AG214" s="119"/>
      <c r="AH214" s="121"/>
      <c r="AI214" s="119"/>
      <c r="AJ214" s="121"/>
      <c r="AK214" s="119"/>
      <c r="AL214" s="121"/>
      <c r="AM214" s="119"/>
      <c r="AN214" s="121"/>
    </row>
    <row r="215" spans="2:40" s="116" customFormat="1" ht="18">
      <c r="B215" s="8" t="s">
        <v>88</v>
      </c>
      <c r="C215" s="1"/>
      <c r="D215" s="1"/>
      <c r="E215" s="1"/>
      <c r="F215" s="1"/>
      <c r="G215" s="1"/>
      <c r="H215" s="211">
        <v>0</v>
      </c>
      <c r="I215" s="103"/>
      <c r="J215" s="211">
        <v>0</v>
      </c>
      <c r="K215" s="103"/>
      <c r="L215" s="211">
        <v>-0.2109</v>
      </c>
      <c r="M215" s="103"/>
      <c r="N215" s="211">
        <v>-1.9854999999999998</v>
      </c>
      <c r="O215" s="103"/>
      <c r="P215" s="211">
        <v>-0.13869999999999999</v>
      </c>
      <c r="Q215" s="120"/>
      <c r="R215" s="211">
        <v>0</v>
      </c>
      <c r="S215" s="119"/>
      <c r="T215" s="118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2:40" s="116" customFormat="1" ht="18">
      <c r="B216" s="2" t="s">
        <v>89</v>
      </c>
      <c r="C216" s="1"/>
      <c r="D216" s="1"/>
      <c r="E216" s="1"/>
      <c r="F216" s="1"/>
      <c r="G216" s="1"/>
      <c r="H216" s="122">
        <f>H214-H215</f>
        <v>25.001150000000074</v>
      </c>
      <c r="I216" s="103"/>
      <c r="J216" s="122">
        <f>J214-J215</f>
        <v>22.768649999999955</v>
      </c>
      <c r="K216" s="103"/>
      <c r="L216" s="122">
        <f>L214-L215</f>
        <v>51.88235000000001</v>
      </c>
      <c r="M216" s="103"/>
      <c r="N216" s="122">
        <f>N214-N215</f>
        <v>18.490799999999986</v>
      </c>
      <c r="O216" s="103"/>
      <c r="P216" s="122">
        <f>P214-P215</f>
        <v>-61.19045000000002</v>
      </c>
      <c r="Q216" s="118"/>
      <c r="R216" s="120">
        <f>R214-R215</f>
        <v>-12.394649999999881</v>
      </c>
      <c r="S216" s="119"/>
      <c r="T216" s="120"/>
      <c r="U216" s="119"/>
      <c r="V216" s="121"/>
      <c r="W216" s="119"/>
      <c r="X216" s="121"/>
      <c r="Y216" s="119"/>
      <c r="Z216" s="121"/>
      <c r="AA216" s="119"/>
      <c r="AB216" s="121"/>
      <c r="AC216" s="119"/>
      <c r="AD216" s="121"/>
      <c r="AE216" s="119"/>
      <c r="AF216" s="121"/>
      <c r="AG216" s="119"/>
      <c r="AH216" s="121"/>
      <c r="AI216" s="119"/>
      <c r="AJ216" s="121"/>
      <c r="AK216" s="119"/>
      <c r="AL216" s="121"/>
      <c r="AM216" s="119"/>
      <c r="AN216" s="121"/>
    </row>
    <row r="217" spans="2:40" s="116" customFormat="1" ht="18">
      <c r="B217" s="2"/>
      <c r="C217" s="1"/>
      <c r="D217" s="1"/>
      <c r="E217" s="1"/>
      <c r="F217" s="1"/>
      <c r="G217" s="1"/>
      <c r="H217" s="122"/>
      <c r="I217" s="103"/>
      <c r="J217" s="122"/>
      <c r="K217" s="103"/>
      <c r="L217" s="122"/>
      <c r="M217" s="103"/>
      <c r="N217" s="122"/>
      <c r="O217" s="103"/>
      <c r="P217" s="122"/>
      <c r="Q217" s="118"/>
      <c r="R217" s="120"/>
      <c r="S217" s="119"/>
      <c r="T217" s="120"/>
      <c r="U217" s="119"/>
      <c r="V217" s="121"/>
      <c r="W217" s="119"/>
      <c r="X217" s="121"/>
      <c r="Y217" s="119"/>
      <c r="Z217" s="121"/>
      <c r="AA217" s="119"/>
      <c r="AB217" s="121"/>
      <c r="AC217" s="119"/>
      <c r="AD217" s="121"/>
      <c r="AE217" s="119"/>
      <c r="AF217" s="121"/>
      <c r="AG217" s="119"/>
      <c r="AH217" s="121"/>
      <c r="AI217" s="119"/>
      <c r="AJ217" s="121"/>
      <c r="AK217" s="119"/>
      <c r="AL217" s="121"/>
      <c r="AM217" s="119"/>
      <c r="AN217" s="121"/>
    </row>
    <row r="218" spans="2:40" s="116" customFormat="1" ht="18">
      <c r="B218" s="2" t="s">
        <v>90</v>
      </c>
      <c r="C218" s="1"/>
      <c r="D218" s="1"/>
      <c r="E218" s="1"/>
      <c r="F218" s="1"/>
      <c r="G218" s="1"/>
      <c r="H218" s="103"/>
      <c r="I218" s="103"/>
      <c r="J218" s="103"/>
      <c r="K218" s="103"/>
      <c r="L218" s="103"/>
      <c r="M218" s="103"/>
      <c r="N218" s="103"/>
      <c r="O218" s="103"/>
      <c r="P218" s="103"/>
      <c r="Q218" s="118"/>
      <c r="R218" s="118"/>
      <c r="S218" s="119"/>
      <c r="T218" s="118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2:40" s="116" customFormat="1" ht="18">
      <c r="B219" s="2" t="s">
        <v>91</v>
      </c>
      <c r="C219" s="1"/>
      <c r="D219" s="1"/>
      <c r="E219" s="1"/>
      <c r="F219" s="1"/>
      <c r="G219" s="1"/>
      <c r="H219" s="103"/>
      <c r="I219" s="103"/>
      <c r="J219" s="103"/>
      <c r="K219" s="103"/>
      <c r="L219" s="103"/>
      <c r="M219" s="103"/>
      <c r="N219" s="103"/>
      <c r="O219" s="103"/>
      <c r="P219" s="103"/>
      <c r="Q219" s="118"/>
      <c r="R219" s="118"/>
      <c r="S219" s="119"/>
      <c r="T219" s="118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2:40" s="116" customFormat="1" ht="18">
      <c r="B220" s="1" t="s">
        <v>87</v>
      </c>
      <c r="C220" s="1"/>
      <c r="D220" s="1"/>
      <c r="E220" s="1"/>
      <c r="F220" s="1"/>
      <c r="G220" s="1"/>
      <c r="H220" s="103">
        <v>25.001150000000074</v>
      </c>
      <c r="I220" s="103"/>
      <c r="J220" s="103">
        <v>22.768649999999955</v>
      </c>
      <c r="K220" s="103"/>
      <c r="L220" s="103">
        <v>51.88235000000001</v>
      </c>
      <c r="M220" s="103"/>
      <c r="N220" s="103">
        <v>18.490799999999986</v>
      </c>
      <c r="O220" s="103"/>
      <c r="P220" s="103">
        <v>-61.19045000000002</v>
      </c>
      <c r="Q220" s="118"/>
      <c r="R220" s="103">
        <v>-12.394649999999881</v>
      </c>
      <c r="S220" s="119"/>
      <c r="T220" s="103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2:40" s="116" customFormat="1" ht="18">
      <c r="B221" s="2" t="s">
        <v>92</v>
      </c>
      <c r="C221" s="1"/>
      <c r="D221" s="1"/>
      <c r="E221" s="1"/>
      <c r="F221" s="1"/>
      <c r="G221" s="1"/>
      <c r="H221" s="211" t="s">
        <v>132</v>
      </c>
      <c r="I221" s="103"/>
      <c r="J221" s="103"/>
      <c r="K221" s="103"/>
      <c r="L221" s="103"/>
      <c r="M221" s="103"/>
      <c r="N221" s="103"/>
      <c r="O221" s="103"/>
      <c r="P221" s="103"/>
      <c r="Q221" s="118"/>
      <c r="R221" s="118"/>
      <c r="S221" s="119"/>
      <c r="T221" s="118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2:40" s="116" customFormat="1" ht="18">
      <c r="B222" s="1" t="s">
        <v>93</v>
      </c>
      <c r="C222" s="1"/>
      <c r="D222" s="1"/>
      <c r="E222" s="1"/>
      <c r="F222" s="1"/>
      <c r="G222" s="1"/>
      <c r="H222" s="211">
        <v>103.30775</v>
      </c>
      <c r="I222" s="103"/>
      <c r="J222" s="211">
        <v>104.99590000000001</v>
      </c>
      <c r="K222" s="103"/>
      <c r="L222" s="211">
        <v>107.08399999999999</v>
      </c>
      <c r="M222" s="103"/>
      <c r="N222" s="211">
        <v>127.02355</v>
      </c>
      <c r="O222" s="103"/>
      <c r="P222" s="211">
        <v>134.4383</v>
      </c>
      <c r="Q222" s="118"/>
      <c r="R222" s="211">
        <v>155.9102</v>
      </c>
      <c r="S222" s="119"/>
      <c r="T222" s="118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2:40" s="116" customFormat="1" ht="18">
      <c r="B223" s="1" t="s">
        <v>94</v>
      </c>
      <c r="C223" s="1"/>
      <c r="D223" s="1"/>
      <c r="E223" s="1"/>
      <c r="F223" s="1"/>
      <c r="G223" s="1"/>
      <c r="H223" s="211">
        <v>4.4535999999999998</v>
      </c>
      <c r="I223" s="103"/>
      <c r="J223" s="211">
        <v>5.4482499999999998</v>
      </c>
      <c r="K223" s="103"/>
      <c r="L223" s="211">
        <v>5.9479499999999996</v>
      </c>
      <c r="M223" s="103"/>
      <c r="N223" s="211">
        <v>6.6158000000000001</v>
      </c>
      <c r="O223" s="103"/>
      <c r="P223" s="211">
        <v>0</v>
      </c>
      <c r="Q223" s="118"/>
      <c r="R223" s="211">
        <v>1.6150000000000001E-2</v>
      </c>
      <c r="S223" s="119"/>
      <c r="T223" s="118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2:40" s="116" customFormat="1" ht="18">
      <c r="B224" s="1" t="s">
        <v>95</v>
      </c>
      <c r="C224" s="1"/>
      <c r="D224" s="1"/>
      <c r="E224" s="1"/>
      <c r="F224" s="1"/>
      <c r="G224" s="1"/>
      <c r="H224" s="211">
        <v>5.8462999999999994</v>
      </c>
      <c r="I224" s="103"/>
      <c r="J224" s="211">
        <v>3.4123999999999999</v>
      </c>
      <c r="K224" s="103"/>
      <c r="L224" s="211">
        <v>3.42</v>
      </c>
      <c r="M224" s="103"/>
      <c r="N224" s="211">
        <v>3.0181499999999999</v>
      </c>
      <c r="O224" s="103"/>
      <c r="P224" s="211">
        <v>3.0200499999999999</v>
      </c>
      <c r="Q224" s="118"/>
      <c r="R224" s="211">
        <v>2.3607499999999999</v>
      </c>
      <c r="S224" s="119"/>
      <c r="T224" s="118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2:40" s="116" customFormat="1" ht="18">
      <c r="B225" s="1" t="s">
        <v>96</v>
      </c>
      <c r="C225" s="1"/>
      <c r="D225" s="1"/>
      <c r="E225" s="1"/>
      <c r="F225" s="1"/>
      <c r="G225" s="1"/>
      <c r="H225" s="211">
        <v>10.33315</v>
      </c>
      <c r="I225" s="103"/>
      <c r="J225" s="211">
        <v>9.4287500000000009</v>
      </c>
      <c r="K225" s="103"/>
      <c r="L225" s="211">
        <v>10.895549999999998</v>
      </c>
      <c r="M225" s="103"/>
      <c r="N225" s="211">
        <v>8.1395999999999997</v>
      </c>
      <c r="O225" s="103"/>
      <c r="P225" s="211">
        <v>7.3045499999999999</v>
      </c>
      <c r="Q225" s="118"/>
      <c r="R225" s="211">
        <v>6.1844999999999999</v>
      </c>
      <c r="S225" s="119"/>
      <c r="T225" s="118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2:40" s="116" customFormat="1" ht="18">
      <c r="B226" s="1" t="s">
        <v>97</v>
      </c>
      <c r="C226" s="1"/>
      <c r="D226" s="1"/>
      <c r="E226" s="1"/>
      <c r="F226" s="1"/>
      <c r="G226" s="1"/>
      <c r="H226" s="211">
        <v>-51.85575</v>
      </c>
      <c r="I226" s="103"/>
      <c r="J226" s="211">
        <v>-2.3085</v>
      </c>
      <c r="K226" s="103"/>
      <c r="L226" s="211">
        <v>3.3107499999999996</v>
      </c>
      <c r="M226" s="103"/>
      <c r="N226" s="211">
        <v>-3.68885</v>
      </c>
      <c r="O226" s="103"/>
      <c r="P226" s="211">
        <v>-14.441899999999999</v>
      </c>
      <c r="Q226" s="118"/>
      <c r="R226" s="211">
        <v>10.955399999999999</v>
      </c>
      <c r="S226" s="119"/>
      <c r="T226" s="118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2:40" s="116" customFormat="1" ht="18">
      <c r="B227" s="1" t="s">
        <v>99</v>
      </c>
      <c r="C227" s="1"/>
      <c r="D227" s="1"/>
      <c r="E227" s="1"/>
      <c r="F227" s="1"/>
      <c r="G227" s="1"/>
      <c r="H227" s="211">
        <v>3.705E-2</v>
      </c>
      <c r="I227" s="103"/>
      <c r="J227" s="211">
        <v>-0.13869999999999999</v>
      </c>
      <c r="K227" s="103"/>
      <c r="L227" s="211">
        <v>0</v>
      </c>
      <c r="M227" s="103"/>
      <c r="N227" s="211">
        <v>-0.84455000000000002</v>
      </c>
      <c r="O227" s="103"/>
      <c r="P227" s="211">
        <v>0.59944999999999993</v>
      </c>
      <c r="Q227" s="118"/>
      <c r="R227" s="211">
        <v>-0.34864999999999996</v>
      </c>
      <c r="S227" s="119"/>
      <c r="T227" s="118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2:40" s="116" customFormat="1" ht="18">
      <c r="B228" s="1" t="s">
        <v>98</v>
      </c>
      <c r="C228" s="1"/>
      <c r="D228" s="1"/>
      <c r="E228" s="1"/>
      <c r="F228" s="1"/>
      <c r="G228" s="1"/>
      <c r="H228" s="211">
        <v>2.2495999999999996</v>
      </c>
      <c r="I228" s="103"/>
      <c r="J228" s="211">
        <v>3.7221000000000002</v>
      </c>
      <c r="K228" s="103"/>
      <c r="L228" s="211">
        <v>-1.3670500000000001</v>
      </c>
      <c r="M228" s="103"/>
      <c r="N228" s="211">
        <v>-0.20519999999999999</v>
      </c>
      <c r="O228" s="103"/>
      <c r="P228" s="211">
        <v>9.5E-4</v>
      </c>
      <c r="Q228" s="118"/>
      <c r="R228" s="211">
        <v>0</v>
      </c>
      <c r="S228" s="126"/>
      <c r="T228" s="118"/>
      <c r="U228" s="126"/>
      <c r="V228" s="119"/>
      <c r="W228" s="126"/>
      <c r="X228" s="119"/>
      <c r="Y228" s="126"/>
      <c r="Z228" s="119"/>
      <c r="AA228" s="126"/>
      <c r="AB228" s="119"/>
      <c r="AC228" s="126"/>
      <c r="AD228" s="119"/>
      <c r="AE228" s="126"/>
      <c r="AF228" s="119"/>
      <c r="AG228" s="126"/>
      <c r="AH228" s="119"/>
      <c r="AI228" s="126"/>
      <c r="AJ228" s="119"/>
      <c r="AK228" s="126"/>
      <c r="AL228" s="119"/>
      <c r="AM228" s="126"/>
      <c r="AN228" s="119"/>
    </row>
    <row r="229" spans="2:40" s="116" customFormat="1" ht="18">
      <c r="B229" s="1" t="s">
        <v>102</v>
      </c>
      <c r="C229" s="1"/>
      <c r="D229" s="1"/>
      <c r="E229" s="1"/>
      <c r="F229" s="1"/>
      <c r="G229" s="1"/>
      <c r="H229" s="211">
        <v>0</v>
      </c>
      <c r="I229" s="103"/>
      <c r="J229" s="211">
        <v>1.3926999999999998</v>
      </c>
      <c r="K229" s="103"/>
      <c r="L229" s="211">
        <v>-0.59660000000000002</v>
      </c>
      <c r="M229" s="103"/>
      <c r="N229" s="211">
        <v>-2.5317499999999997</v>
      </c>
      <c r="O229" s="103"/>
      <c r="P229" s="211">
        <v>2.1393999999999997</v>
      </c>
      <c r="Q229" s="118"/>
      <c r="R229" s="211">
        <v>7.8944999999999999</v>
      </c>
      <c r="S229" s="119"/>
      <c r="T229" s="118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2:40" s="116" customFormat="1" ht="18">
      <c r="B230" s="1" t="s">
        <v>152</v>
      </c>
      <c r="C230" s="1"/>
      <c r="D230" s="1"/>
      <c r="E230" s="1"/>
      <c r="F230" s="1"/>
      <c r="G230" s="1"/>
      <c r="H230" s="103"/>
      <c r="I230" s="103"/>
      <c r="J230" s="103"/>
      <c r="K230" s="103"/>
      <c r="L230" s="103"/>
      <c r="M230" s="103"/>
      <c r="N230" s="103"/>
      <c r="O230" s="103"/>
      <c r="P230" s="103"/>
      <c r="Q230" s="118"/>
      <c r="R230" s="211">
        <v>40.133699999999997</v>
      </c>
      <c r="S230" s="119"/>
      <c r="T230" s="118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2:40" s="116" customFormat="1" ht="18">
      <c r="B231" s="1" t="s">
        <v>101</v>
      </c>
      <c r="C231" s="1"/>
      <c r="D231" s="1"/>
      <c r="E231" s="1"/>
      <c r="F231" s="1"/>
      <c r="G231" s="1"/>
      <c r="H231" s="211">
        <v>-4.2018499999999994</v>
      </c>
      <c r="I231" s="103"/>
      <c r="J231" s="211">
        <v>-2.2077999999999998</v>
      </c>
      <c r="K231" s="103"/>
      <c r="L231" s="211">
        <v>-3.2138499999999999</v>
      </c>
      <c r="M231" s="103"/>
      <c r="N231" s="211">
        <v>-0.57094999999999996</v>
      </c>
      <c r="O231" s="103"/>
      <c r="P231" s="211">
        <v>0</v>
      </c>
      <c r="Q231" s="118"/>
      <c r="R231" s="211">
        <v>0</v>
      </c>
      <c r="S231" s="126"/>
      <c r="T231" s="118"/>
      <c r="U231" s="126"/>
      <c r="V231" s="119"/>
      <c r="W231" s="126"/>
      <c r="X231" s="119"/>
      <c r="Y231" s="126"/>
      <c r="Z231" s="119"/>
      <c r="AA231" s="126"/>
      <c r="AB231" s="119"/>
      <c r="AC231" s="126"/>
      <c r="AD231" s="119"/>
      <c r="AE231" s="126"/>
      <c r="AF231" s="119"/>
      <c r="AG231" s="126"/>
      <c r="AH231" s="119"/>
      <c r="AI231" s="126"/>
      <c r="AJ231" s="119"/>
      <c r="AK231" s="126"/>
      <c r="AL231" s="119"/>
      <c r="AM231" s="126"/>
      <c r="AN231" s="119"/>
    </row>
    <row r="232" spans="2:40" s="116" customFormat="1" ht="18">
      <c r="B232" s="1" t="s">
        <v>153</v>
      </c>
      <c r="C232" s="1"/>
      <c r="D232" s="1"/>
      <c r="E232" s="1"/>
      <c r="F232" s="1"/>
      <c r="G232" s="1"/>
      <c r="H232" s="103"/>
      <c r="I232" s="103"/>
      <c r="J232" s="103"/>
      <c r="K232" s="103"/>
      <c r="L232" s="103"/>
      <c r="M232" s="103"/>
      <c r="N232" s="103"/>
      <c r="O232" s="103"/>
      <c r="P232" s="103"/>
      <c r="Q232" s="118"/>
      <c r="R232" s="211">
        <v>0</v>
      </c>
      <c r="S232" s="119"/>
      <c r="T232" s="118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2:40" s="116" customFormat="1" ht="18">
      <c r="B233" s="1" t="s">
        <v>100</v>
      </c>
      <c r="C233" s="1"/>
      <c r="D233" s="1"/>
      <c r="E233" s="1"/>
      <c r="F233" s="1"/>
      <c r="G233" s="1"/>
      <c r="H233" s="211">
        <v>0.37714999999999999</v>
      </c>
      <c r="I233" s="103"/>
      <c r="J233" s="211">
        <v>1.12385</v>
      </c>
      <c r="K233" s="103"/>
      <c r="L233" s="211">
        <v>1.7099999999999997E-2</v>
      </c>
      <c r="M233" s="103"/>
      <c r="N233" s="211">
        <v>-8.7770500000000009</v>
      </c>
      <c r="O233" s="103"/>
      <c r="P233" s="211">
        <v>0.12920000000000001</v>
      </c>
      <c r="Q233" s="118"/>
      <c r="R233" s="211">
        <v>35.413150000000002</v>
      </c>
      <c r="S233" s="126"/>
      <c r="T233" s="118"/>
      <c r="U233" s="126"/>
      <c r="V233" s="119"/>
      <c r="W233" s="126"/>
      <c r="X233" s="119"/>
      <c r="Y233" s="126"/>
      <c r="Z233" s="119"/>
      <c r="AA233" s="126"/>
      <c r="AB233" s="119"/>
      <c r="AC233" s="126"/>
      <c r="AD233" s="119"/>
      <c r="AE233" s="126"/>
      <c r="AF233" s="119"/>
      <c r="AG233" s="126"/>
      <c r="AH233" s="119"/>
      <c r="AI233" s="126"/>
      <c r="AJ233" s="119"/>
      <c r="AK233" s="126"/>
      <c r="AL233" s="119"/>
      <c r="AM233" s="126"/>
      <c r="AN233" s="119"/>
    </row>
    <row r="234" spans="2:40" s="116" customFormat="1" ht="18">
      <c r="B234" s="1" t="s">
        <v>77</v>
      </c>
      <c r="C234" s="1"/>
      <c r="D234" s="1"/>
      <c r="E234" s="1"/>
      <c r="F234" s="1"/>
      <c r="G234" s="1"/>
      <c r="H234" s="211">
        <v>0</v>
      </c>
      <c r="I234" s="103"/>
      <c r="J234" s="211">
        <v>0</v>
      </c>
      <c r="K234" s="103"/>
      <c r="L234" s="211">
        <v>0</v>
      </c>
      <c r="M234" s="103"/>
      <c r="N234" s="211">
        <v>6.3545499999999997</v>
      </c>
      <c r="O234" s="103"/>
      <c r="P234" s="211">
        <v>0</v>
      </c>
      <c r="Q234" s="118"/>
      <c r="R234" s="211">
        <v>0</v>
      </c>
      <c r="S234" s="126"/>
      <c r="T234" s="118"/>
      <c r="U234" s="126"/>
      <c r="V234" s="119"/>
      <c r="W234" s="126"/>
      <c r="X234" s="119"/>
      <c r="Y234" s="126"/>
      <c r="Z234" s="119"/>
      <c r="AA234" s="126"/>
      <c r="AB234" s="119"/>
      <c r="AC234" s="126"/>
      <c r="AD234" s="119"/>
      <c r="AE234" s="126"/>
      <c r="AF234" s="119"/>
      <c r="AG234" s="126"/>
      <c r="AH234" s="119"/>
      <c r="AI234" s="126"/>
      <c r="AJ234" s="119"/>
      <c r="AK234" s="126"/>
      <c r="AL234" s="119"/>
      <c r="AM234" s="126"/>
      <c r="AN234" s="119"/>
    </row>
    <row r="235" spans="2:40" s="116" customFormat="1" ht="18">
      <c r="B235" s="2" t="s">
        <v>103</v>
      </c>
      <c r="C235" s="1"/>
      <c r="D235" s="1"/>
      <c r="E235" s="1"/>
      <c r="F235" s="1"/>
      <c r="G235" s="1"/>
      <c r="H235" s="211" t="s">
        <v>132</v>
      </c>
      <c r="I235" s="103"/>
      <c r="J235" s="103"/>
      <c r="K235" s="103"/>
      <c r="L235" s="103"/>
      <c r="M235" s="103"/>
      <c r="N235" s="103"/>
      <c r="O235" s="103"/>
      <c r="P235" s="103"/>
      <c r="Q235" s="118"/>
      <c r="R235" s="118"/>
      <c r="S235" s="119"/>
      <c r="T235" s="118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2:40" s="116" customFormat="1" ht="18">
      <c r="B236" s="8" t="s">
        <v>104</v>
      </c>
      <c r="C236" s="1"/>
      <c r="D236" s="1"/>
      <c r="E236" s="1"/>
      <c r="F236" s="1"/>
      <c r="G236" s="1"/>
      <c r="H236" s="211">
        <v>-27.002799999999997</v>
      </c>
      <c r="I236" s="103"/>
      <c r="J236" s="211">
        <v>19.874000000000002</v>
      </c>
      <c r="K236" s="103"/>
      <c r="L236" s="211">
        <v>-2.8974999999999995</v>
      </c>
      <c r="M236" s="103"/>
      <c r="N236" s="211">
        <v>-7.9980500000000001</v>
      </c>
      <c r="O236" s="103"/>
      <c r="P236" s="211">
        <v>-13.446299999999999</v>
      </c>
      <c r="Q236" s="118"/>
      <c r="R236" s="211">
        <v>-61.29399999999999</v>
      </c>
      <c r="S236" s="119"/>
      <c r="T236" s="118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2:40" s="116" customFormat="1" ht="18">
      <c r="B237" s="8" t="s">
        <v>33</v>
      </c>
      <c r="C237" s="1"/>
      <c r="D237" s="1"/>
      <c r="E237" s="1"/>
      <c r="F237" s="1"/>
      <c r="G237" s="1"/>
      <c r="H237" s="211">
        <v>3.7515499999999995</v>
      </c>
      <c r="I237" s="103"/>
      <c r="J237" s="211">
        <v>-9.4087999999999994</v>
      </c>
      <c r="K237" s="103"/>
      <c r="L237" s="211">
        <v>24.113849999999999</v>
      </c>
      <c r="M237" s="103"/>
      <c r="N237" s="211">
        <v>-27.230799999999999</v>
      </c>
      <c r="O237" s="103"/>
      <c r="P237" s="211">
        <v>21.824349999999999</v>
      </c>
      <c r="Q237" s="118"/>
      <c r="R237" s="211">
        <v>-21.46715</v>
      </c>
      <c r="S237" s="119"/>
      <c r="T237" s="118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2:40" s="116" customFormat="1" ht="18">
      <c r="B238" s="8" t="s">
        <v>154</v>
      </c>
      <c r="C238" s="1"/>
      <c r="D238" s="1"/>
      <c r="E238" s="1"/>
      <c r="F238" s="1"/>
      <c r="G238" s="1"/>
      <c r="H238" s="103"/>
      <c r="I238" s="103"/>
      <c r="J238" s="103"/>
      <c r="K238" s="103"/>
      <c r="L238" s="103"/>
      <c r="M238" s="103"/>
      <c r="N238" s="103"/>
      <c r="O238" s="103"/>
      <c r="P238" s="211">
        <v>17.679499999999997</v>
      </c>
      <c r="Q238" s="118"/>
      <c r="R238" s="211">
        <v>-0.39709999999999995</v>
      </c>
      <c r="S238" s="119"/>
      <c r="T238" s="118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2:40" s="116" customFormat="1" ht="18">
      <c r="B239" s="8" t="s">
        <v>106</v>
      </c>
      <c r="C239" s="1"/>
      <c r="D239" s="1"/>
      <c r="E239" s="1"/>
      <c r="F239" s="1"/>
      <c r="G239" s="1"/>
      <c r="H239" s="211">
        <v>31.711949999999998</v>
      </c>
      <c r="I239" s="103"/>
      <c r="J239" s="211">
        <v>-1.7271000000000001</v>
      </c>
      <c r="K239" s="103"/>
      <c r="L239" s="211">
        <v>-29.701750000000001</v>
      </c>
      <c r="M239" s="103"/>
      <c r="N239" s="211">
        <v>10.288499999999999</v>
      </c>
      <c r="O239" s="103"/>
      <c r="P239" s="211">
        <v>44.312750000000001</v>
      </c>
      <c r="Q239" s="118"/>
      <c r="R239" s="211">
        <v>30.396199999999997</v>
      </c>
      <c r="S239" s="119"/>
      <c r="T239" s="118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2:40" s="116" customFormat="1" ht="18">
      <c r="B240" s="8" t="s">
        <v>150</v>
      </c>
      <c r="C240" s="1"/>
      <c r="D240" s="1"/>
      <c r="E240" s="1"/>
      <c r="F240" s="1"/>
      <c r="G240" s="1"/>
      <c r="H240" s="103"/>
      <c r="I240" s="103"/>
      <c r="J240" s="103"/>
      <c r="K240" s="103"/>
      <c r="L240" s="103"/>
      <c r="M240" s="103"/>
      <c r="N240" s="103"/>
      <c r="O240" s="103"/>
      <c r="P240" s="211">
        <v>-9.1389999999999993</v>
      </c>
      <c r="Q240" s="118"/>
      <c r="R240" s="211">
        <v>-59.395899999999997</v>
      </c>
      <c r="S240" s="119"/>
      <c r="T240" s="118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2:40" s="116" customFormat="1" ht="18">
      <c r="B241" s="8" t="s">
        <v>107</v>
      </c>
      <c r="C241" s="1"/>
      <c r="D241" s="1"/>
      <c r="E241" s="1"/>
      <c r="F241" s="1"/>
      <c r="G241" s="1"/>
      <c r="H241" s="211">
        <v>-43.604999999999997</v>
      </c>
      <c r="I241" s="103"/>
      <c r="J241" s="211">
        <v>25.21585</v>
      </c>
      <c r="K241" s="103"/>
      <c r="L241" s="211">
        <v>-6.40585</v>
      </c>
      <c r="M241" s="103"/>
      <c r="N241" s="211">
        <v>-13.79495</v>
      </c>
      <c r="O241" s="103"/>
      <c r="P241" s="211">
        <v>-2.71035</v>
      </c>
      <c r="Q241" s="120"/>
      <c r="R241" s="211">
        <v>8.7684999999999995</v>
      </c>
      <c r="S241" s="119"/>
      <c r="T241" s="118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2:40" s="116" customFormat="1" ht="18">
      <c r="B242" s="8" t="s">
        <v>105</v>
      </c>
      <c r="C242" s="1"/>
      <c r="D242" s="1"/>
      <c r="E242" s="1"/>
      <c r="F242" s="1"/>
      <c r="G242" s="1"/>
      <c r="H242" s="211">
        <v>-14.895999999999999</v>
      </c>
      <c r="I242" s="103"/>
      <c r="J242" s="211">
        <v>0.91579999999999995</v>
      </c>
      <c r="K242" s="103"/>
      <c r="L242" s="211">
        <v>-4.2332000000000001</v>
      </c>
      <c r="M242" s="103"/>
      <c r="N242" s="211">
        <v>-21.017799999999998</v>
      </c>
      <c r="O242" s="103"/>
      <c r="P242" s="211">
        <v>0</v>
      </c>
      <c r="Q242" s="118"/>
      <c r="R242" s="211">
        <v>0</v>
      </c>
      <c r="S242" s="126"/>
      <c r="T242" s="118"/>
      <c r="U242" s="126"/>
      <c r="V242" s="119"/>
      <c r="W242" s="126"/>
      <c r="X242" s="119"/>
      <c r="Y242" s="126"/>
      <c r="Z242" s="119"/>
      <c r="AA242" s="126"/>
      <c r="AB242" s="119"/>
      <c r="AC242" s="126"/>
      <c r="AD242" s="119"/>
      <c r="AE242" s="126"/>
      <c r="AF242" s="119"/>
      <c r="AG242" s="126"/>
      <c r="AH242" s="119"/>
      <c r="AI242" s="126"/>
      <c r="AJ242" s="119"/>
      <c r="AK242" s="126"/>
      <c r="AL242" s="119"/>
      <c r="AM242" s="126"/>
      <c r="AN242" s="119"/>
    </row>
    <row r="243" spans="2:40" s="116" customFormat="1" ht="18">
      <c r="B243" s="2" t="s">
        <v>108</v>
      </c>
      <c r="C243" s="1"/>
      <c r="D243" s="1"/>
      <c r="E243" s="1"/>
      <c r="F243" s="1"/>
      <c r="G243" s="1"/>
      <c r="H243" s="122">
        <f>SUM(H220:H242)</f>
        <v>45.507850000000083</v>
      </c>
      <c r="I243" s="103"/>
      <c r="J243" s="122">
        <f>SUM(J220:J242)</f>
        <v>182.50734999999992</v>
      </c>
      <c r="K243" s="103"/>
      <c r="L243" s="122">
        <f>SUM(L220:L242)</f>
        <v>158.25574999999998</v>
      </c>
      <c r="M243" s="103"/>
      <c r="N243" s="122">
        <f>SUM(N220:N242)</f>
        <v>93.270999999999958</v>
      </c>
      <c r="O243" s="103"/>
      <c r="P243" s="122">
        <f>SUM(P220:P242)</f>
        <v>130.52049999999994</v>
      </c>
      <c r="Q243" s="118"/>
      <c r="R243" s="120">
        <f>SUM(R220:R242)</f>
        <v>142.73560000000012</v>
      </c>
      <c r="S243" s="119"/>
      <c r="T243" s="120"/>
      <c r="U243" s="119"/>
      <c r="V243" s="121"/>
      <c r="W243" s="119"/>
      <c r="X243" s="121"/>
      <c r="Y243" s="119"/>
      <c r="Z243" s="121"/>
      <c r="AA243" s="119"/>
      <c r="AB243" s="121"/>
      <c r="AC243" s="119"/>
      <c r="AD243" s="121"/>
      <c r="AE243" s="119"/>
      <c r="AF243" s="121"/>
      <c r="AG243" s="119"/>
      <c r="AH243" s="121"/>
      <c r="AI243" s="119"/>
      <c r="AJ243" s="121"/>
      <c r="AK243" s="119"/>
      <c r="AL243" s="121"/>
      <c r="AM243" s="119"/>
      <c r="AN243" s="121"/>
    </row>
    <row r="244" spans="2:40" s="116" customFormat="1" ht="18">
      <c r="B244" s="2"/>
      <c r="C244" s="1"/>
      <c r="D244" s="1"/>
      <c r="E244" s="1"/>
      <c r="F244" s="1"/>
      <c r="G244" s="1"/>
      <c r="H244" s="122"/>
      <c r="I244" s="103"/>
      <c r="J244" s="122"/>
      <c r="K244" s="103"/>
      <c r="L244" s="122"/>
      <c r="M244" s="103"/>
      <c r="N244" s="122"/>
      <c r="O244" s="103"/>
      <c r="P244" s="122"/>
      <c r="Q244" s="118"/>
      <c r="R244" s="120"/>
      <c r="S244" s="119"/>
      <c r="T244" s="120"/>
      <c r="U244" s="119"/>
      <c r="V244" s="121"/>
      <c r="W244" s="119"/>
      <c r="X244" s="121"/>
      <c r="Y244" s="119"/>
      <c r="Z244" s="121"/>
      <c r="AA244" s="119"/>
      <c r="AB244" s="121"/>
      <c r="AC244" s="119"/>
      <c r="AD244" s="121"/>
      <c r="AE244" s="119"/>
      <c r="AF244" s="121"/>
      <c r="AG244" s="119"/>
      <c r="AH244" s="121"/>
      <c r="AI244" s="119"/>
      <c r="AJ244" s="121"/>
      <c r="AK244" s="119"/>
      <c r="AL244" s="121"/>
      <c r="AM244" s="119"/>
      <c r="AN244" s="121"/>
    </row>
    <row r="245" spans="2:40" s="116" customFormat="1" ht="18">
      <c r="B245" s="2" t="s">
        <v>109</v>
      </c>
      <c r="C245" s="1"/>
      <c r="D245" s="1"/>
      <c r="E245" s="1"/>
      <c r="F245" s="1"/>
      <c r="G245" s="1"/>
      <c r="H245" s="103"/>
      <c r="I245" s="103"/>
      <c r="J245" s="103"/>
      <c r="K245" s="103"/>
      <c r="L245" s="103"/>
      <c r="M245" s="103"/>
      <c r="N245" s="103"/>
      <c r="O245" s="103"/>
      <c r="P245" s="103"/>
      <c r="Q245" s="118"/>
      <c r="R245" s="118"/>
      <c r="S245" s="119"/>
      <c r="T245" s="118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2:40" s="116" customFormat="1" ht="18">
      <c r="B246" s="1" t="s">
        <v>155</v>
      </c>
      <c r="C246" s="1"/>
      <c r="D246" s="1"/>
      <c r="E246" s="1"/>
      <c r="F246" s="1"/>
      <c r="G246" s="1"/>
      <c r="H246" s="103"/>
      <c r="I246" s="103"/>
      <c r="J246" s="103"/>
      <c r="K246" s="103"/>
      <c r="L246" s="103"/>
      <c r="M246" s="103"/>
      <c r="N246" s="103"/>
      <c r="O246" s="103"/>
      <c r="P246" s="103"/>
      <c r="Q246" s="118"/>
      <c r="R246" s="211">
        <v>0</v>
      </c>
      <c r="S246" s="126"/>
      <c r="T246" s="118"/>
      <c r="U246" s="126"/>
      <c r="V246" s="119"/>
      <c r="W246" s="126"/>
      <c r="X246" s="119"/>
      <c r="Y246" s="126"/>
      <c r="Z246" s="119"/>
      <c r="AA246" s="126"/>
      <c r="AB246" s="119"/>
      <c r="AC246" s="126"/>
      <c r="AD246" s="119"/>
      <c r="AE246" s="126"/>
      <c r="AF246" s="119"/>
      <c r="AG246" s="126"/>
      <c r="AH246" s="119"/>
      <c r="AI246" s="126"/>
      <c r="AJ246" s="119"/>
      <c r="AK246" s="126"/>
      <c r="AL246" s="119"/>
      <c r="AM246" s="126"/>
      <c r="AN246" s="119"/>
    </row>
    <row r="247" spans="2:40" s="116" customFormat="1" ht="18">
      <c r="B247" s="1" t="s">
        <v>110</v>
      </c>
      <c r="C247" s="1"/>
      <c r="D247" s="1"/>
      <c r="E247" s="1"/>
      <c r="F247" s="1"/>
      <c r="G247" s="1"/>
      <c r="H247" s="211">
        <v>-219.57065</v>
      </c>
      <c r="I247" s="103"/>
      <c r="J247" s="211">
        <v>-130.22884999999999</v>
      </c>
      <c r="K247" s="103"/>
      <c r="L247" s="211">
        <v>-133.81130000000002</v>
      </c>
      <c r="M247" s="103"/>
      <c r="N247" s="211">
        <v>-19.2318</v>
      </c>
      <c r="O247" s="103"/>
      <c r="P247" s="211">
        <v>-7.905899999999999</v>
      </c>
      <c r="Q247" s="118"/>
      <c r="R247" s="211">
        <v>-18.608599999999999</v>
      </c>
      <c r="S247" s="119"/>
      <c r="T247" s="118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2:40" s="116" customFormat="1" ht="18">
      <c r="B248" s="1" t="s">
        <v>156</v>
      </c>
      <c r="C248" s="1"/>
      <c r="D248" s="1"/>
      <c r="E248" s="1"/>
      <c r="F248" s="1"/>
      <c r="G248" s="1"/>
      <c r="H248" s="103"/>
      <c r="I248" s="103"/>
      <c r="J248" s="103"/>
      <c r="K248" s="103"/>
      <c r="L248" s="103"/>
      <c r="M248" s="103"/>
      <c r="N248" s="103"/>
      <c r="O248" s="103"/>
      <c r="P248" s="103"/>
      <c r="Q248" s="118"/>
      <c r="R248" s="211">
        <v>0</v>
      </c>
      <c r="S248" s="119"/>
      <c r="T248" s="118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2:40" s="116" customFormat="1" ht="18">
      <c r="B249" s="1" t="s">
        <v>112</v>
      </c>
      <c r="C249" s="1"/>
      <c r="D249" s="1"/>
      <c r="E249" s="1"/>
      <c r="F249" s="1"/>
      <c r="G249" s="1"/>
      <c r="H249" s="211">
        <v>9.5</v>
      </c>
      <c r="I249" s="103"/>
      <c r="J249" s="211">
        <v>2.375E-2</v>
      </c>
      <c r="K249" s="103"/>
      <c r="L249" s="211">
        <v>2.4224999999999999</v>
      </c>
      <c r="M249" s="103"/>
      <c r="N249" s="211">
        <v>0.91484999999999994</v>
      </c>
      <c r="O249" s="103"/>
      <c r="P249" s="211">
        <v>4.8449999999999993E-2</v>
      </c>
      <c r="Q249" s="118"/>
      <c r="R249" s="211">
        <v>0.34675</v>
      </c>
      <c r="S249" s="119"/>
      <c r="T249" s="118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2:40" s="116" customFormat="1" ht="18">
      <c r="B250" s="1" t="s">
        <v>157</v>
      </c>
      <c r="C250" s="1"/>
      <c r="D250" s="1"/>
      <c r="E250" s="1"/>
      <c r="F250" s="1"/>
      <c r="G250" s="1"/>
      <c r="H250" s="103"/>
      <c r="I250" s="103"/>
      <c r="J250" s="103"/>
      <c r="K250" s="103"/>
      <c r="L250" s="103"/>
      <c r="M250" s="103"/>
      <c r="N250" s="103"/>
      <c r="O250" s="103"/>
      <c r="P250" s="103"/>
      <c r="Q250" s="118"/>
      <c r="R250" s="211">
        <v>0.53579999999999994</v>
      </c>
      <c r="S250" s="119"/>
      <c r="T250" s="118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2:40" s="116" customFormat="1" ht="18">
      <c r="B251" s="1" t="s">
        <v>6</v>
      </c>
      <c r="C251" s="1"/>
      <c r="D251" s="1"/>
      <c r="E251" s="1"/>
      <c r="F251" s="1"/>
      <c r="G251" s="1"/>
      <c r="H251" s="211">
        <v>0</v>
      </c>
      <c r="I251" s="103"/>
      <c r="J251" s="211">
        <v>0.99180000000000001</v>
      </c>
      <c r="K251" s="103"/>
      <c r="L251" s="211">
        <v>0</v>
      </c>
      <c r="M251" s="103"/>
      <c r="N251" s="211">
        <v>0</v>
      </c>
      <c r="O251" s="103"/>
      <c r="P251" s="211">
        <v>0</v>
      </c>
      <c r="Q251" s="120"/>
      <c r="R251" s="211">
        <v>0</v>
      </c>
      <c r="S251" s="126"/>
      <c r="T251" s="118"/>
      <c r="U251" s="126"/>
      <c r="V251" s="119"/>
      <c r="W251" s="126"/>
      <c r="X251" s="119"/>
      <c r="Y251" s="126"/>
      <c r="Z251" s="119"/>
      <c r="AA251" s="126"/>
      <c r="AB251" s="119"/>
      <c r="AC251" s="126"/>
      <c r="AD251" s="119"/>
      <c r="AE251" s="126"/>
      <c r="AF251" s="119"/>
      <c r="AG251" s="126"/>
      <c r="AH251" s="119"/>
      <c r="AI251" s="126"/>
      <c r="AJ251" s="119"/>
      <c r="AK251" s="126"/>
      <c r="AL251" s="119"/>
      <c r="AM251" s="126"/>
      <c r="AN251" s="119"/>
    </row>
    <row r="252" spans="2:40" s="116" customFormat="1" ht="18">
      <c r="B252" s="1" t="s">
        <v>111</v>
      </c>
      <c r="C252" s="1"/>
      <c r="D252" s="1"/>
      <c r="E252" s="1"/>
      <c r="F252" s="1"/>
      <c r="G252" s="1"/>
      <c r="H252" s="211">
        <v>0</v>
      </c>
      <c r="I252" s="103"/>
      <c r="J252" s="211">
        <v>0</v>
      </c>
      <c r="K252" s="103"/>
      <c r="L252" s="211">
        <v>-3.8769500000000003</v>
      </c>
      <c r="M252" s="103"/>
      <c r="N252" s="211">
        <v>0</v>
      </c>
      <c r="O252" s="103"/>
      <c r="P252" s="211">
        <v>0</v>
      </c>
      <c r="Q252" s="118"/>
      <c r="R252" s="211">
        <v>0</v>
      </c>
      <c r="S252" s="126"/>
      <c r="T252" s="118"/>
      <c r="U252" s="126"/>
      <c r="V252" s="119"/>
      <c r="W252" s="126"/>
      <c r="X252" s="119"/>
      <c r="Y252" s="126"/>
      <c r="Z252" s="119"/>
      <c r="AA252" s="126"/>
      <c r="AB252" s="119"/>
      <c r="AC252" s="126"/>
      <c r="AD252" s="119"/>
      <c r="AE252" s="126"/>
      <c r="AF252" s="119"/>
      <c r="AG252" s="126"/>
      <c r="AH252" s="119"/>
      <c r="AI252" s="126"/>
      <c r="AJ252" s="119"/>
      <c r="AK252" s="126"/>
      <c r="AL252" s="119"/>
      <c r="AM252" s="126"/>
      <c r="AN252" s="119"/>
    </row>
    <row r="253" spans="2:40" s="116" customFormat="1" ht="18">
      <c r="B253" s="2" t="s">
        <v>113</v>
      </c>
      <c r="C253" s="1"/>
      <c r="D253" s="1"/>
      <c r="E253" s="1"/>
      <c r="F253" s="1"/>
      <c r="G253" s="1"/>
      <c r="H253" s="122">
        <f>SUM(H246:H252)</f>
        <v>-210.07065</v>
      </c>
      <c r="I253" s="103"/>
      <c r="J253" s="122">
        <f>SUM(J246:J252)</f>
        <v>-129.21329999999998</v>
      </c>
      <c r="K253" s="103"/>
      <c r="L253" s="122">
        <f>SUM(L246:L252)</f>
        <v>-135.26575</v>
      </c>
      <c r="M253" s="103"/>
      <c r="N253" s="122">
        <f>SUM(N246:N252)</f>
        <v>-18.316949999999999</v>
      </c>
      <c r="O253" s="103"/>
      <c r="P253" s="122">
        <f>SUM(P246:P252)</f>
        <v>-7.8574499999999992</v>
      </c>
      <c r="Q253" s="118"/>
      <c r="R253" s="120">
        <f>SUM(R246:R252)</f>
        <v>-17.726050000000001</v>
      </c>
      <c r="S253" s="119"/>
      <c r="T253" s="120"/>
      <c r="U253" s="119"/>
      <c r="V253" s="121"/>
      <c r="W253" s="119"/>
      <c r="X253" s="121"/>
      <c r="Y253" s="119"/>
      <c r="Z253" s="121"/>
      <c r="AA253" s="119"/>
      <c r="AB253" s="121"/>
      <c r="AC253" s="119"/>
      <c r="AD253" s="121"/>
      <c r="AE253" s="119"/>
      <c r="AF253" s="121"/>
      <c r="AG253" s="119"/>
      <c r="AH253" s="121"/>
      <c r="AI253" s="119"/>
      <c r="AJ253" s="121"/>
      <c r="AK253" s="119"/>
      <c r="AL253" s="121"/>
      <c r="AM253" s="119"/>
      <c r="AN253" s="121"/>
    </row>
    <row r="254" spans="2:40" s="116" customFormat="1" ht="18">
      <c r="B254" s="1"/>
      <c r="C254" s="1"/>
      <c r="D254" s="1"/>
      <c r="E254" s="1"/>
      <c r="F254" s="1"/>
      <c r="G254" s="1"/>
      <c r="H254" s="103"/>
      <c r="I254" s="103"/>
      <c r="J254" s="103"/>
      <c r="K254" s="103"/>
      <c r="L254" s="103"/>
      <c r="M254" s="103"/>
      <c r="N254" s="103"/>
      <c r="O254" s="103"/>
      <c r="P254" s="103"/>
      <c r="Q254" s="118"/>
      <c r="R254" s="118"/>
      <c r="S254" s="119"/>
      <c r="T254" s="118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2:40" s="116" customFormat="1" ht="18">
      <c r="B255" s="2" t="s">
        <v>114</v>
      </c>
      <c r="C255" s="1"/>
      <c r="D255" s="1"/>
      <c r="E255" s="1"/>
      <c r="F255" s="1"/>
      <c r="G255" s="1"/>
      <c r="H255" s="103"/>
      <c r="I255" s="103"/>
      <c r="J255" s="103"/>
      <c r="K255" s="103"/>
      <c r="L255" s="103"/>
      <c r="M255" s="103"/>
      <c r="N255" s="103"/>
      <c r="O255" s="103"/>
      <c r="P255" s="103"/>
      <c r="Q255" s="118"/>
      <c r="R255" s="118"/>
      <c r="S255" s="119"/>
      <c r="T255" s="118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2:40" s="116" customFormat="1" ht="18">
      <c r="B256" s="1" t="s">
        <v>115</v>
      </c>
      <c r="C256" s="1"/>
      <c r="D256" s="1"/>
      <c r="E256" s="1"/>
      <c r="F256" s="1"/>
      <c r="G256" s="1"/>
      <c r="H256" s="211">
        <v>0</v>
      </c>
      <c r="I256" s="103"/>
      <c r="J256" s="211">
        <v>118.75</v>
      </c>
      <c r="K256" s="103"/>
      <c r="L256" s="211">
        <v>0</v>
      </c>
      <c r="M256" s="103"/>
      <c r="N256" s="211">
        <v>190</v>
      </c>
      <c r="O256" s="103"/>
      <c r="P256" s="211">
        <v>0</v>
      </c>
      <c r="Q256" s="118"/>
      <c r="R256" s="211">
        <v>283.64909999999998</v>
      </c>
      <c r="S256" s="126"/>
      <c r="T256" s="118"/>
      <c r="U256" s="126"/>
      <c r="V256" s="119"/>
      <c r="W256" s="126"/>
      <c r="X256" s="119"/>
      <c r="Y256" s="126"/>
      <c r="Z256" s="119"/>
      <c r="AA256" s="126"/>
      <c r="AB256" s="119"/>
      <c r="AC256" s="126"/>
      <c r="AD256" s="119"/>
      <c r="AE256" s="126"/>
      <c r="AF256" s="119"/>
      <c r="AG256" s="126"/>
      <c r="AH256" s="119"/>
      <c r="AI256" s="126"/>
      <c r="AJ256" s="119"/>
      <c r="AK256" s="126"/>
      <c r="AL256" s="119"/>
      <c r="AM256" s="126"/>
      <c r="AN256" s="119"/>
    </row>
    <row r="257" spans="2:40" s="116" customFormat="1" ht="18">
      <c r="B257" s="1" t="s">
        <v>116</v>
      </c>
      <c r="C257" s="1"/>
      <c r="D257" s="1"/>
      <c r="E257" s="1"/>
      <c r="F257" s="1"/>
      <c r="G257" s="1"/>
      <c r="H257" s="211">
        <v>0</v>
      </c>
      <c r="I257" s="103"/>
      <c r="J257" s="211">
        <v>-57.34675</v>
      </c>
      <c r="K257" s="103"/>
      <c r="L257" s="211">
        <v>0</v>
      </c>
      <c r="M257" s="103"/>
      <c r="N257" s="211">
        <v>-173.99250000000001</v>
      </c>
      <c r="O257" s="103"/>
      <c r="P257" s="211">
        <v>0</v>
      </c>
      <c r="Q257" s="118"/>
      <c r="R257" s="211">
        <v>-248.08964999999998</v>
      </c>
      <c r="S257" s="119"/>
      <c r="T257" s="118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2:40" s="116" customFormat="1" ht="18">
      <c r="B258" s="1" t="s">
        <v>117</v>
      </c>
      <c r="C258" s="1"/>
      <c r="D258" s="1"/>
      <c r="E258" s="1"/>
      <c r="F258" s="1"/>
      <c r="G258" s="1"/>
      <c r="H258" s="211">
        <v>95</v>
      </c>
      <c r="I258" s="103"/>
      <c r="J258" s="211">
        <v>0</v>
      </c>
      <c r="K258" s="103"/>
      <c r="L258" s="211">
        <v>33.25</v>
      </c>
      <c r="M258" s="103"/>
      <c r="N258" s="211">
        <v>0</v>
      </c>
      <c r="O258" s="103"/>
      <c r="P258" s="211">
        <v>0</v>
      </c>
      <c r="Q258" s="118"/>
      <c r="R258" s="211">
        <v>0</v>
      </c>
      <c r="S258" s="126"/>
      <c r="T258" s="118"/>
      <c r="U258" s="126"/>
      <c r="V258" s="119"/>
      <c r="W258" s="126"/>
      <c r="X258" s="119"/>
      <c r="Y258" s="126"/>
      <c r="Z258" s="119"/>
      <c r="AA258" s="126"/>
      <c r="AB258" s="119"/>
      <c r="AC258" s="126"/>
      <c r="AD258" s="119"/>
      <c r="AE258" s="126"/>
      <c r="AF258" s="119"/>
      <c r="AG258" s="126"/>
      <c r="AH258" s="119"/>
      <c r="AI258" s="126"/>
      <c r="AJ258" s="119"/>
      <c r="AK258" s="126"/>
      <c r="AL258" s="119"/>
      <c r="AM258" s="126"/>
      <c r="AN258" s="119"/>
    </row>
    <row r="259" spans="2:40" s="116" customFormat="1" ht="18">
      <c r="B259" s="1" t="s">
        <v>118</v>
      </c>
      <c r="C259" s="1"/>
      <c r="D259" s="1"/>
      <c r="E259" s="1"/>
      <c r="F259" s="1"/>
      <c r="G259" s="1"/>
      <c r="H259" s="211">
        <v>-185.02010000000001</v>
      </c>
      <c r="I259" s="103"/>
      <c r="J259" s="211">
        <v>-60.61665</v>
      </c>
      <c r="K259" s="103"/>
      <c r="L259" s="211">
        <v>-33.669899999999998</v>
      </c>
      <c r="M259" s="103"/>
      <c r="N259" s="211">
        <v>-3.3249999999999997</v>
      </c>
      <c r="O259" s="103"/>
      <c r="P259" s="211">
        <v>-28.334699999999998</v>
      </c>
      <c r="Q259" s="118"/>
      <c r="R259" s="211">
        <v>0</v>
      </c>
      <c r="S259" s="126"/>
      <c r="T259" s="118"/>
      <c r="U259" s="126"/>
      <c r="V259" s="119"/>
      <c r="W259" s="126"/>
      <c r="X259" s="119"/>
      <c r="Y259" s="126"/>
      <c r="Z259" s="119"/>
      <c r="AA259" s="126"/>
      <c r="AB259" s="119"/>
      <c r="AC259" s="126"/>
      <c r="AD259" s="119"/>
      <c r="AE259" s="126"/>
      <c r="AF259" s="119"/>
      <c r="AG259" s="126"/>
      <c r="AH259" s="119"/>
      <c r="AI259" s="126"/>
      <c r="AJ259" s="119"/>
      <c r="AK259" s="126"/>
      <c r="AL259" s="119"/>
      <c r="AM259" s="126"/>
      <c r="AN259" s="119"/>
    </row>
    <row r="260" spans="2:40" s="116" customFormat="1" ht="18">
      <c r="B260" s="1" t="s">
        <v>119</v>
      </c>
      <c r="C260" s="1"/>
      <c r="D260" s="1"/>
      <c r="E260" s="1"/>
      <c r="F260" s="1"/>
      <c r="G260" s="1"/>
      <c r="H260" s="211">
        <v>-33.929250000000003</v>
      </c>
      <c r="I260" s="103"/>
      <c r="J260" s="211">
        <v>-33.9283</v>
      </c>
      <c r="K260" s="103"/>
      <c r="L260" s="211">
        <v>-33.9283</v>
      </c>
      <c r="M260" s="103"/>
      <c r="N260" s="211">
        <v>-33.9283</v>
      </c>
      <c r="O260" s="103"/>
      <c r="P260" s="211">
        <v>-50.8934</v>
      </c>
      <c r="Q260" s="118"/>
      <c r="R260" s="211">
        <v>0</v>
      </c>
      <c r="S260" s="126"/>
      <c r="T260" s="118"/>
      <c r="U260" s="126"/>
      <c r="V260" s="119"/>
      <c r="W260" s="126"/>
      <c r="X260" s="119"/>
      <c r="Y260" s="126"/>
      <c r="Z260" s="119"/>
      <c r="AA260" s="126"/>
      <c r="AB260" s="119"/>
      <c r="AC260" s="126"/>
      <c r="AD260" s="119"/>
      <c r="AE260" s="126"/>
      <c r="AF260" s="119"/>
      <c r="AG260" s="126"/>
      <c r="AH260" s="119"/>
      <c r="AI260" s="126"/>
      <c r="AJ260" s="119"/>
      <c r="AK260" s="126"/>
      <c r="AL260" s="119"/>
      <c r="AM260" s="126"/>
      <c r="AN260" s="119"/>
    </row>
    <row r="261" spans="2:40" s="116" customFormat="1" ht="18">
      <c r="B261" s="1" t="s">
        <v>120</v>
      </c>
      <c r="C261" s="1"/>
      <c r="D261" s="1"/>
      <c r="E261" s="1"/>
      <c r="F261" s="1"/>
      <c r="G261" s="1"/>
      <c r="H261" s="211">
        <v>-5.9108999999999998</v>
      </c>
      <c r="I261" s="103"/>
      <c r="J261" s="211">
        <v>-6.2054</v>
      </c>
      <c r="K261" s="103"/>
      <c r="L261" s="211">
        <v>-6.5150999999999994</v>
      </c>
      <c r="M261" s="103"/>
      <c r="N261" s="211">
        <v>-6.84</v>
      </c>
      <c r="O261" s="103"/>
      <c r="P261" s="211">
        <v>-7.1819999999999995</v>
      </c>
      <c r="Q261" s="118"/>
      <c r="R261" s="211">
        <v>-7.9163499999999996</v>
      </c>
      <c r="S261" s="123"/>
      <c r="T261" s="118"/>
      <c r="U261" s="123"/>
      <c r="V261" s="131"/>
      <c r="W261" s="123"/>
      <c r="X261" s="131"/>
      <c r="Y261" s="123"/>
      <c r="Z261" s="131"/>
      <c r="AA261" s="123"/>
      <c r="AB261" s="119"/>
      <c r="AC261" s="123"/>
      <c r="AD261" s="119"/>
      <c r="AE261" s="123"/>
      <c r="AF261" s="119"/>
      <c r="AG261" s="123"/>
      <c r="AH261" s="119"/>
      <c r="AI261" s="123"/>
      <c r="AJ261" s="119"/>
      <c r="AK261" s="123"/>
      <c r="AL261" s="119"/>
      <c r="AM261" s="123"/>
      <c r="AN261" s="119"/>
    </row>
    <row r="262" spans="2:40" s="116" customFormat="1" ht="18">
      <c r="B262" s="1" t="s">
        <v>121</v>
      </c>
      <c r="C262" s="1"/>
      <c r="D262" s="1"/>
      <c r="E262" s="1"/>
      <c r="F262" s="1"/>
      <c r="G262" s="1"/>
      <c r="H262" s="211">
        <v>0</v>
      </c>
      <c r="I262" s="103"/>
      <c r="J262" s="211">
        <v>0</v>
      </c>
      <c r="K262" s="103"/>
      <c r="L262" s="211">
        <v>0</v>
      </c>
      <c r="M262" s="103"/>
      <c r="N262" s="211">
        <v>-10.09375</v>
      </c>
      <c r="O262" s="103"/>
      <c r="P262" s="211">
        <v>0</v>
      </c>
      <c r="Q262" s="118"/>
      <c r="R262" s="211">
        <v>0</v>
      </c>
      <c r="S262" s="126"/>
      <c r="T262" s="118"/>
      <c r="U262" s="126"/>
      <c r="V262" s="119"/>
      <c r="W262" s="126"/>
      <c r="X262" s="119"/>
      <c r="Y262" s="126"/>
      <c r="Z262" s="119"/>
      <c r="AA262" s="126"/>
      <c r="AB262" s="119"/>
      <c r="AC262" s="126"/>
      <c r="AD262" s="119"/>
      <c r="AE262" s="126"/>
      <c r="AF262" s="119"/>
      <c r="AG262" s="126"/>
      <c r="AH262" s="119"/>
      <c r="AI262" s="126"/>
      <c r="AJ262" s="119"/>
      <c r="AK262" s="126"/>
      <c r="AL262" s="119"/>
      <c r="AM262" s="126"/>
      <c r="AN262" s="119"/>
    </row>
    <row r="263" spans="2:40" s="116" customFormat="1" ht="18">
      <c r="B263" s="1" t="s">
        <v>158</v>
      </c>
      <c r="C263" s="1"/>
      <c r="D263" s="1"/>
      <c r="E263" s="1"/>
      <c r="F263" s="1"/>
      <c r="G263" s="1"/>
      <c r="H263" s="103"/>
      <c r="I263" s="103"/>
      <c r="J263" s="103"/>
      <c r="K263" s="103"/>
      <c r="L263" s="103"/>
      <c r="M263" s="103"/>
      <c r="N263" s="103"/>
      <c r="O263" s="103"/>
      <c r="P263" s="103"/>
      <c r="Q263" s="118"/>
      <c r="R263" s="211">
        <v>14.811449999999999</v>
      </c>
      <c r="S263" s="121"/>
      <c r="T263" s="118"/>
      <c r="U263" s="121"/>
      <c r="V263" s="119"/>
      <c r="W263" s="121"/>
      <c r="X263" s="119"/>
      <c r="Y263" s="121"/>
      <c r="Z263" s="119"/>
      <c r="AA263" s="121"/>
      <c r="AB263" s="119"/>
      <c r="AC263" s="121"/>
      <c r="AD263" s="119"/>
      <c r="AE263" s="121"/>
      <c r="AF263" s="119"/>
      <c r="AG263" s="121"/>
      <c r="AH263" s="119"/>
      <c r="AI263" s="121"/>
      <c r="AJ263" s="119"/>
      <c r="AK263" s="121"/>
      <c r="AL263" s="119"/>
      <c r="AM263" s="121"/>
      <c r="AN263" s="119"/>
    </row>
    <row r="264" spans="2:40" s="116" customFormat="1" ht="18">
      <c r="B264" s="1" t="s">
        <v>122</v>
      </c>
      <c r="C264" s="1"/>
      <c r="D264" s="1"/>
      <c r="E264" s="1"/>
      <c r="F264" s="1"/>
      <c r="G264" s="1"/>
      <c r="H264" s="211">
        <v>-3.5311499999999998</v>
      </c>
      <c r="I264" s="103"/>
      <c r="J264" s="211">
        <v>-3.6736499999999999</v>
      </c>
      <c r="K264" s="103"/>
      <c r="L264" s="211">
        <v>-1.5066999999999999</v>
      </c>
      <c r="M264" s="103"/>
      <c r="N264" s="211">
        <v>-7.3596499999999994</v>
      </c>
      <c r="O264" s="103"/>
      <c r="P264" s="211">
        <v>-1.2701499999999999</v>
      </c>
      <c r="Q264" s="118"/>
      <c r="R264" s="211">
        <v>-6.4761499999999996</v>
      </c>
      <c r="S264" s="119"/>
      <c r="T264" s="118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2:40" s="116" customFormat="1" ht="18">
      <c r="B265" s="1" t="s">
        <v>123</v>
      </c>
      <c r="C265" s="1"/>
      <c r="D265" s="1"/>
      <c r="E265" s="1"/>
      <c r="F265" s="1"/>
      <c r="G265" s="1"/>
      <c r="H265" s="103"/>
      <c r="I265" s="103"/>
      <c r="J265" s="211">
        <v>0</v>
      </c>
      <c r="K265" s="103"/>
      <c r="L265" s="211">
        <v>0</v>
      </c>
      <c r="M265" s="103"/>
      <c r="N265" s="211">
        <v>0</v>
      </c>
      <c r="O265" s="103"/>
      <c r="P265" s="211">
        <v>-2.23725</v>
      </c>
      <c r="Q265" s="118"/>
      <c r="R265" s="211">
        <v>0</v>
      </c>
      <c r="S265" s="126"/>
      <c r="T265" s="118"/>
      <c r="U265" s="126"/>
      <c r="V265" s="119"/>
      <c r="W265" s="126"/>
      <c r="X265" s="119"/>
      <c r="Y265" s="126"/>
      <c r="Z265" s="119"/>
      <c r="AA265" s="126"/>
      <c r="AB265" s="119"/>
      <c r="AC265" s="126"/>
      <c r="AD265" s="119"/>
      <c r="AE265" s="126"/>
      <c r="AF265" s="119"/>
      <c r="AG265" s="126"/>
      <c r="AH265" s="119"/>
      <c r="AI265" s="126"/>
      <c r="AJ265" s="119"/>
      <c r="AK265" s="126"/>
      <c r="AL265" s="119"/>
      <c r="AM265" s="126"/>
      <c r="AN265" s="119"/>
    </row>
    <row r="266" spans="2:40" s="116" customFormat="1" ht="18">
      <c r="B266" s="1" t="s">
        <v>159</v>
      </c>
      <c r="C266" s="1"/>
      <c r="D266" s="1"/>
      <c r="E266" s="1"/>
      <c r="F266" s="1"/>
      <c r="G266" s="1"/>
      <c r="H266" s="211">
        <v>208.52879999999999</v>
      </c>
      <c r="I266" s="103"/>
      <c r="J266" s="103"/>
      <c r="K266" s="103"/>
      <c r="L266" s="103"/>
      <c r="M266" s="103"/>
      <c r="N266" s="103"/>
      <c r="O266" s="103"/>
      <c r="P266" s="103"/>
      <c r="Q266" s="118"/>
      <c r="R266" s="211">
        <v>-11.388599999999999</v>
      </c>
      <c r="S266" s="119"/>
      <c r="T266" s="118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2:40" s="116" customFormat="1" ht="18">
      <c r="B267" s="1" t="s">
        <v>124</v>
      </c>
      <c r="C267" s="1"/>
      <c r="D267" s="1"/>
      <c r="E267" s="1"/>
      <c r="F267" s="1"/>
      <c r="G267" s="1"/>
      <c r="H267" s="211">
        <v>-1.9398999999999997</v>
      </c>
      <c r="I267" s="103"/>
      <c r="J267" s="211">
        <v>-1.3366499999999999</v>
      </c>
      <c r="K267" s="103"/>
      <c r="L267" s="211">
        <v>-1.5959999999999999</v>
      </c>
      <c r="M267" s="103"/>
      <c r="N267" s="211">
        <v>-5.0007999999999999</v>
      </c>
      <c r="O267" s="103"/>
      <c r="P267" s="211">
        <v>-1.9009499999999999</v>
      </c>
      <c r="Q267" s="118"/>
      <c r="R267" s="211">
        <v>-1.6691499999999999</v>
      </c>
      <c r="S267" s="119"/>
      <c r="T267" s="118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2:40" s="116" customFormat="1" ht="18">
      <c r="B268" s="1" t="s">
        <v>125</v>
      </c>
      <c r="C268" s="1"/>
      <c r="D268" s="1"/>
      <c r="E268" s="1"/>
      <c r="F268" s="1"/>
      <c r="G268" s="1"/>
      <c r="H268" s="211">
        <v>0.41039999999999999</v>
      </c>
      <c r="I268" s="103"/>
      <c r="J268" s="211">
        <v>0.48069999999999996</v>
      </c>
      <c r="K268" s="103"/>
      <c r="L268" s="211">
        <v>0.43890000000000001</v>
      </c>
      <c r="M268" s="103"/>
      <c r="N268" s="211">
        <v>0.59089999999999998</v>
      </c>
      <c r="O268" s="103"/>
      <c r="P268" s="211">
        <v>0.62129999999999996</v>
      </c>
      <c r="Q268" s="120"/>
      <c r="R268" s="211">
        <v>0.93289999999999995</v>
      </c>
      <c r="S268" s="119"/>
      <c r="T268" s="118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2:40" s="116" customFormat="1" ht="18">
      <c r="B269" s="1" t="s">
        <v>160</v>
      </c>
      <c r="C269" s="1"/>
      <c r="D269" s="1"/>
      <c r="E269" s="1"/>
      <c r="F269" s="1"/>
      <c r="G269" s="1"/>
      <c r="H269" s="211">
        <v>0</v>
      </c>
      <c r="I269" s="103"/>
      <c r="J269" s="103"/>
      <c r="K269" s="103"/>
      <c r="L269" s="103"/>
      <c r="M269" s="103"/>
      <c r="N269" s="103"/>
      <c r="O269" s="103"/>
      <c r="P269" s="103"/>
      <c r="Q269" s="118"/>
      <c r="R269" s="211">
        <v>0</v>
      </c>
      <c r="S269" s="119"/>
      <c r="T269" s="118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2:40" s="116" customFormat="1" ht="18">
      <c r="B270" s="2" t="s">
        <v>126</v>
      </c>
      <c r="C270" s="1"/>
      <c r="D270" s="1"/>
      <c r="E270" s="1"/>
      <c r="F270" s="1"/>
      <c r="G270" s="1"/>
      <c r="H270" s="122">
        <f>SUM(H256:H269)</f>
        <v>73.607899999999987</v>
      </c>
      <c r="I270" s="103"/>
      <c r="J270" s="122">
        <f>SUM(J256:J269)</f>
        <v>-43.8767</v>
      </c>
      <c r="K270" s="103"/>
      <c r="L270" s="122">
        <f>SUM(L256:L269)</f>
        <v>-43.527099999999997</v>
      </c>
      <c r="M270" s="103"/>
      <c r="N270" s="122">
        <f>SUM(N256:N269)</f>
        <v>-49.949100000000008</v>
      </c>
      <c r="O270" s="103"/>
      <c r="P270" s="122">
        <f>SUM(P256:P269)</f>
        <v>-91.197149999999993</v>
      </c>
      <c r="Q270" s="118"/>
      <c r="R270" s="120">
        <f>SUM(R256:R269)</f>
        <v>23.853550000000006</v>
      </c>
      <c r="S270" s="119"/>
      <c r="T270" s="120"/>
      <c r="U270" s="119"/>
      <c r="V270" s="121"/>
      <c r="W270" s="119"/>
      <c r="X270" s="121"/>
      <c r="Y270" s="119"/>
      <c r="Z270" s="121"/>
      <c r="AA270" s="119"/>
      <c r="AB270" s="121"/>
      <c r="AC270" s="119"/>
      <c r="AD270" s="121"/>
      <c r="AE270" s="119"/>
      <c r="AF270" s="121"/>
      <c r="AG270" s="119"/>
      <c r="AH270" s="121"/>
      <c r="AI270" s="119"/>
      <c r="AJ270" s="121"/>
      <c r="AK270" s="119"/>
      <c r="AL270" s="121"/>
      <c r="AM270" s="119"/>
      <c r="AN270" s="121"/>
    </row>
    <row r="271" spans="2:40" s="116" customFormat="1" ht="18">
      <c r="B271" s="1"/>
      <c r="C271" s="1"/>
      <c r="D271" s="1"/>
      <c r="E271" s="1"/>
      <c r="F271" s="1"/>
      <c r="G271" s="1"/>
      <c r="H271" s="103"/>
      <c r="I271" s="103"/>
      <c r="J271" s="103"/>
      <c r="K271" s="103"/>
      <c r="L271" s="103"/>
      <c r="M271" s="103"/>
      <c r="N271" s="103"/>
      <c r="O271" s="103"/>
      <c r="P271" s="103"/>
      <c r="Q271" s="118"/>
      <c r="R271" s="118"/>
      <c r="S271" s="119"/>
      <c r="T271" s="118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2:40" s="116" customFormat="1" ht="18">
      <c r="B272" s="1" t="s">
        <v>127</v>
      </c>
      <c r="C272" s="1"/>
      <c r="D272" s="1"/>
      <c r="E272" s="1"/>
      <c r="F272" s="1"/>
      <c r="G272" s="1"/>
      <c r="H272" s="211">
        <v>1.8543999999999998</v>
      </c>
      <c r="I272" s="103"/>
      <c r="J272" s="211">
        <v>-1.5931500000000001</v>
      </c>
      <c r="K272" s="103"/>
      <c r="L272" s="211">
        <v>1.5541999999999998</v>
      </c>
      <c r="M272" s="103"/>
      <c r="N272" s="211">
        <v>1.7271000000000001</v>
      </c>
      <c r="O272" s="103"/>
      <c r="P272" s="211">
        <v>-3.9899999999999998E-2</v>
      </c>
      <c r="Q272" s="120"/>
      <c r="R272" s="211">
        <v>-15.035649999999999</v>
      </c>
      <c r="S272" s="119"/>
      <c r="T272" s="118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2:40" s="116" customFormat="1" ht="18">
      <c r="B273" s="2" t="s">
        <v>128</v>
      </c>
      <c r="C273" s="1"/>
      <c r="D273" s="1"/>
      <c r="E273" s="1"/>
      <c r="F273" s="1"/>
      <c r="G273" s="1"/>
      <c r="H273" s="122">
        <f>H243+H253+H270+H272</f>
        <v>-89.10049999999994</v>
      </c>
      <c r="I273" s="103"/>
      <c r="J273" s="122">
        <f>J243+J253+J270+J272</f>
        <v>7.8241999999999425</v>
      </c>
      <c r="K273" s="103"/>
      <c r="L273" s="122">
        <f>L243+L253+L270+L272</f>
        <v>-18.982900000000015</v>
      </c>
      <c r="M273" s="103"/>
      <c r="N273" s="122">
        <f>N243+N253+N270+N272</f>
        <v>26.732049999999958</v>
      </c>
      <c r="O273" s="103"/>
      <c r="P273" s="122">
        <f>P243+P253+P270+P272</f>
        <v>31.425999999999949</v>
      </c>
      <c r="Q273" s="118"/>
      <c r="R273" s="120">
        <f>R243+R253+R270+R272</f>
        <v>133.82745000000011</v>
      </c>
      <c r="S273" s="119"/>
      <c r="T273" s="120"/>
      <c r="U273" s="119"/>
      <c r="V273" s="121"/>
      <c r="W273" s="119"/>
      <c r="X273" s="121"/>
      <c r="Y273" s="119"/>
      <c r="Z273" s="121"/>
      <c r="AA273" s="119"/>
      <c r="AB273" s="121"/>
      <c r="AC273" s="119"/>
      <c r="AD273" s="121"/>
      <c r="AE273" s="119"/>
      <c r="AF273" s="121"/>
      <c r="AG273" s="119"/>
      <c r="AH273" s="121"/>
      <c r="AI273" s="119"/>
      <c r="AJ273" s="121"/>
      <c r="AK273" s="119"/>
      <c r="AL273" s="121"/>
      <c r="AM273" s="119"/>
      <c r="AN273" s="121"/>
    </row>
    <row r="274" spans="2:40" s="116" customFormat="1" ht="18">
      <c r="B274" s="2" t="s">
        <v>129</v>
      </c>
      <c r="C274" s="1"/>
      <c r="D274" s="1"/>
      <c r="E274" s="1"/>
      <c r="F274" s="1"/>
      <c r="G274" s="1"/>
      <c r="H274" s="211" t="s">
        <v>132</v>
      </c>
      <c r="I274" s="103"/>
      <c r="J274" s="103"/>
      <c r="K274" s="103"/>
      <c r="L274" s="103"/>
      <c r="M274" s="103"/>
      <c r="N274" s="103"/>
      <c r="O274" s="103"/>
      <c r="P274" s="103"/>
      <c r="Q274" s="118"/>
      <c r="R274" s="118"/>
      <c r="S274" s="119"/>
      <c r="T274" s="118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2:40" s="116" customFormat="1" ht="18">
      <c r="B275" s="1" t="s">
        <v>130</v>
      </c>
      <c r="C275" s="1"/>
      <c r="D275" s="1"/>
      <c r="E275" s="1"/>
      <c r="F275" s="1"/>
      <c r="G275" s="1"/>
      <c r="H275" s="211">
        <v>338.81464999999997</v>
      </c>
      <c r="I275" s="103"/>
      <c r="J275" s="211">
        <v>253.26239999999999</v>
      </c>
      <c r="K275" s="103"/>
      <c r="L275" s="211">
        <v>265.48604999999998</v>
      </c>
      <c r="M275" s="103"/>
      <c r="N275" s="211">
        <v>249.43294999999998</v>
      </c>
      <c r="O275" s="103"/>
      <c r="P275" s="211">
        <v>276.75399999999996</v>
      </c>
      <c r="Q275" s="120"/>
      <c r="R275" s="211">
        <v>179.65544999999997</v>
      </c>
      <c r="S275" s="119"/>
      <c r="T275" s="118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2:40" s="116" customFormat="1" ht="18">
      <c r="B276" s="2" t="s">
        <v>131</v>
      </c>
      <c r="C276" s="1"/>
      <c r="D276" s="1"/>
      <c r="E276" s="1"/>
      <c r="F276" s="1"/>
      <c r="G276" s="1"/>
      <c r="H276" s="122">
        <f>H273+H275</f>
        <v>249.71415000000002</v>
      </c>
      <c r="I276" s="103"/>
      <c r="J276" s="122">
        <f>J273+J275</f>
        <v>261.08659999999992</v>
      </c>
      <c r="K276" s="103"/>
      <c r="L276" s="122">
        <f>L273+L275</f>
        <v>246.50314999999995</v>
      </c>
      <c r="M276" s="103"/>
      <c r="N276" s="122">
        <f>N273+N275</f>
        <v>276.16499999999996</v>
      </c>
      <c r="O276" s="103"/>
      <c r="P276" s="122">
        <f>P273+P275</f>
        <v>308.17999999999989</v>
      </c>
      <c r="Q276" s="118"/>
      <c r="R276" s="120">
        <f>R273+R275</f>
        <v>313.48290000000009</v>
      </c>
      <c r="S276" s="119"/>
      <c r="T276" s="120"/>
      <c r="U276" s="119"/>
      <c r="V276" s="121"/>
      <c r="W276" s="119"/>
      <c r="X276" s="121"/>
      <c r="Y276" s="119"/>
      <c r="Z276" s="121"/>
      <c r="AA276" s="119"/>
      <c r="AB276" s="121"/>
      <c r="AC276" s="119"/>
      <c r="AD276" s="121"/>
      <c r="AE276" s="119"/>
      <c r="AF276" s="121"/>
      <c r="AG276" s="119"/>
      <c r="AH276" s="121"/>
      <c r="AI276" s="119"/>
      <c r="AJ276" s="121"/>
      <c r="AK276" s="119"/>
      <c r="AL276" s="121"/>
      <c r="AM276" s="119"/>
      <c r="AN276" s="121"/>
    </row>
    <row r="277" spans="2:40" s="116" customFormat="1" ht="18">
      <c r="B277" s="1"/>
      <c r="C277" s="1"/>
      <c r="D277" s="1"/>
      <c r="E277" s="1"/>
      <c r="F277" s="1"/>
      <c r="G277" s="1"/>
      <c r="H277" s="103"/>
      <c r="I277" s="103"/>
      <c r="J277" s="103"/>
      <c r="K277" s="103"/>
      <c r="L277" s="103"/>
      <c r="M277" s="103"/>
      <c r="N277" s="103"/>
      <c r="O277" s="103"/>
      <c r="P277" s="103"/>
      <c r="Q277" s="118"/>
      <c r="R277" s="118"/>
      <c r="S277" s="119"/>
      <c r="T277" s="118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2:40" s="116" customFormat="1" ht="18">
      <c r="B278" s="1" t="s">
        <v>24</v>
      </c>
      <c r="C278" s="1"/>
      <c r="D278" s="1"/>
      <c r="E278" s="1"/>
      <c r="F278" s="1"/>
      <c r="G278" s="1"/>
      <c r="H278" s="211">
        <v>101.8552</v>
      </c>
      <c r="I278" s="103"/>
      <c r="J278" s="211">
        <v>153.62354999999999</v>
      </c>
      <c r="K278" s="103"/>
      <c r="L278" s="211">
        <v>171.08359999999999</v>
      </c>
      <c r="M278" s="103"/>
      <c r="N278" s="211">
        <v>147.49699999999999</v>
      </c>
      <c r="O278" s="103"/>
      <c r="P278" s="211">
        <v>91.462199999999996</v>
      </c>
      <c r="Q278" s="118"/>
      <c r="R278" s="211">
        <v>259.73284999999998</v>
      </c>
      <c r="S278" s="119"/>
      <c r="T278" s="118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2:40" s="116" customFormat="1" ht="18">
      <c r="B279" s="1"/>
      <c r="C279" s="1"/>
      <c r="D279" s="1"/>
      <c r="E279" s="1"/>
      <c r="F279" s="1"/>
      <c r="G279" s="1"/>
      <c r="H279" s="103"/>
      <c r="I279" s="103"/>
      <c r="J279" s="103"/>
      <c r="K279" s="103"/>
      <c r="L279" s="103"/>
      <c r="M279" s="103"/>
      <c r="N279" s="103"/>
      <c r="O279" s="103"/>
      <c r="P279" s="103"/>
      <c r="Q279" s="118"/>
      <c r="R279" s="118"/>
      <c r="S279" s="119"/>
      <c r="T279" s="118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2:40" s="116" customFormat="1" ht="18">
      <c r="B280" s="1" t="s">
        <v>134</v>
      </c>
      <c r="C280" s="1"/>
      <c r="D280" s="1"/>
      <c r="E280" s="1"/>
      <c r="F280" s="1"/>
      <c r="G280" s="1"/>
      <c r="H280" s="211">
        <v>9.848650000000001</v>
      </c>
      <c r="I280" s="103"/>
      <c r="J280" s="211">
        <v>7.0005499999999996</v>
      </c>
      <c r="K280" s="103"/>
      <c r="L280" s="211">
        <v>1.81355</v>
      </c>
      <c r="M280" s="103"/>
      <c r="N280" s="211">
        <v>15.145849999999999</v>
      </c>
      <c r="O280" s="103"/>
      <c r="P280" s="211">
        <v>19.683050000000001</v>
      </c>
      <c r="Q280" s="118"/>
      <c r="R280" s="118"/>
      <c r="S280" s="119"/>
      <c r="T280" s="118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2:40" s="116" customFormat="1" ht="18">
      <c r="B281" s="1" t="s">
        <v>135</v>
      </c>
      <c r="C281" s="1"/>
      <c r="D281" s="1"/>
      <c r="E281" s="1"/>
      <c r="F281" s="1"/>
      <c r="G281" s="1"/>
      <c r="H281" s="211">
        <v>5.7142499999999998</v>
      </c>
      <c r="I281" s="103"/>
      <c r="J281" s="211">
        <v>5.4197499999999996</v>
      </c>
      <c r="K281" s="103"/>
      <c r="L281" s="211">
        <v>8.4131999999999998</v>
      </c>
      <c r="M281" s="103"/>
      <c r="N281" s="211">
        <v>7.0622999999999996</v>
      </c>
      <c r="O281" s="103"/>
      <c r="P281" s="211">
        <v>7.8944999999999999</v>
      </c>
      <c r="Q281" s="118"/>
      <c r="R281" s="118"/>
      <c r="S281" s="119"/>
      <c r="T281" s="118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2:40" s="116" customFormat="1" ht="18">
      <c r="B282" s="1"/>
      <c r="C282" s="1"/>
      <c r="D282" s="1"/>
      <c r="E282" s="1"/>
      <c r="F282" s="1"/>
      <c r="G282" s="1"/>
      <c r="H282" s="103"/>
      <c r="I282" s="103"/>
      <c r="J282" s="103"/>
      <c r="K282" s="103"/>
      <c r="L282" s="103"/>
      <c r="M282" s="103"/>
      <c r="N282" s="103"/>
      <c r="O282" s="103"/>
      <c r="P282" s="103"/>
      <c r="Q282" s="118"/>
      <c r="R282" s="118"/>
      <c r="S282" s="119"/>
      <c r="T282" s="118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2:40" s="116" customFormat="1" ht="18">
      <c r="B283" s="1" t="s">
        <v>143</v>
      </c>
      <c r="C283" s="1"/>
      <c r="D283" s="1"/>
      <c r="E283" s="1"/>
      <c r="F283" s="1"/>
      <c r="G283" s="1"/>
      <c r="H283" s="104">
        <f>+H206</f>
        <v>-17.839099999999998</v>
      </c>
      <c r="I283" s="104"/>
      <c r="J283" s="104">
        <f>+J206</f>
        <v>-13.06345</v>
      </c>
      <c r="K283" s="104"/>
      <c r="L283" s="104">
        <f>+L206</f>
        <v>-7.9163499999999996</v>
      </c>
      <c r="M283" s="104"/>
      <c r="N283" s="104">
        <f>+N206</f>
        <v>-27.104449999999996</v>
      </c>
      <c r="O283" s="104"/>
      <c r="P283" s="104">
        <f>+P206</f>
        <v>-22.040949999999999</v>
      </c>
      <c r="Q283" s="13"/>
      <c r="R283" s="13">
        <f>+R206</f>
        <v>-16.4711</v>
      </c>
      <c r="S283" s="123"/>
      <c r="T283" s="13"/>
      <c r="U283" s="123"/>
      <c r="V283" s="123"/>
      <c r="W283" s="123"/>
      <c r="X283" s="123"/>
      <c r="Y283" s="123"/>
      <c r="Z283" s="123"/>
      <c r="AA283" s="123"/>
      <c r="AB283" s="123"/>
      <c r="AC283" s="123"/>
      <c r="AD283" s="123"/>
      <c r="AE283" s="123"/>
      <c r="AF283" s="123"/>
      <c r="AG283" s="123"/>
      <c r="AH283" s="123"/>
      <c r="AI283" s="123"/>
      <c r="AJ283" s="123"/>
      <c r="AK283" s="123"/>
      <c r="AL283" s="123"/>
      <c r="AM283" s="123"/>
      <c r="AN283" s="123"/>
    </row>
    <row r="284" spans="2:40" s="116" customFormat="1" ht="18">
      <c r="B284" s="1" t="s">
        <v>144</v>
      </c>
      <c r="C284" s="1"/>
      <c r="D284" s="1"/>
      <c r="E284" s="1"/>
      <c r="F284" s="1"/>
      <c r="G284" s="1"/>
      <c r="H284" s="104">
        <f>+H223+H224</f>
        <v>10.299899999999999</v>
      </c>
      <c r="I284" s="104"/>
      <c r="J284" s="104">
        <f>+J223+J224</f>
        <v>8.8606499999999997</v>
      </c>
      <c r="K284" s="104"/>
      <c r="L284" s="104">
        <f>+L223+L224</f>
        <v>9.3679500000000004</v>
      </c>
      <c r="M284" s="104"/>
      <c r="N284" s="104">
        <f>+N223+N224</f>
        <v>9.6339500000000005</v>
      </c>
      <c r="O284" s="104"/>
      <c r="P284" s="104">
        <f>+P223+P224</f>
        <v>3.0200499999999999</v>
      </c>
      <c r="Q284" s="13"/>
      <c r="R284" s="13">
        <f>+R223+R224</f>
        <v>2.3769</v>
      </c>
      <c r="S284" s="123"/>
      <c r="T284" s="1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  <c r="AE284" s="123"/>
      <c r="AF284" s="123"/>
      <c r="AG284" s="123"/>
      <c r="AH284" s="123"/>
      <c r="AI284" s="123"/>
      <c r="AJ284" s="123"/>
      <c r="AK284" s="123"/>
      <c r="AL284" s="123"/>
      <c r="AM284" s="123"/>
      <c r="AN284" s="123"/>
    </row>
    <row r="285" spans="2:40" s="132" customFormat="1" ht="18">
      <c r="B285" s="2" t="s">
        <v>25</v>
      </c>
      <c r="C285" s="2"/>
      <c r="D285" s="2"/>
      <c r="E285" s="2"/>
      <c r="F285" s="2"/>
      <c r="G285" s="2"/>
      <c r="H285" s="122">
        <f>+H283+H284</f>
        <v>-7.5391999999999992</v>
      </c>
      <c r="I285" s="122"/>
      <c r="J285" s="122">
        <f>+J283+J284</f>
        <v>-4.2027999999999999</v>
      </c>
      <c r="K285" s="122"/>
      <c r="L285" s="122">
        <f>+L283+L284</f>
        <v>1.4516000000000009</v>
      </c>
      <c r="M285" s="122"/>
      <c r="N285" s="122">
        <f>+N283+N284</f>
        <v>-17.470499999999994</v>
      </c>
      <c r="O285" s="122"/>
      <c r="P285" s="122">
        <f>+P283+P284</f>
        <v>-19.020899999999997</v>
      </c>
      <c r="Q285" s="120"/>
      <c r="R285" s="120">
        <f>+R283+R284</f>
        <v>-14.094200000000001</v>
      </c>
      <c r="S285" s="121"/>
      <c r="T285" s="120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</row>
    <row r="286" spans="2:40" s="116" customFormat="1" ht="18">
      <c r="B286" s="1"/>
      <c r="C286" s="1"/>
      <c r="D286" s="1"/>
      <c r="E286" s="1"/>
      <c r="F286" s="1"/>
      <c r="G286" s="1"/>
      <c r="H286" s="103"/>
      <c r="I286" s="103"/>
      <c r="J286" s="103"/>
      <c r="K286" s="103"/>
      <c r="L286" s="103"/>
      <c r="M286" s="103"/>
      <c r="N286" s="103"/>
      <c r="O286" s="103"/>
      <c r="P286" s="103"/>
      <c r="Q286" s="118"/>
      <c r="R286" s="118"/>
      <c r="S286" s="119"/>
      <c r="T286" s="118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2:40" s="116" customFormat="1" ht="18">
      <c r="B287" s="1" t="s">
        <v>145</v>
      </c>
      <c r="C287" s="1"/>
      <c r="D287" s="1"/>
      <c r="E287" s="1"/>
      <c r="F287" s="1"/>
      <c r="G287" s="1"/>
      <c r="H287" s="104">
        <f>-H213</f>
        <v>47.902799999999999</v>
      </c>
      <c r="I287" s="104"/>
      <c r="J287" s="104">
        <f>-J213</f>
        <v>-2.2799999999999998</v>
      </c>
      <c r="K287" s="104"/>
      <c r="L287" s="104">
        <f>-L213</f>
        <v>-7.4660500000000001</v>
      </c>
      <c r="M287" s="104"/>
      <c r="N287" s="104">
        <f>-N213</f>
        <v>17.76595</v>
      </c>
      <c r="O287" s="104"/>
      <c r="P287" s="104">
        <f>-P213</f>
        <v>8.5100999999999996</v>
      </c>
      <c r="Q287" s="13"/>
      <c r="R287" s="13">
        <f>-R213</f>
        <v>-17.4344</v>
      </c>
      <c r="S287" s="123"/>
      <c r="T287" s="1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  <c r="AH287" s="123"/>
      <c r="AI287" s="123"/>
      <c r="AJ287" s="123"/>
      <c r="AK287" s="123"/>
      <c r="AL287" s="123"/>
      <c r="AM287" s="123"/>
      <c r="AN287" s="123"/>
    </row>
    <row r="288" spans="2:40" s="116" customFormat="1" ht="18">
      <c r="B288" s="1" t="s">
        <v>146</v>
      </c>
      <c r="C288" s="1"/>
      <c r="D288" s="1"/>
      <c r="E288" s="1"/>
      <c r="F288" s="1"/>
      <c r="G288" s="1"/>
      <c r="H288" s="104">
        <f>+H226</f>
        <v>-51.85575</v>
      </c>
      <c r="I288" s="104"/>
      <c r="J288" s="104">
        <f>+J226</f>
        <v>-2.3085</v>
      </c>
      <c r="K288" s="104"/>
      <c r="L288" s="104">
        <f>+L226</f>
        <v>3.3107499999999996</v>
      </c>
      <c r="M288" s="104"/>
      <c r="N288" s="104">
        <f>+N226</f>
        <v>-3.68885</v>
      </c>
      <c r="O288" s="104"/>
      <c r="P288" s="104">
        <f>+P226</f>
        <v>-14.441899999999999</v>
      </c>
      <c r="Q288" s="13"/>
      <c r="R288" s="13">
        <f>+R226</f>
        <v>10.955399999999999</v>
      </c>
      <c r="S288" s="123"/>
      <c r="T288" s="13"/>
      <c r="U288" s="123"/>
      <c r="V288" s="123"/>
      <c r="W288" s="123"/>
      <c r="X288" s="123"/>
      <c r="Y288" s="123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123"/>
      <c r="AN288" s="123"/>
    </row>
    <row r="289" spans="2:40" s="116" customFormat="1" ht="18">
      <c r="B289" s="1" t="s">
        <v>105</v>
      </c>
      <c r="C289" s="1"/>
      <c r="D289" s="1"/>
      <c r="E289" s="1"/>
      <c r="F289" s="1"/>
      <c r="G289" s="1"/>
      <c r="H289" s="104">
        <f>+H242</f>
        <v>-14.895999999999999</v>
      </c>
      <c r="I289" s="104"/>
      <c r="J289" s="104">
        <f>+J242</f>
        <v>0.91579999999999995</v>
      </c>
      <c r="K289" s="104"/>
      <c r="L289" s="104">
        <f>+L242</f>
        <v>-4.2332000000000001</v>
      </c>
      <c r="M289" s="104"/>
      <c r="N289" s="104">
        <f>+N242</f>
        <v>-21.017799999999998</v>
      </c>
      <c r="O289" s="104"/>
      <c r="P289" s="104">
        <f>+P242</f>
        <v>0</v>
      </c>
      <c r="Q289" s="13"/>
      <c r="R289" s="13">
        <f>+R242</f>
        <v>0</v>
      </c>
      <c r="S289" s="123"/>
      <c r="T289" s="13"/>
      <c r="U289" s="123"/>
      <c r="V289" s="123"/>
      <c r="W289" s="123"/>
      <c r="X289" s="123"/>
      <c r="Y289" s="123"/>
      <c r="Z289" s="123"/>
      <c r="AA289" s="123"/>
      <c r="AB289" s="123"/>
      <c r="AC289" s="123"/>
      <c r="AD289" s="123"/>
      <c r="AE289" s="123"/>
      <c r="AF289" s="123"/>
      <c r="AG289" s="123"/>
      <c r="AH289" s="123"/>
      <c r="AI289" s="123"/>
      <c r="AJ289" s="123"/>
      <c r="AK289" s="123"/>
      <c r="AL289" s="123"/>
      <c r="AM289" s="123"/>
      <c r="AN289" s="123"/>
    </row>
    <row r="290" spans="2:40" s="116" customFormat="1" ht="18">
      <c r="B290" s="1" t="s">
        <v>154</v>
      </c>
      <c r="C290" s="1"/>
      <c r="D290" s="1"/>
      <c r="E290" s="1"/>
      <c r="F290" s="1"/>
      <c r="G290" s="1"/>
      <c r="H290" s="104">
        <f>+H238</f>
        <v>0</v>
      </c>
      <c r="I290" s="104"/>
      <c r="J290" s="104">
        <f>+J238</f>
        <v>0</v>
      </c>
      <c r="K290" s="104"/>
      <c r="L290" s="104">
        <f>+L238</f>
        <v>0</v>
      </c>
      <c r="M290" s="104"/>
      <c r="N290" s="104">
        <f>+N238</f>
        <v>0</v>
      </c>
      <c r="O290" s="104"/>
      <c r="P290" s="104">
        <f>+P238</f>
        <v>17.679499999999997</v>
      </c>
      <c r="Q290" s="13"/>
      <c r="R290" s="13">
        <f>+R238</f>
        <v>-0.39709999999999995</v>
      </c>
      <c r="S290" s="123"/>
      <c r="T290" s="13"/>
      <c r="U290" s="123"/>
      <c r="V290" s="123"/>
      <c r="W290" s="123"/>
      <c r="X290" s="123"/>
      <c r="Y290" s="123"/>
      <c r="Z290" s="123"/>
      <c r="AA290" s="123"/>
      <c r="AB290" s="123"/>
      <c r="AC290" s="123"/>
      <c r="AD290" s="123"/>
      <c r="AE290" s="123"/>
      <c r="AF290" s="123"/>
      <c r="AG290" s="123"/>
      <c r="AH290" s="123"/>
      <c r="AI290" s="123"/>
      <c r="AJ290" s="123"/>
      <c r="AK290" s="123"/>
      <c r="AL290" s="123"/>
      <c r="AM290" s="123"/>
      <c r="AN290" s="123"/>
    </row>
    <row r="291" spans="2:40" s="132" customFormat="1" ht="18">
      <c r="B291" s="2" t="s">
        <v>10</v>
      </c>
      <c r="C291" s="2"/>
      <c r="D291" s="2"/>
      <c r="E291" s="2"/>
      <c r="F291" s="2"/>
      <c r="G291" s="2"/>
      <c r="H291" s="122">
        <f>+H287+H288+H289+H290</f>
        <v>-18.848950000000002</v>
      </c>
      <c r="I291" s="122"/>
      <c r="J291" s="122">
        <f>+J287+J288+J289+J290</f>
        <v>-3.6726999999999999</v>
      </c>
      <c r="K291" s="122"/>
      <c r="L291" s="122">
        <f>+L287+L288+L289+L290</f>
        <v>-8.3885000000000005</v>
      </c>
      <c r="M291" s="122"/>
      <c r="N291" s="122">
        <f>+N287+N288+N289+N290</f>
        <v>-6.9406999999999979</v>
      </c>
      <c r="O291" s="122"/>
      <c r="P291" s="122">
        <f>+P287+P288+P289+P290</f>
        <v>11.747699999999998</v>
      </c>
      <c r="Q291" s="120"/>
      <c r="R291" s="122">
        <f>+R287+R288+R289+R290</f>
        <v>-6.876100000000001</v>
      </c>
      <c r="S291" s="121"/>
      <c r="T291" s="122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  <c r="AL291" s="121"/>
      <c r="AM291" s="121"/>
      <c r="AN291" s="121"/>
    </row>
    <row r="292" spans="2:40" s="116" customFormat="1" ht="18">
      <c r="B292" s="1"/>
      <c r="C292" s="1"/>
      <c r="D292" s="1"/>
      <c r="E292" s="1"/>
      <c r="F292" s="1"/>
      <c r="G292" s="1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</row>
    <row r="293" spans="2:40"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</row>
    <row r="294" spans="2:40"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</row>
    <row r="295" spans="2:40"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</row>
    <row r="296" spans="2:40"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</row>
    <row r="297" spans="2:40"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</row>
    <row r="298" spans="2:40"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  <c r="AN298" s="104"/>
    </row>
    <row r="299" spans="2:40"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  <c r="AN299" s="104"/>
    </row>
    <row r="300" spans="2:40"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</row>
    <row r="301" spans="2:40"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</row>
    <row r="302" spans="2:40"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</row>
    <row r="303" spans="2:40"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</row>
    <row r="304" spans="2:40"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</row>
    <row r="305" spans="8:40"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</row>
    <row r="306" spans="8:40"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/>
    </row>
    <row r="307" spans="8:40"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</row>
    <row r="308" spans="8:40"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</row>
    <row r="309" spans="8:40"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</row>
    <row r="310" spans="8:40"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</row>
    <row r="311" spans="8:40"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  <c r="AN311" s="104"/>
    </row>
    <row r="312" spans="8:40"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</row>
    <row r="313" spans="8:40"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</row>
    <row r="314" spans="8:40"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</row>
    <row r="315" spans="8:40"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</row>
    <row r="316" spans="8:40"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</row>
    <row r="317" spans="8:40"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</row>
    <row r="318" spans="8:40"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  <c r="AN318" s="104"/>
    </row>
    <row r="319" spans="8:40"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</row>
    <row r="320" spans="8:40"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  <c r="AN320" s="104"/>
    </row>
    <row r="321" spans="8:40"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</row>
    <row r="322" spans="8:40"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</row>
    <row r="323" spans="8:40"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</row>
    <row r="324" spans="8:40"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</row>
    <row r="325" spans="8:40"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</row>
    <row r="326" spans="8:40"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</row>
    <row r="327" spans="8:40"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</row>
    <row r="328" spans="8:40"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</row>
    <row r="329" spans="8:40"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</row>
    <row r="330" spans="8:40"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</row>
    <row r="331" spans="8:40"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</row>
    <row r="332" spans="8:40"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  <c r="AN332" s="104"/>
    </row>
    <row r="333" spans="8:40"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</row>
    <row r="334" spans="8:40"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</row>
    <row r="335" spans="8:40"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</row>
    <row r="336" spans="8:40"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</row>
    <row r="337" spans="8:40"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</row>
    <row r="338" spans="8:40"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</row>
    <row r="339" spans="8:40"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</row>
    <row r="340" spans="8:40"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</row>
    <row r="341" spans="8:40"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</row>
    <row r="342" spans="8:40"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</row>
    <row r="343" spans="8:40"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</row>
  </sheetData>
  <printOptions horizontalCentered="1"/>
  <pageMargins left="0.5" right="0.5" top="0.5" bottom="0.5" header="0.5" footer="0.5"/>
  <pageSetup scale="21" orientation="landscape" cellComments="asDisplayed" r:id="rId1"/>
  <headerFooter alignWithMargins="0">
    <oddFooter>&amp;C&amp;"Times New Roman,Regular"Page &amp;P of &amp;N</oddFooter>
  </headerFooter>
  <rowBreaks count="2" manualBreakCount="2">
    <brk id="106" max="82" man="1"/>
    <brk id="126" max="82" man="1"/>
  </rowBreaks>
  <ignoredErrors>
    <ignoredError sqref="H85 I85:J85 K85:L85 R85 P85 M85:O8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1FB0-8AB7-4D76-8498-974A320334D4}">
  <sheetPr>
    <tabColor rgb="FF002060"/>
  </sheetPr>
  <dimension ref="B1:BQ105"/>
  <sheetViews>
    <sheetView showGridLines="0" tabSelected="1" view="pageBreakPreview" zoomScale="68" zoomScaleNormal="70" zoomScaleSheetLayoutView="85" workbookViewId="0">
      <pane xSplit="6" ySplit="8" topLeftCell="G9" activePane="bottomRight" state="frozen"/>
      <selection activeCell="D4" sqref="D4"/>
      <selection pane="topRight" activeCell="D4" sqref="D4"/>
      <selection pane="bottomLeft" activeCell="D4" sqref="D4"/>
      <selection pane="bottomRight" activeCell="B49" sqref="B49"/>
    </sheetView>
  </sheetViews>
  <sheetFormatPr defaultColWidth="9.109375" defaultRowHeight="15.6"/>
  <cols>
    <col min="1" max="1" width="1.6640625" style="1" customWidth="1"/>
    <col min="2" max="2" width="12.6640625" style="1" customWidth="1"/>
    <col min="3" max="3" width="1.6640625" style="1" customWidth="1"/>
    <col min="4" max="4" width="12.6640625" style="1" customWidth="1"/>
    <col min="5" max="5" width="1.6640625" style="1" customWidth="1"/>
    <col min="6" max="6" width="12.6640625" style="1" customWidth="1"/>
    <col min="7" max="7" width="1.88671875" style="1" customWidth="1"/>
    <col min="8" max="8" width="12.6640625" style="1" customWidth="1"/>
    <col min="9" max="9" width="1.88671875" style="1" customWidth="1"/>
    <col min="10" max="10" width="12.6640625" style="1" customWidth="1"/>
    <col min="11" max="11" width="1.88671875" style="1" customWidth="1"/>
    <col min="12" max="12" width="12.6640625" style="1" customWidth="1"/>
    <col min="13" max="13" width="1.88671875" style="1" customWidth="1"/>
    <col min="14" max="14" width="12.6640625" style="1" customWidth="1"/>
    <col min="15" max="15" width="1.88671875" style="1" customWidth="1"/>
    <col min="16" max="16" width="12.6640625" style="1" customWidth="1"/>
    <col min="17" max="17" width="1.88671875" style="1" customWidth="1"/>
    <col min="18" max="18" width="12.6640625" style="1" customWidth="1"/>
    <col min="19" max="19" width="1.88671875" style="1" customWidth="1"/>
    <col min="20" max="20" width="12.6640625" style="1" customWidth="1"/>
    <col min="21" max="21" width="1.88671875" style="1" customWidth="1"/>
    <col min="22" max="22" width="12.6640625" style="1" customWidth="1"/>
    <col min="23" max="23" width="1.88671875" style="1" customWidth="1"/>
    <col min="24" max="24" width="12.6640625" style="1" customWidth="1"/>
    <col min="25" max="25" width="1.88671875" style="1" customWidth="1"/>
    <col min="26" max="26" width="12.6640625" style="1" customWidth="1"/>
    <col min="27" max="27" width="1.88671875" style="1" customWidth="1"/>
    <col min="28" max="28" width="12.6640625" style="1" customWidth="1"/>
    <col min="29" max="29" width="1.6640625" style="1" customWidth="1"/>
    <col min="30" max="33" width="9.109375" style="1"/>
    <col min="34" max="34" width="14" style="1" bestFit="1" customWidth="1"/>
    <col min="35" max="16384" width="9.109375" style="1"/>
  </cols>
  <sheetData>
    <row r="1" spans="2:69" s="20" customFormat="1" ht="5.0999999999999996" customHeight="1"/>
    <row r="2" spans="2:69" s="194" customFormat="1" ht="23.4">
      <c r="B2" s="192" t="s">
        <v>272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</row>
    <row r="3" spans="2:69" s="195" customFormat="1" ht="5.0999999999999996" customHeight="1"/>
    <row r="4" spans="2:69" s="196" customFormat="1" ht="18">
      <c r="G4" s="198"/>
      <c r="H4" s="198" t="s">
        <v>218</v>
      </c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9"/>
    </row>
    <row r="5" spans="2:69" s="195" customFormat="1" ht="5.0999999999999996" customHeight="1"/>
    <row r="6" spans="2:69" s="195" customFormat="1">
      <c r="B6" s="205" t="s">
        <v>197</v>
      </c>
      <c r="C6" s="201"/>
      <c r="D6" s="201"/>
      <c r="E6" s="202"/>
      <c r="F6" s="201"/>
      <c r="G6" s="201"/>
      <c r="H6" s="204">
        <f>'Financing Inputs'!T5</f>
        <v>45657</v>
      </c>
      <c r="I6" s="201"/>
      <c r="J6" s="204">
        <f>EOMONTH(H6,12)</f>
        <v>46022</v>
      </c>
      <c r="K6" s="201"/>
      <c r="L6" s="204">
        <f>EOMONTH(J6,12)</f>
        <v>46387</v>
      </c>
      <c r="M6" s="201"/>
      <c r="N6" s="204">
        <f>EOMONTH(L6,12)</f>
        <v>46752</v>
      </c>
      <c r="O6" s="201"/>
      <c r="P6" s="204">
        <f>EOMONTH(N6,12)</f>
        <v>47118</v>
      </c>
      <c r="Q6" s="201"/>
      <c r="R6" s="204">
        <f>EOMONTH(P6,12)</f>
        <v>47483</v>
      </c>
      <c r="S6" s="201"/>
      <c r="T6" s="204">
        <f>EOMONTH(R6,12)</f>
        <v>47848</v>
      </c>
      <c r="U6" s="201"/>
      <c r="V6" s="204">
        <f>EOMONTH(T6,12)</f>
        <v>48213</v>
      </c>
      <c r="W6" s="201"/>
      <c r="X6" s="204">
        <f>EOMONTH(V6,12)</f>
        <v>48579</v>
      </c>
      <c r="Y6" s="201"/>
      <c r="Z6" s="204">
        <f>EOMONTH(X6,12)</f>
        <v>48944</v>
      </c>
      <c r="AA6" s="201"/>
      <c r="AB6" s="204">
        <f>EOMONTH(Z6,12)</f>
        <v>49309</v>
      </c>
      <c r="AC6" s="201"/>
    </row>
    <row r="7" spans="2:69" s="21" customFormat="1" ht="5.0999999999999996" customHeight="1">
      <c r="B7" s="24"/>
      <c r="H7" s="25"/>
      <c r="J7" s="25"/>
      <c r="L7" s="25"/>
      <c r="N7" s="25"/>
      <c r="P7" s="25"/>
      <c r="R7" s="25"/>
      <c r="T7" s="25"/>
      <c r="V7" s="25"/>
      <c r="X7" s="25"/>
      <c r="Z7" s="25"/>
      <c r="AB7" s="25"/>
    </row>
    <row r="8" spans="2:69" s="20" customFormat="1" ht="21">
      <c r="B8" s="208" t="s">
        <v>20</v>
      </c>
      <c r="C8" s="209"/>
      <c r="D8" s="209"/>
      <c r="E8" s="209"/>
      <c r="F8" s="209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6"/>
    </row>
    <row r="9" spans="2:69" s="116" customFormat="1" ht="18">
      <c r="B9" s="1"/>
      <c r="C9" s="1"/>
      <c r="D9" s="1"/>
      <c r="E9" s="1"/>
      <c r="F9" s="1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</row>
    <row r="10" spans="2:69" s="24" customFormat="1">
      <c r="B10" s="133" t="s">
        <v>202</v>
      </c>
      <c r="C10" s="41"/>
      <c r="G10" s="30"/>
      <c r="H10" s="30"/>
      <c r="I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67"/>
      <c r="AD10" s="30"/>
      <c r="AE10" s="67"/>
      <c r="AF10" s="68"/>
      <c r="AG10" s="70"/>
      <c r="AH10" s="70"/>
      <c r="AI10" s="70"/>
      <c r="AJ10" s="30"/>
      <c r="AK10" s="67"/>
      <c r="AL10" s="68"/>
      <c r="AM10" s="67"/>
      <c r="AN10" s="68"/>
      <c r="AO10" s="67"/>
      <c r="AP10" s="30"/>
      <c r="AQ10" s="67"/>
      <c r="AR10" s="30"/>
      <c r="AS10" s="67"/>
      <c r="AT10" s="30"/>
      <c r="AU10" s="67"/>
      <c r="AV10" s="30"/>
      <c r="AW10" s="67"/>
      <c r="AX10" s="30"/>
      <c r="AY10" s="67"/>
      <c r="AZ10" s="68"/>
      <c r="BA10" s="67"/>
      <c r="BB10" s="30"/>
      <c r="BC10" s="67"/>
      <c r="BD10" s="68"/>
      <c r="BE10" s="67"/>
      <c r="BF10" s="68"/>
      <c r="BG10" s="67"/>
      <c r="BH10" s="30"/>
      <c r="BI10" s="67"/>
      <c r="BJ10" s="30"/>
      <c r="BK10" s="67"/>
      <c r="BL10" s="30"/>
      <c r="BM10" s="67"/>
      <c r="BN10" s="30"/>
      <c r="BO10" s="67"/>
      <c r="BP10" s="30"/>
      <c r="BQ10" s="67"/>
    </row>
    <row r="11" spans="2:69" s="24" customFormat="1">
      <c r="B11" s="133" t="s">
        <v>203</v>
      </c>
      <c r="C11" s="4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67"/>
      <c r="AD11" s="30"/>
      <c r="AE11" s="67"/>
      <c r="AF11" s="68"/>
      <c r="AG11" s="70"/>
      <c r="AH11" s="70"/>
      <c r="AI11" s="70"/>
      <c r="AJ11" s="30"/>
      <c r="AK11" s="67"/>
      <c r="AL11" s="68"/>
      <c r="AM11" s="67"/>
      <c r="AN11" s="68"/>
      <c r="AO11" s="67"/>
      <c r="AP11" s="30"/>
      <c r="AQ11" s="67"/>
      <c r="AR11" s="30"/>
      <c r="AS11" s="67"/>
      <c r="AT11" s="30"/>
      <c r="AU11" s="67"/>
      <c r="AV11" s="30"/>
      <c r="AW11" s="67"/>
      <c r="AX11" s="30"/>
      <c r="AY11" s="67"/>
      <c r="AZ11" s="68"/>
      <c r="BA11" s="67"/>
      <c r="BB11" s="30"/>
      <c r="BC11" s="67"/>
      <c r="BD11" s="68"/>
      <c r="BE11" s="67"/>
      <c r="BF11" s="68"/>
      <c r="BG11" s="67"/>
      <c r="BH11" s="30"/>
      <c r="BI11" s="67"/>
      <c r="BJ11" s="30"/>
      <c r="BK11" s="67"/>
      <c r="BL11" s="30"/>
      <c r="BM11" s="67"/>
      <c r="BN11" s="30"/>
      <c r="BO11" s="67"/>
      <c r="BP11" s="30"/>
      <c r="BQ11" s="67"/>
    </row>
    <row r="12" spans="2:69" s="24" customFormat="1">
      <c r="B12" s="80" t="s">
        <v>204</v>
      </c>
      <c r="C12" s="41"/>
      <c r="G12" s="30"/>
      <c r="H12" s="30"/>
      <c r="I12" s="30"/>
      <c r="J12" s="30">
        <f>H15</f>
        <v>1619.25</v>
      </c>
      <c r="K12" s="30"/>
      <c r="L12" s="30">
        <f>J15</f>
        <v>1580.0442483320521</v>
      </c>
      <c r="M12" s="30"/>
      <c r="N12" s="30">
        <f>L15</f>
        <v>1537.3099790139888</v>
      </c>
      <c r="O12" s="30"/>
      <c r="P12" s="30">
        <f>N15</f>
        <v>1490.7296254572998</v>
      </c>
      <c r="Q12" s="30"/>
      <c r="R12" s="30">
        <f>P15</f>
        <v>1439.9570400805089</v>
      </c>
      <c r="S12" s="30"/>
      <c r="T12" s="30">
        <f>R15</f>
        <v>1384.6149220198067</v>
      </c>
      <c r="U12" s="30"/>
      <c r="V12" s="30">
        <f>T15</f>
        <v>1324.2920133336415</v>
      </c>
      <c r="W12" s="30"/>
      <c r="X12" s="30">
        <f>V15</f>
        <v>1258.5400428657213</v>
      </c>
      <c r="Y12" s="30"/>
      <c r="Z12" s="30">
        <f>X15</f>
        <v>1186.8703950556883</v>
      </c>
      <c r="AA12" s="30"/>
      <c r="AB12" s="30">
        <f>Z15</f>
        <v>1108.7504789427524</v>
      </c>
      <c r="AC12" s="67"/>
      <c r="AD12" s="30"/>
      <c r="AE12" s="67"/>
      <c r="AF12" s="68"/>
      <c r="AG12" s="70"/>
      <c r="AH12" s="70"/>
      <c r="AI12" s="70"/>
      <c r="AJ12" s="30"/>
      <c r="AK12" s="67"/>
      <c r="AL12" s="68"/>
      <c r="AM12" s="67"/>
      <c r="AN12" s="68"/>
      <c r="AO12" s="67"/>
      <c r="AP12" s="30"/>
      <c r="AQ12" s="67"/>
      <c r="AR12" s="30"/>
      <c r="AS12" s="67"/>
      <c r="AT12" s="30"/>
      <c r="AU12" s="67"/>
      <c r="AV12" s="30"/>
      <c r="AW12" s="67"/>
      <c r="AX12" s="30"/>
      <c r="AY12" s="67"/>
      <c r="AZ12" s="68"/>
      <c r="BA12" s="67"/>
      <c r="BB12" s="30"/>
      <c r="BC12" s="67"/>
      <c r="BD12" s="68"/>
      <c r="BE12" s="67"/>
      <c r="BF12" s="68"/>
      <c r="BG12" s="67"/>
      <c r="BH12" s="30"/>
      <c r="BI12" s="67"/>
      <c r="BJ12" s="30"/>
      <c r="BK12" s="67"/>
      <c r="BL12" s="30"/>
      <c r="BM12" s="67"/>
      <c r="BN12" s="30"/>
      <c r="BO12" s="67"/>
      <c r="BP12" s="30"/>
      <c r="BQ12" s="67"/>
    </row>
    <row r="13" spans="2:69" s="24" customFormat="1">
      <c r="B13" s="80" t="s">
        <v>205</v>
      </c>
      <c r="C13" s="41"/>
      <c r="F13" s="30">
        <f>-IF('Financing Inputs'!$L$18=1,PMT('Financing Inputs'!$L$27,'Financing Inputs'!$L$28,'Financing Inputs'!$F$11),0)</f>
        <v>184.9382516679479</v>
      </c>
      <c r="G13" s="30"/>
      <c r="H13" s="30"/>
      <c r="I13" s="30"/>
      <c r="J13" s="30">
        <f>-MIN(IF(Financials!BL$6&gt;'Financing Inputs'!$T$19,0,Debt!$F$13+J16),J12)</f>
        <v>-39.205751667947908</v>
      </c>
      <c r="K13" s="30"/>
      <c r="L13" s="30">
        <f>-MIN(IF(Financials!BN$6&gt;'Financing Inputs'!$T$19,0,Debt!$F$13+L16),L12)</f>
        <v>-42.734269318063212</v>
      </c>
      <c r="M13" s="30"/>
      <c r="N13" s="30">
        <f>-MIN(IF(Financials!BP$6&gt;'Financing Inputs'!$T$19,0,Debt!$F$13+N16),N12)</f>
        <v>-46.58035355668892</v>
      </c>
      <c r="O13" s="30"/>
      <c r="P13" s="30">
        <f>-MIN(IF(Financials!BR$6&gt;'Financing Inputs'!$T$19,0,Debt!$F$13+P16),P12)</f>
        <v>-50.772585376790914</v>
      </c>
      <c r="Q13" s="30"/>
      <c r="R13" s="30">
        <f>-MIN(IF(Financials!BT$6&gt;'Financing Inputs'!$T$19,0,Debt!$F$13+R16),R12)</f>
        <v>-55.342118060702091</v>
      </c>
      <c r="S13" s="30"/>
      <c r="T13" s="30">
        <f>-MIN(IF(Financials!BV$6&gt;'Financing Inputs'!$T$19,0,Debt!$F$13+T16),T12)</f>
        <v>-60.322908686165292</v>
      </c>
      <c r="U13" s="30"/>
      <c r="V13" s="30">
        <f>-MIN(IF(Financials!BX$6&gt;'Financing Inputs'!$T$19,0,Debt!$F$13+V16),V12)</f>
        <v>-65.75197046792016</v>
      </c>
      <c r="W13" s="30"/>
      <c r="X13" s="30">
        <f>-MIN(IF(Financials!BZ$6&gt;'Financing Inputs'!$T$19,0,Debt!$F$13+X16),X12)</f>
        <v>-71.669647810032984</v>
      </c>
      <c r="Y13" s="30"/>
      <c r="Z13" s="30">
        <f>-MIN(IF(Financials!CB$6&gt;'Financing Inputs'!$T$19,0,Debt!$F$13+Z16),Z12)</f>
        <v>-78.119916112935954</v>
      </c>
      <c r="AA13" s="30"/>
      <c r="AB13" s="30">
        <f>-MIN(IF(Financials!CD$6&gt;'Financing Inputs'!$T$19,0,Debt!$F$13+AB16),AB12)</f>
        <v>-85.150708563100181</v>
      </c>
      <c r="AC13" s="67"/>
      <c r="AD13" s="30"/>
      <c r="AE13" s="67"/>
      <c r="AF13" s="68"/>
      <c r="AG13" s="70"/>
      <c r="AH13" s="70"/>
      <c r="AI13" s="70"/>
      <c r="AJ13" s="30"/>
      <c r="AK13" s="67"/>
      <c r="AL13" s="68"/>
      <c r="AM13" s="67"/>
      <c r="AN13" s="68"/>
      <c r="AO13" s="67"/>
      <c r="AP13" s="30"/>
      <c r="AQ13" s="67"/>
      <c r="AR13" s="30"/>
      <c r="AS13" s="67"/>
      <c r="AT13" s="30"/>
      <c r="AU13" s="67"/>
      <c r="AV13" s="30"/>
      <c r="AW13" s="67"/>
      <c r="AX13" s="30"/>
      <c r="AY13" s="67"/>
      <c r="AZ13" s="68"/>
      <c r="BA13" s="67"/>
      <c r="BB13" s="30"/>
      <c r="BC13" s="67"/>
      <c r="BD13" s="68"/>
      <c r="BE13" s="67"/>
      <c r="BF13" s="68"/>
      <c r="BG13" s="67"/>
      <c r="BH13" s="30"/>
      <c r="BI13" s="67"/>
      <c r="BJ13" s="30"/>
      <c r="BK13" s="67"/>
      <c r="BL13" s="30"/>
      <c r="BM13" s="67"/>
      <c r="BN13" s="30"/>
      <c r="BO13" s="67"/>
      <c r="BP13" s="30"/>
      <c r="BQ13" s="67"/>
    </row>
    <row r="14" spans="2:69" s="24" customFormat="1">
      <c r="B14" s="80" t="s">
        <v>206</v>
      </c>
      <c r="C14" s="41"/>
      <c r="G14" s="30"/>
      <c r="H14" s="30"/>
      <c r="I14" s="30"/>
      <c r="J14" s="30">
        <f>-IF(Financials!V$6='Financing Inputs'!$T$19,J12+J13,0)</f>
        <v>0</v>
      </c>
      <c r="K14" s="30"/>
      <c r="L14" s="30">
        <f>-IF(Financials!X$6='Financing Inputs'!$T$19,L12+L13,0)</f>
        <v>0</v>
      </c>
      <c r="M14" s="30"/>
      <c r="N14" s="30">
        <f>-IF(Financials!Z$6='Financing Inputs'!$T$19,N12+N13,0)</f>
        <v>0</v>
      </c>
      <c r="O14" s="30"/>
      <c r="P14" s="30">
        <f>-IF(Financials!AB$6='Financing Inputs'!$T$19,P12+P13,0)</f>
        <v>0</v>
      </c>
      <c r="Q14" s="30"/>
      <c r="R14" s="30">
        <f>-IF(Financials!AD$6='Financing Inputs'!$T$19,R12+R13,0)</f>
        <v>0</v>
      </c>
      <c r="S14" s="30"/>
      <c r="T14" s="30">
        <f>-IF(Financials!AF$6='Financing Inputs'!$T$19,T12+T13,0)</f>
        <v>0</v>
      </c>
      <c r="U14" s="30"/>
      <c r="V14" s="30">
        <f>-IF(Financials!AH$6='Financing Inputs'!$T$19,V12+V13,0)</f>
        <v>0</v>
      </c>
      <c r="W14" s="30"/>
      <c r="X14" s="30">
        <f>-IF(Financials!AJ$6='Financing Inputs'!$T$19,X12+X13,0)</f>
        <v>0</v>
      </c>
      <c r="Y14" s="30"/>
      <c r="Z14" s="30">
        <f>-IF(Financials!AL$6='Financing Inputs'!$T$19,Z12+Z13,0)</f>
        <v>0</v>
      </c>
      <c r="AA14" s="30"/>
      <c r="AB14" s="30">
        <f>-IF(Financials!AN$6='Financing Inputs'!$T$19,AB12+AB13,0)</f>
        <v>-1023.5997703796522</v>
      </c>
      <c r="AC14" s="67"/>
      <c r="AD14" s="30"/>
      <c r="AE14" s="67"/>
      <c r="AF14" s="68"/>
      <c r="AG14" s="70"/>
      <c r="AH14" s="70"/>
      <c r="AI14" s="70"/>
      <c r="AJ14" s="30"/>
      <c r="AK14" s="67"/>
      <c r="AL14" s="68"/>
      <c r="AM14" s="67"/>
      <c r="AN14" s="68"/>
      <c r="AO14" s="67"/>
      <c r="AP14" s="30"/>
      <c r="AQ14" s="67"/>
      <c r="AR14" s="30"/>
      <c r="AS14" s="67"/>
      <c r="AT14" s="30"/>
      <c r="AU14" s="67"/>
      <c r="AV14" s="30"/>
      <c r="AW14" s="67"/>
      <c r="AX14" s="30"/>
      <c r="AY14" s="67"/>
      <c r="AZ14" s="68"/>
      <c r="BA14" s="67"/>
      <c r="BB14" s="30"/>
      <c r="BC14" s="67"/>
      <c r="BD14" s="68"/>
      <c r="BE14" s="67"/>
      <c r="BF14" s="68"/>
      <c r="BG14" s="67"/>
      <c r="BH14" s="30"/>
      <c r="BI14" s="67"/>
      <c r="BJ14" s="30"/>
      <c r="BK14" s="67"/>
      <c r="BL14" s="30"/>
      <c r="BM14" s="67"/>
      <c r="BN14" s="30"/>
      <c r="BO14" s="67"/>
      <c r="BP14" s="30"/>
      <c r="BQ14" s="67"/>
    </row>
    <row r="15" spans="2:69" s="24" customFormat="1">
      <c r="B15" s="134" t="s">
        <v>207</v>
      </c>
      <c r="C15" s="95"/>
      <c r="D15" s="96"/>
      <c r="E15" s="96"/>
      <c r="F15" s="96"/>
      <c r="G15" s="30"/>
      <c r="H15" s="84">
        <f>IF(AND('Financing Inputs'!$L$18=1,Financials!T$6='Financing Inputs'!$T$5),'Financing Inputs'!$F$11,SUM(H12:H14))</f>
        <v>1619.25</v>
      </c>
      <c r="I15" s="30"/>
      <c r="J15" s="84">
        <f>IF(AND('Financing Inputs'!$L$18=1,Financials!V$6='Financing Inputs'!$T$5),'Financing Inputs'!$F$11,SUM(J12:J14))</f>
        <v>1580.0442483320521</v>
      </c>
      <c r="K15" s="30"/>
      <c r="L15" s="84">
        <f>IF(AND('Financing Inputs'!$L$18=1,Financials!X$6='Financing Inputs'!$T$5),'Financing Inputs'!$F$11,SUM(L12:L14))</f>
        <v>1537.3099790139888</v>
      </c>
      <c r="M15" s="30"/>
      <c r="N15" s="84">
        <f>IF(AND('Financing Inputs'!$L$18=1,Financials!Z$6='Financing Inputs'!$T$5),'Financing Inputs'!$F$11,SUM(N12:N14))</f>
        <v>1490.7296254572998</v>
      </c>
      <c r="O15" s="30"/>
      <c r="P15" s="84">
        <f>IF(AND('Financing Inputs'!$L$18=1,Financials!AB$6='Financing Inputs'!$T$5),'Financing Inputs'!$F$11,SUM(P12:P14))</f>
        <v>1439.9570400805089</v>
      </c>
      <c r="Q15" s="30"/>
      <c r="R15" s="84">
        <f>IF(AND('Financing Inputs'!$L$18=1,Financials!AD$6='Financing Inputs'!$T$5),'Financing Inputs'!$F$11,SUM(R12:R14))</f>
        <v>1384.6149220198067</v>
      </c>
      <c r="S15" s="30"/>
      <c r="T15" s="84">
        <f>IF(AND('Financing Inputs'!$L$18=1,Financials!AF$6='Financing Inputs'!$T$5),'Financing Inputs'!$F$11,SUM(T12:T14))</f>
        <v>1324.2920133336415</v>
      </c>
      <c r="U15" s="30"/>
      <c r="V15" s="84">
        <f>IF(AND('Financing Inputs'!$L$18=1,Financials!AH$6='Financing Inputs'!$T$5),'Financing Inputs'!$F$11,SUM(V12:V14))</f>
        <v>1258.5400428657213</v>
      </c>
      <c r="W15" s="30"/>
      <c r="X15" s="84">
        <f>IF(AND('Financing Inputs'!$L$18=1,Financials!AJ$6='Financing Inputs'!$T$5),'Financing Inputs'!$F$11,SUM(X12:X14))</f>
        <v>1186.8703950556883</v>
      </c>
      <c r="Y15" s="30"/>
      <c r="Z15" s="84">
        <f>IF(AND('Financing Inputs'!$L$18=1,Financials!AL$6='Financing Inputs'!$T$5),'Financing Inputs'!$F$11,SUM(Z12:Z14))</f>
        <v>1108.7504789427524</v>
      </c>
      <c r="AA15" s="30"/>
      <c r="AB15" s="84">
        <f>IF(AND('Financing Inputs'!$L$18=1,Financials!AN$6='Financing Inputs'!$T$5),'Financing Inputs'!$F$11,SUM(AB12:AB14))</f>
        <v>0</v>
      </c>
      <c r="AC15" s="67"/>
      <c r="AD15" s="30"/>
      <c r="AE15" s="67"/>
      <c r="AF15" s="68"/>
      <c r="AG15" s="70"/>
      <c r="AH15" s="70"/>
      <c r="AI15" s="70"/>
      <c r="AJ15" s="30"/>
      <c r="AK15" s="67"/>
      <c r="AL15" s="68"/>
      <c r="AM15" s="67"/>
      <c r="AN15" s="68"/>
      <c r="AO15" s="67"/>
      <c r="AP15" s="30"/>
      <c r="AQ15" s="67"/>
      <c r="AR15" s="30"/>
      <c r="AS15" s="67"/>
      <c r="AT15" s="30"/>
      <c r="AU15" s="67"/>
      <c r="AV15" s="30"/>
      <c r="AW15" s="67"/>
      <c r="AX15" s="30"/>
      <c r="AY15" s="67"/>
      <c r="AZ15" s="68"/>
      <c r="BA15" s="67"/>
      <c r="BB15" s="30"/>
      <c r="BC15" s="67"/>
      <c r="BD15" s="68"/>
      <c r="BE15" s="67"/>
      <c r="BF15" s="68"/>
      <c r="BG15" s="67"/>
      <c r="BH15" s="30"/>
      <c r="BI15" s="67"/>
      <c r="BJ15" s="30"/>
      <c r="BK15" s="67"/>
      <c r="BL15" s="30"/>
      <c r="BM15" s="67"/>
      <c r="BN15" s="30"/>
      <c r="BO15" s="67"/>
      <c r="BP15" s="30"/>
      <c r="BQ15" s="67"/>
    </row>
    <row r="16" spans="2:69" s="24" customFormat="1">
      <c r="B16" s="80" t="s">
        <v>208</v>
      </c>
      <c r="C16" s="41"/>
      <c r="F16" s="86">
        <f>IF('Financing Inputs'!$L$18=1,'Financing Inputs'!$L$27,0)</f>
        <v>0.09</v>
      </c>
      <c r="G16" s="30"/>
      <c r="H16" s="30"/>
      <c r="I16" s="30"/>
      <c r="J16" s="30">
        <f>-H15*Debt!$F$16</f>
        <v>-145.73249999999999</v>
      </c>
      <c r="K16" s="30"/>
      <c r="L16" s="30">
        <f>-J15*Debt!$F$16</f>
        <v>-142.20398234988468</v>
      </c>
      <c r="M16" s="30"/>
      <c r="N16" s="30">
        <f>-L15*Debt!$F$16</f>
        <v>-138.35789811125898</v>
      </c>
      <c r="O16" s="30"/>
      <c r="P16" s="30">
        <f>-N15*Debt!$F$16</f>
        <v>-134.16566629115698</v>
      </c>
      <c r="Q16" s="30"/>
      <c r="R16" s="30">
        <f>-P15*Debt!$F$16</f>
        <v>-129.5961336072458</v>
      </c>
      <c r="S16" s="30"/>
      <c r="T16" s="30">
        <f>-R15*Debt!$F$16</f>
        <v>-124.6153429817826</v>
      </c>
      <c r="U16" s="30"/>
      <c r="V16" s="30">
        <f>-T15*Debt!$F$16</f>
        <v>-119.18628120002774</v>
      </c>
      <c r="W16" s="30"/>
      <c r="X16" s="30">
        <f>-V15*Debt!$F$16</f>
        <v>-113.26860385791491</v>
      </c>
      <c r="Y16" s="30"/>
      <c r="Z16" s="30">
        <f>-X15*Debt!$F$16</f>
        <v>-106.81833555501194</v>
      </c>
      <c r="AA16" s="30"/>
      <c r="AB16" s="30">
        <f>-Z15*Debt!$F$16</f>
        <v>-99.787543104847714</v>
      </c>
      <c r="AC16" s="67"/>
      <c r="AD16" s="30"/>
      <c r="AE16" s="67"/>
      <c r="AF16" s="68"/>
      <c r="AG16" s="70"/>
      <c r="AH16" s="70"/>
      <c r="AI16" s="70"/>
      <c r="AJ16" s="30"/>
      <c r="AK16" s="67"/>
      <c r="AL16" s="68"/>
      <c r="AM16" s="67"/>
      <c r="AN16" s="68"/>
      <c r="AO16" s="67"/>
      <c r="AP16" s="30"/>
      <c r="AQ16" s="67"/>
      <c r="AR16" s="30"/>
      <c r="AS16" s="67"/>
      <c r="AT16" s="30"/>
      <c r="AU16" s="67"/>
      <c r="AV16" s="30"/>
      <c r="AW16" s="67"/>
      <c r="AX16" s="30"/>
      <c r="AY16" s="67"/>
      <c r="AZ16" s="68"/>
      <c r="BA16" s="67"/>
      <c r="BB16" s="30"/>
      <c r="BC16" s="67"/>
      <c r="BD16" s="68"/>
      <c r="BE16" s="67"/>
      <c r="BF16" s="68"/>
      <c r="BG16" s="67"/>
      <c r="BH16" s="30"/>
      <c r="BI16" s="67"/>
      <c r="BJ16" s="30"/>
      <c r="BK16" s="67"/>
      <c r="BL16" s="30"/>
      <c r="BM16" s="67"/>
      <c r="BN16" s="30"/>
      <c r="BO16" s="67"/>
      <c r="BP16" s="30"/>
      <c r="BQ16" s="67"/>
    </row>
    <row r="17" spans="2:69" s="24" customFormat="1">
      <c r="B17" s="80"/>
      <c r="C17" s="41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67"/>
      <c r="AD17" s="30"/>
      <c r="AE17" s="67"/>
      <c r="AF17" s="68"/>
      <c r="AG17" s="70"/>
      <c r="AH17" s="70"/>
      <c r="AI17" s="70"/>
      <c r="AJ17" s="30"/>
      <c r="AK17" s="67"/>
      <c r="AL17" s="68"/>
      <c r="AM17" s="67"/>
      <c r="AN17" s="68"/>
      <c r="AO17" s="67"/>
      <c r="AP17" s="30"/>
      <c r="AQ17" s="67"/>
      <c r="AR17" s="30"/>
      <c r="AS17" s="67"/>
      <c r="AT17" s="30"/>
      <c r="AU17" s="67"/>
      <c r="AV17" s="30"/>
      <c r="AW17" s="67"/>
      <c r="AX17" s="30"/>
      <c r="AY17" s="67"/>
      <c r="AZ17" s="68"/>
      <c r="BA17" s="67"/>
      <c r="BB17" s="30"/>
      <c r="BC17" s="67"/>
      <c r="BD17" s="68"/>
      <c r="BE17" s="67"/>
      <c r="BF17" s="68"/>
      <c r="BG17" s="67"/>
      <c r="BH17" s="30"/>
      <c r="BI17" s="67"/>
      <c r="BJ17" s="30"/>
      <c r="BK17" s="67"/>
      <c r="BL17" s="30"/>
      <c r="BM17" s="67"/>
      <c r="BN17" s="30"/>
      <c r="BO17" s="67"/>
      <c r="BP17" s="30"/>
      <c r="BQ17" s="67"/>
    </row>
    <row r="18" spans="2:69" s="24" customFormat="1">
      <c r="B18" s="133" t="s">
        <v>209</v>
      </c>
      <c r="C18" s="41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67"/>
      <c r="AD18" s="30"/>
      <c r="AE18" s="67"/>
      <c r="AF18" s="68"/>
      <c r="AG18" s="70"/>
      <c r="AH18" s="70"/>
      <c r="AI18" s="70"/>
      <c r="AJ18" s="30"/>
      <c r="AK18" s="67"/>
      <c r="AL18" s="68"/>
      <c r="AM18" s="67"/>
      <c r="AN18" s="68"/>
      <c r="AO18" s="67"/>
      <c r="AP18" s="30"/>
      <c r="AQ18" s="67"/>
      <c r="AR18" s="30"/>
      <c r="AS18" s="67"/>
      <c r="AT18" s="30"/>
      <c r="AU18" s="67"/>
      <c r="AV18" s="30"/>
      <c r="AW18" s="67"/>
      <c r="AX18" s="30"/>
      <c r="AY18" s="67"/>
      <c r="AZ18" s="68"/>
      <c r="BA18" s="67"/>
      <c r="BB18" s="30"/>
      <c r="BC18" s="67"/>
      <c r="BD18" s="68"/>
      <c r="BE18" s="67"/>
      <c r="BF18" s="68"/>
      <c r="BG18" s="67"/>
      <c r="BH18" s="30"/>
      <c r="BI18" s="67"/>
      <c r="BJ18" s="30"/>
      <c r="BK18" s="67"/>
      <c r="BL18" s="30"/>
      <c r="BM18" s="67"/>
      <c r="BN18" s="30"/>
      <c r="BO18" s="67"/>
      <c r="BP18" s="30"/>
      <c r="BQ18" s="67"/>
    </row>
    <row r="19" spans="2:69" s="24" customFormat="1">
      <c r="B19" s="80" t="s">
        <v>204</v>
      </c>
      <c r="C19" s="41"/>
      <c r="G19" s="30"/>
      <c r="H19" s="30"/>
      <c r="I19" s="30"/>
      <c r="J19" s="30">
        <f>H22</f>
        <v>0</v>
      </c>
      <c r="K19" s="30"/>
      <c r="L19" s="30">
        <f>J22</f>
        <v>0</v>
      </c>
      <c r="M19" s="30"/>
      <c r="N19" s="30">
        <f>L22</f>
        <v>0</v>
      </c>
      <c r="O19" s="30"/>
      <c r="P19" s="30">
        <f>N22</f>
        <v>0</v>
      </c>
      <c r="Q19" s="30"/>
      <c r="R19" s="30">
        <f>P22</f>
        <v>0</v>
      </c>
      <c r="S19" s="30"/>
      <c r="T19" s="30">
        <f>R22</f>
        <v>0</v>
      </c>
      <c r="U19" s="30"/>
      <c r="V19" s="30">
        <f>T22</f>
        <v>0</v>
      </c>
      <c r="W19" s="30"/>
      <c r="X19" s="30">
        <f>V22</f>
        <v>0</v>
      </c>
      <c r="Y19" s="30"/>
      <c r="Z19" s="30">
        <f>X22</f>
        <v>0</v>
      </c>
      <c r="AA19" s="30"/>
      <c r="AB19" s="30">
        <f>Z22</f>
        <v>0</v>
      </c>
      <c r="AC19" s="67"/>
      <c r="AD19" s="30"/>
      <c r="AE19" s="67"/>
      <c r="AF19" s="68"/>
      <c r="AG19" s="70"/>
      <c r="AH19" s="70"/>
      <c r="AI19" s="70"/>
      <c r="AJ19" s="30"/>
      <c r="AK19" s="67"/>
      <c r="AL19" s="68"/>
      <c r="AM19" s="67"/>
      <c r="AN19" s="68"/>
      <c r="AO19" s="67"/>
      <c r="AP19" s="30"/>
      <c r="AQ19" s="67"/>
      <c r="AR19" s="30"/>
      <c r="AS19" s="67"/>
      <c r="AT19" s="30"/>
      <c r="AU19" s="67"/>
      <c r="AV19" s="30"/>
      <c r="AW19" s="67"/>
      <c r="AX19" s="30"/>
      <c r="AY19" s="67"/>
      <c r="AZ19" s="68"/>
      <c r="BA19" s="67"/>
      <c r="BB19" s="30"/>
      <c r="BC19" s="67"/>
      <c r="BD19" s="68"/>
      <c r="BE19" s="67"/>
      <c r="BF19" s="68"/>
      <c r="BG19" s="67"/>
      <c r="BH19" s="30"/>
      <c r="BI19" s="67"/>
      <c r="BJ19" s="30"/>
      <c r="BK19" s="67"/>
      <c r="BL19" s="30"/>
      <c r="BM19" s="67"/>
      <c r="BN19" s="30"/>
      <c r="BO19" s="67"/>
      <c r="BP19" s="30"/>
      <c r="BQ19" s="67"/>
    </row>
    <row r="20" spans="2:69" s="24" customFormat="1">
      <c r="B20" s="80" t="s">
        <v>205</v>
      </c>
      <c r="C20" s="41"/>
      <c r="F20" s="30">
        <f>IF('Financing Inputs'!$L$18=2,'Financing Inputs'!$F$11*'Financing Inputs'!$L$36,0)</f>
        <v>0</v>
      </c>
      <c r="G20" s="30"/>
      <c r="H20" s="30"/>
      <c r="I20" s="30"/>
      <c r="J20" s="30">
        <f>-MIN(IF(Financials!V$6&gt;'Financing Inputs'!$J$36,IF(Financials!V$6&gt;'Financing Inputs'!$T$19,0,Debt!$F$20),0)/IF(YEAR(Financials!V$6)=YEAR('Financing Inputs'!$J$36),IFERROR(12/(ROUND((YEARFRAC('Financing Inputs'!$J$36,Financials!V$6,1))*12,0)),1),1),J19)</f>
        <v>0</v>
      </c>
      <c r="K20" s="30"/>
      <c r="L20" s="30">
        <f>-MIN(IF(Financials!X$6&gt;'Financing Inputs'!$J$36,IF(Financials!X$6&gt;'Financing Inputs'!$T$19,0,Debt!$F$20),0)/IF(YEAR(Financials!X$6)=YEAR('Financing Inputs'!$J$36),IFERROR(12/(ROUND((YEARFRAC('Financing Inputs'!$J$36,Financials!X$6,1))*12,0)),1),1),L19)</f>
        <v>0</v>
      </c>
      <c r="M20" s="30"/>
      <c r="N20" s="30">
        <f>-MIN(IF(Financials!Z$6&gt;'Financing Inputs'!$J$36,IF(Financials!Z$6&gt;'Financing Inputs'!$T$19,0,Debt!$F$20),0)/IF(YEAR(Financials!Z$6)=YEAR('Financing Inputs'!$J$36),IFERROR(12/(ROUND((YEARFRAC('Financing Inputs'!$J$36,Financials!Z$6,1))*12,0)),1),1),N19)</f>
        <v>0</v>
      </c>
      <c r="O20" s="30"/>
      <c r="P20" s="30">
        <f>-MIN(IF(Financials!AB$6&gt;'Financing Inputs'!$J$36,IF(Financials!AB$6&gt;'Financing Inputs'!$T$19,0,Debt!$F$20),0)/IF(YEAR(Financials!AB$6)=YEAR('Financing Inputs'!$J$36),IFERROR(12/(ROUND((YEARFRAC('Financing Inputs'!$J$36,Financials!AB$6,1))*12,0)),1),1),P19)</f>
        <v>0</v>
      </c>
      <c r="Q20" s="30"/>
      <c r="R20" s="30">
        <f>-MIN(IF(Financials!AD$6&gt;'Financing Inputs'!$J$36,IF(Financials!AD$6&gt;'Financing Inputs'!$T$19,0,Debt!$F$20),0)/IF(YEAR(Financials!AD$6)=YEAR('Financing Inputs'!$J$36),IFERROR(12/(ROUND((YEARFRAC('Financing Inputs'!$J$36,Financials!AD$6,1))*12,0)),1),1),R19)</f>
        <v>0</v>
      </c>
      <c r="S20" s="30"/>
      <c r="T20" s="30">
        <f>-MIN(IF(Financials!AF$6&gt;'Financing Inputs'!$J$36,IF(Financials!AF$6&gt;'Financing Inputs'!$T$19,0,Debt!$F$20),0)/IF(YEAR(Financials!AF$6)=YEAR('Financing Inputs'!$J$36),IFERROR(12/(ROUND((YEARFRAC('Financing Inputs'!$J$36,Financials!AF$6,1))*12,0)),1),1),T19)</f>
        <v>0</v>
      </c>
      <c r="U20" s="30"/>
      <c r="V20" s="30">
        <f>-MIN(IF(Financials!AH$6&gt;'Financing Inputs'!$J$36,IF(Financials!AH$6&gt;'Financing Inputs'!$T$19,0,Debt!$F$20),0)/IF(YEAR(Financials!AH$6)=YEAR('Financing Inputs'!$J$36),IFERROR(12/(ROUND((YEARFRAC('Financing Inputs'!$J$36,Financials!AH$6,1))*12,0)),1),1),V19)</f>
        <v>0</v>
      </c>
      <c r="W20" s="30"/>
      <c r="X20" s="30">
        <f>-MIN(IF(Financials!AJ$6&gt;'Financing Inputs'!$J$36,IF(Financials!AJ$6&gt;'Financing Inputs'!$T$19,0,Debt!$F$20),0)/IF(YEAR(Financials!AJ$6)=YEAR('Financing Inputs'!$J$36),IFERROR(12/(ROUND((YEARFRAC('Financing Inputs'!$J$36,Financials!AJ$6,1))*12,0)),1),1),X19)</f>
        <v>0</v>
      </c>
      <c r="Y20" s="30"/>
      <c r="Z20" s="30">
        <f>-MIN(IF(Financials!AL$6&gt;'Financing Inputs'!$J$36,IF(Financials!AL$6&gt;'Financing Inputs'!$T$19,0,Debt!$F$20),0)/IF(YEAR(Financials!AL$6)=YEAR('Financing Inputs'!$J$36),IFERROR(12/(ROUND((YEARFRAC('Financing Inputs'!$J$36,Financials!AL$6,1))*12,0)),1),1),Z19)</f>
        <v>0</v>
      </c>
      <c r="AA20" s="30"/>
      <c r="AB20" s="30">
        <f>-MIN(IF(Financials!AN$6&gt;'Financing Inputs'!$J$36,IF(Financials!AN$6&gt;'Financing Inputs'!$T$19,0,Debt!$F$20),0)/IF(YEAR(Financials!AN$6)=YEAR('Financing Inputs'!$J$36),IFERROR(12/(ROUND((YEARFRAC('Financing Inputs'!$J$36,Financials!AN$6,1))*12,0)),1),1),AB19)</f>
        <v>0</v>
      </c>
      <c r="AC20" s="67"/>
      <c r="AD20" s="30"/>
      <c r="AE20" s="67"/>
      <c r="AF20" s="68"/>
      <c r="AG20" s="70"/>
      <c r="AH20" s="70"/>
      <c r="AI20" s="70"/>
      <c r="AJ20" s="30"/>
      <c r="AK20" s="67"/>
      <c r="AL20" s="68"/>
      <c r="AM20" s="67"/>
      <c r="AN20" s="68"/>
      <c r="AO20" s="67"/>
      <c r="AP20" s="30"/>
      <c r="AQ20" s="67"/>
      <c r="AR20" s="30"/>
      <c r="AS20" s="67"/>
      <c r="AT20" s="30"/>
      <c r="AU20" s="67"/>
      <c r="AV20" s="30"/>
      <c r="AW20" s="67"/>
      <c r="AX20" s="30"/>
      <c r="AY20" s="67"/>
      <c r="AZ20" s="68"/>
      <c r="BA20" s="67"/>
      <c r="BB20" s="30"/>
      <c r="BC20" s="67"/>
      <c r="BD20" s="68"/>
      <c r="BE20" s="67"/>
      <c r="BF20" s="68"/>
      <c r="BG20" s="67"/>
      <c r="BH20" s="30"/>
      <c r="BI20" s="67"/>
      <c r="BJ20" s="30"/>
      <c r="BK20" s="67"/>
      <c r="BL20" s="30"/>
      <c r="BM20" s="67"/>
      <c r="BN20" s="30"/>
      <c r="BO20" s="67"/>
      <c r="BP20" s="30"/>
      <c r="BQ20" s="67"/>
    </row>
    <row r="21" spans="2:69" s="24" customFormat="1">
      <c r="B21" s="80" t="s">
        <v>206</v>
      </c>
      <c r="C21" s="41"/>
      <c r="G21" s="30"/>
      <c r="H21" s="30"/>
      <c r="I21" s="30"/>
      <c r="J21" s="30">
        <f>-IF(Financials!V$6='Financing Inputs'!$T$19,J19+J20,0)</f>
        <v>0</v>
      </c>
      <c r="K21" s="30"/>
      <c r="L21" s="30">
        <f>-IF(Financials!X$6='Financing Inputs'!$T$19,L19+L20,0)</f>
        <v>0</v>
      </c>
      <c r="M21" s="30"/>
      <c r="N21" s="30">
        <f>-IF(Financials!Z$6='Financing Inputs'!$T$19,N19+N20,0)</f>
        <v>0</v>
      </c>
      <c r="O21" s="30"/>
      <c r="P21" s="30">
        <f>-IF(Financials!AB$6='Financing Inputs'!$T$19,P19+P20,0)</f>
        <v>0</v>
      </c>
      <c r="Q21" s="30"/>
      <c r="R21" s="30">
        <f>-IF(Financials!AD$6='Financing Inputs'!$T$19,R19+R20,0)</f>
        <v>0</v>
      </c>
      <c r="S21" s="30"/>
      <c r="T21" s="30">
        <f>-IF(Financials!AF$6='Financing Inputs'!$T$19,T19+T20,0)</f>
        <v>0</v>
      </c>
      <c r="U21" s="30"/>
      <c r="V21" s="30">
        <f>-IF(Financials!AH$6='Financing Inputs'!$T$19,V19+V20,0)</f>
        <v>0</v>
      </c>
      <c r="W21" s="30"/>
      <c r="X21" s="30">
        <f>-IF(Financials!AJ$6='Financing Inputs'!$T$19,X19+X20,0)</f>
        <v>0</v>
      </c>
      <c r="Y21" s="30"/>
      <c r="Z21" s="30">
        <f>-IF(Financials!AL$6='Financing Inputs'!$T$19,Z19+Z20,0)</f>
        <v>0</v>
      </c>
      <c r="AA21" s="30"/>
      <c r="AB21" s="30">
        <f>-IF(Financials!AN$6='Financing Inputs'!$T$19,AB19+AB20,0)</f>
        <v>0</v>
      </c>
      <c r="AC21" s="67"/>
      <c r="AD21" s="30"/>
      <c r="AE21" s="67"/>
      <c r="AF21" s="68"/>
      <c r="AG21" s="70"/>
      <c r="AH21" s="70"/>
      <c r="AI21" s="70"/>
      <c r="AJ21" s="30"/>
      <c r="AK21" s="67"/>
      <c r="AL21" s="68"/>
      <c r="AM21" s="67"/>
      <c r="AN21" s="68"/>
      <c r="AO21" s="67"/>
      <c r="AP21" s="30"/>
      <c r="AQ21" s="67"/>
      <c r="AR21" s="30"/>
      <c r="AS21" s="67"/>
      <c r="AT21" s="30"/>
      <c r="AU21" s="67"/>
      <c r="AV21" s="30"/>
      <c r="AW21" s="67"/>
      <c r="AX21" s="30"/>
      <c r="AY21" s="67"/>
      <c r="AZ21" s="68"/>
      <c r="BA21" s="67"/>
      <c r="BB21" s="30"/>
      <c r="BC21" s="67"/>
      <c r="BD21" s="68"/>
      <c r="BE21" s="67"/>
      <c r="BF21" s="68"/>
      <c r="BG21" s="67"/>
      <c r="BH21" s="30"/>
      <c r="BI21" s="67"/>
      <c r="BJ21" s="30"/>
      <c r="BK21" s="67"/>
      <c r="BL21" s="30"/>
      <c r="BM21" s="67"/>
      <c r="BN21" s="30"/>
      <c r="BO21" s="67"/>
      <c r="BP21" s="30"/>
      <c r="BQ21" s="67"/>
    </row>
    <row r="22" spans="2:69" s="24" customFormat="1">
      <c r="B22" s="134" t="s">
        <v>207</v>
      </c>
      <c r="C22" s="95"/>
      <c r="D22" s="96"/>
      <c r="E22" s="96"/>
      <c r="F22" s="96"/>
      <c r="G22" s="30"/>
      <c r="H22" s="84">
        <f>IF(AND('Financing Inputs'!$L$18=2,Financials!T$6='Financing Inputs'!$T$5),'Financing Inputs'!$F$11,SUM(H19:H21))</f>
        <v>0</v>
      </c>
      <c r="I22" s="30"/>
      <c r="J22" s="84">
        <f>IF(AND('Financing Inputs'!$L$18=2,Financials!V$6='Financing Inputs'!$T$5),'Financing Inputs'!$F$11,SUM(J19:J21))</f>
        <v>0</v>
      </c>
      <c r="K22" s="30"/>
      <c r="L22" s="84">
        <f>IF(AND('Financing Inputs'!$L$18=2,Financials!X$6='Financing Inputs'!$T$5),'Financing Inputs'!$F$11,SUM(L19:L21))</f>
        <v>0</v>
      </c>
      <c r="M22" s="30"/>
      <c r="N22" s="84">
        <f>IF(AND('Financing Inputs'!$L$18=2,Financials!Z$6='Financing Inputs'!$T$5),'Financing Inputs'!$F$11,SUM(N19:N21))</f>
        <v>0</v>
      </c>
      <c r="O22" s="30"/>
      <c r="P22" s="84">
        <f>IF(AND('Financing Inputs'!$L$18=2,Financials!AB$6='Financing Inputs'!$T$5),'Financing Inputs'!$F$11,SUM(P19:P21))</f>
        <v>0</v>
      </c>
      <c r="Q22" s="30"/>
      <c r="R22" s="84">
        <f>IF(AND('Financing Inputs'!$L$18=2,Financials!AD$6='Financing Inputs'!$T$5),'Financing Inputs'!$F$11,SUM(R19:R21))</f>
        <v>0</v>
      </c>
      <c r="S22" s="30"/>
      <c r="T22" s="84">
        <f>IF(AND('Financing Inputs'!$L$18=2,Financials!AF$6='Financing Inputs'!$T$5),'Financing Inputs'!$F$11,SUM(T19:T21))</f>
        <v>0</v>
      </c>
      <c r="U22" s="30"/>
      <c r="V22" s="84">
        <f>IF(AND('Financing Inputs'!$L$18=2,Financials!AH$6='Financing Inputs'!$T$5),'Financing Inputs'!$F$11,SUM(V19:V21))</f>
        <v>0</v>
      </c>
      <c r="W22" s="30"/>
      <c r="X22" s="84">
        <f>IF(AND('Financing Inputs'!$L$18=2,Financials!AJ$6='Financing Inputs'!$T$5),'Financing Inputs'!$F$11,SUM(X19:X21))</f>
        <v>0</v>
      </c>
      <c r="Y22" s="30"/>
      <c r="Z22" s="84">
        <f>IF(AND('Financing Inputs'!$L$18=2,Financials!AL$6='Financing Inputs'!$T$5),'Financing Inputs'!$F$11,SUM(Z19:Z21))</f>
        <v>0</v>
      </c>
      <c r="AA22" s="30"/>
      <c r="AB22" s="84">
        <f>IF(AND('Financing Inputs'!$L$18=2,Financials!AN$6='Financing Inputs'!$T$5),'Financing Inputs'!$F$11,SUM(AB19:AB21))</f>
        <v>0</v>
      </c>
      <c r="AC22" s="67"/>
      <c r="AD22" s="30"/>
      <c r="AE22" s="67"/>
      <c r="AF22" s="68"/>
      <c r="AG22" s="70"/>
      <c r="AH22" s="70"/>
      <c r="AI22" s="70"/>
      <c r="AJ22" s="30"/>
      <c r="AK22" s="67"/>
      <c r="AL22" s="68"/>
      <c r="AM22" s="67"/>
      <c r="AN22" s="68"/>
      <c r="AO22" s="67"/>
      <c r="AP22" s="30"/>
      <c r="AQ22" s="67"/>
      <c r="AR22" s="30"/>
      <c r="AS22" s="67"/>
      <c r="AT22" s="30"/>
      <c r="AU22" s="67"/>
      <c r="AV22" s="30"/>
      <c r="AW22" s="67"/>
      <c r="AX22" s="30"/>
      <c r="AY22" s="67"/>
      <c r="AZ22" s="68"/>
      <c r="BA22" s="67"/>
      <c r="BB22" s="30"/>
      <c r="BC22" s="67"/>
      <c r="BD22" s="68"/>
      <c r="BE22" s="67"/>
      <c r="BF22" s="68"/>
      <c r="BG22" s="67"/>
      <c r="BH22" s="30"/>
      <c r="BI22" s="67"/>
      <c r="BJ22" s="30"/>
      <c r="BK22" s="67"/>
      <c r="BL22" s="30"/>
      <c r="BM22" s="67"/>
      <c r="BN22" s="30"/>
      <c r="BO22" s="67"/>
      <c r="BP22" s="30"/>
      <c r="BQ22" s="67"/>
    </row>
    <row r="23" spans="2:69" s="24" customFormat="1">
      <c r="B23" s="80" t="s">
        <v>208</v>
      </c>
      <c r="C23" s="41"/>
      <c r="G23" s="30"/>
      <c r="H23" s="30"/>
      <c r="I23" s="30"/>
      <c r="J23" s="30">
        <f>-H22*('Financing Inputs'!$L$33)-IF(Financials!V$6&gt;'Financing Inputs'!$J$34,'Financing Inputs'!$L$34*H22,0)/IF(YEAR(Financials!V$6)=YEAR('Financing Inputs'!$J$34),IFERROR(12/(ROUND((YEARFRAC('Financing Inputs'!$J$34,Financials!V$6,1))*12,0)),1),1)-IF(Financials!V$6&gt;'Financing Inputs'!$J$35,'Financing Inputs'!$L$35*H22,0)/IF(YEAR(Financials!V$6)=YEAR('Financing Inputs'!$J$35),IFERROR(12/(ROUND((YEARFRAC('Financing Inputs'!$J$35,Financials!V$6,1))*12,0)),1),1)</f>
        <v>0</v>
      </c>
      <c r="K23" s="30"/>
      <c r="L23" s="30">
        <f>-J22*('Financing Inputs'!$L$33)-IF(Financials!X$6&gt;'Financing Inputs'!$J$34,'Financing Inputs'!$L$34*J22,0)/IF(YEAR(Financials!X$6)=YEAR('Financing Inputs'!$J$34),IFERROR(12/(ROUND((YEARFRAC('Financing Inputs'!$J$34,Financials!X$6,1))*12,0)),1),1)-IF(Financials!X$6&gt;'Financing Inputs'!$J$35,'Financing Inputs'!$L$35*J22,0)/IF(YEAR(Financials!X$6)=YEAR('Financing Inputs'!$J$35),IFERROR(12/(ROUND((YEARFRAC('Financing Inputs'!$J$35,Financials!X$6,1))*12,0)),1),1)</f>
        <v>0</v>
      </c>
      <c r="M23" s="30"/>
      <c r="N23" s="30">
        <f>-L22*('Financing Inputs'!$L$33)-IF(Financials!Z$6&gt;'Financing Inputs'!$J$34,'Financing Inputs'!$L$34*L22,0)/IF(YEAR(Financials!Z$6)=YEAR('Financing Inputs'!$J$34),IFERROR(12/(ROUND((YEARFRAC('Financing Inputs'!$J$34,Financials!Z$6,1))*12,0)),1),1)-IF(Financials!Z$6&gt;'Financing Inputs'!$J$35,'Financing Inputs'!$L$35*L22,0)/IF(YEAR(Financials!Z$6)=YEAR('Financing Inputs'!$J$35),IFERROR(12/(ROUND((YEARFRAC('Financing Inputs'!$J$35,Financials!Z$6,1))*12,0)),1),1)</f>
        <v>0</v>
      </c>
      <c r="O23" s="30"/>
      <c r="P23" s="30">
        <f>-N22*('Financing Inputs'!$L$33)-IF(Financials!AB$6&gt;'Financing Inputs'!$J$34,'Financing Inputs'!$L$34*N22,0)/IF(YEAR(Financials!AB$6)=YEAR('Financing Inputs'!$J$34),IFERROR(12/(ROUND((YEARFRAC('Financing Inputs'!$J$34,Financials!AB$6,1))*12,0)),1),1)-IF(Financials!AB$6&gt;'Financing Inputs'!$J$35,'Financing Inputs'!$L$35*N22,0)/IF(YEAR(Financials!AB$6)=YEAR('Financing Inputs'!$J$35),IFERROR(12/(ROUND((YEARFRAC('Financing Inputs'!$J$35,Financials!AB$6,1))*12,0)),1),1)</f>
        <v>0</v>
      </c>
      <c r="Q23" s="30"/>
      <c r="R23" s="30">
        <f>-P22*('Financing Inputs'!$L$33)-IF(Financials!AD$6&gt;'Financing Inputs'!$J$34,'Financing Inputs'!$L$34*P22,0)/IF(YEAR(Financials!AD$6)=YEAR('Financing Inputs'!$J$34),IFERROR(12/(ROUND((YEARFRAC('Financing Inputs'!$J$34,Financials!AD$6,1))*12,0)),1),1)-IF(Financials!AD$6&gt;'Financing Inputs'!$J$35,'Financing Inputs'!$L$35*P22,0)/IF(YEAR(Financials!AD$6)=YEAR('Financing Inputs'!$J$35),IFERROR(12/(ROUND((YEARFRAC('Financing Inputs'!$J$35,Financials!AD$6,1))*12,0)),1),1)</f>
        <v>0</v>
      </c>
      <c r="S23" s="30"/>
      <c r="T23" s="30">
        <f>-R22*('Financing Inputs'!$L$33)-IF(Financials!AF$6&gt;'Financing Inputs'!$J$34,'Financing Inputs'!$L$34*R22,0)/IF(YEAR(Financials!AF$6)=YEAR('Financing Inputs'!$J$34),IFERROR(12/(ROUND((YEARFRAC('Financing Inputs'!$J$34,Financials!AF$6,1))*12,0)),1),1)-IF(Financials!AF$6&gt;'Financing Inputs'!$J$35,'Financing Inputs'!$L$35*R22,0)/IF(YEAR(Financials!AF$6)=YEAR('Financing Inputs'!$J$35),IFERROR(12/(ROUND((YEARFRAC('Financing Inputs'!$J$35,Financials!AF$6,1))*12,0)),1),1)</f>
        <v>0</v>
      </c>
      <c r="U23" s="30"/>
      <c r="V23" s="30">
        <f>-T22*('Financing Inputs'!$L$33)-IF(Financials!AH$6&gt;'Financing Inputs'!$J$34,'Financing Inputs'!$L$34*T22,0)/IF(YEAR(Financials!AH$6)=YEAR('Financing Inputs'!$J$34),IFERROR(12/(ROUND((YEARFRAC('Financing Inputs'!$J$34,Financials!AH$6,1))*12,0)),1),1)-IF(Financials!AH$6&gt;'Financing Inputs'!$J$35,'Financing Inputs'!$L$35*T22,0)/IF(YEAR(Financials!AH$6)=YEAR('Financing Inputs'!$J$35),IFERROR(12/(ROUND((YEARFRAC('Financing Inputs'!$J$35,Financials!AH$6,1))*12,0)),1),1)</f>
        <v>0</v>
      </c>
      <c r="W23" s="30"/>
      <c r="X23" s="30">
        <f>-V22*('Financing Inputs'!$L$33)-IF(Financials!AJ$6&gt;'Financing Inputs'!$J$34,'Financing Inputs'!$L$34*V22,0)/IF(YEAR(Financials!AJ$6)=YEAR('Financing Inputs'!$J$34),IFERROR(12/(ROUND((YEARFRAC('Financing Inputs'!$J$34,Financials!AJ$6,1))*12,0)),1),1)-IF(Financials!AJ$6&gt;'Financing Inputs'!$J$35,'Financing Inputs'!$L$35*V22,0)/IF(YEAR(Financials!AJ$6)=YEAR('Financing Inputs'!$J$35),IFERROR(12/(ROUND((YEARFRAC('Financing Inputs'!$J$35,Financials!AJ$6,1))*12,0)),1),1)</f>
        <v>0</v>
      </c>
      <c r="Y23" s="30"/>
      <c r="Z23" s="30">
        <f>-X22*('Financing Inputs'!$L$33)-IF(Financials!AL$6&gt;'Financing Inputs'!$J$34,'Financing Inputs'!$L$34*X22,0)/IF(YEAR(Financials!AL$6)=YEAR('Financing Inputs'!$J$34),IFERROR(12/(ROUND((YEARFRAC('Financing Inputs'!$J$34,Financials!AL$6,1))*12,0)),1),1)-IF(Financials!AL$6&gt;'Financing Inputs'!$J$35,'Financing Inputs'!$L$35*X22,0)/IF(YEAR(Financials!AL$6)=YEAR('Financing Inputs'!$J$35),IFERROR(12/(ROUND((YEARFRAC('Financing Inputs'!$J$35,Financials!AL$6,1))*12,0)),1),1)</f>
        <v>0</v>
      </c>
      <c r="AA23" s="30"/>
      <c r="AB23" s="30">
        <f>-Z22*('Financing Inputs'!$L$33)-IF(Financials!AN$6&gt;'Financing Inputs'!$J$34,'Financing Inputs'!$L$34*Z22,0)/IF(YEAR(Financials!AN$6)=YEAR('Financing Inputs'!$J$34),IFERROR(12/(ROUND((YEARFRAC('Financing Inputs'!$J$34,Financials!AN$6,1))*12,0)),1),1)-IF(Financials!AN$6&gt;'Financing Inputs'!$J$35,'Financing Inputs'!$L$35*Z22,0)/IF(YEAR(Financials!AN$6)=YEAR('Financing Inputs'!$J$35),IFERROR(12/(ROUND((YEARFRAC('Financing Inputs'!$J$35,Financials!AN$6,1))*12,0)),1),1)</f>
        <v>0</v>
      </c>
      <c r="AC23" s="67"/>
      <c r="AD23" s="30"/>
      <c r="AE23" s="67"/>
      <c r="AF23" s="68"/>
      <c r="AG23" s="70"/>
      <c r="AH23" s="70"/>
      <c r="AI23" s="70"/>
      <c r="AJ23" s="30"/>
      <c r="AK23" s="67"/>
      <c r="AL23" s="68"/>
      <c r="AM23" s="67"/>
      <c r="AN23" s="68"/>
      <c r="AO23" s="67"/>
      <c r="AP23" s="30"/>
      <c r="AQ23" s="67"/>
      <c r="AR23" s="30"/>
      <c r="AS23" s="67"/>
      <c r="AT23" s="30"/>
      <c r="AU23" s="67"/>
      <c r="AV23" s="30"/>
      <c r="AW23" s="67"/>
      <c r="AX23" s="30"/>
      <c r="AY23" s="67"/>
      <c r="AZ23" s="68"/>
      <c r="BA23" s="67"/>
      <c r="BB23" s="30"/>
      <c r="BC23" s="67"/>
      <c r="BD23" s="68"/>
      <c r="BE23" s="67"/>
      <c r="BF23" s="68"/>
      <c r="BG23" s="67"/>
      <c r="BH23" s="30"/>
      <c r="BI23" s="67"/>
      <c r="BJ23" s="30"/>
      <c r="BK23" s="67"/>
      <c r="BL23" s="30"/>
      <c r="BM23" s="67"/>
      <c r="BN23" s="30"/>
      <c r="BO23" s="67"/>
      <c r="BP23" s="30"/>
      <c r="BQ23" s="67"/>
    </row>
    <row r="24" spans="2:69"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</row>
    <row r="25" spans="2:69" s="24" customFormat="1">
      <c r="B25" s="133" t="s">
        <v>251</v>
      </c>
      <c r="C25" s="4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67"/>
      <c r="AD25" s="30"/>
      <c r="AE25" s="67"/>
      <c r="AF25" s="68"/>
      <c r="AG25" s="70"/>
      <c r="AH25" s="70"/>
      <c r="AI25" s="70"/>
      <c r="AJ25" s="30"/>
      <c r="AK25" s="67"/>
      <c r="AL25" s="68"/>
      <c r="AM25" s="67"/>
      <c r="AN25" s="68"/>
      <c r="AO25" s="67"/>
      <c r="AP25" s="30"/>
      <c r="AQ25" s="67"/>
      <c r="AR25" s="30"/>
      <c r="AS25" s="67"/>
      <c r="AT25" s="30"/>
      <c r="AU25" s="67"/>
      <c r="AV25" s="30"/>
      <c r="AW25" s="67"/>
      <c r="AX25" s="30"/>
      <c r="AY25" s="67"/>
      <c r="AZ25" s="68"/>
      <c r="BA25" s="67"/>
      <c r="BB25" s="30"/>
      <c r="BC25" s="67"/>
      <c r="BD25" s="68"/>
      <c r="BE25" s="67"/>
      <c r="BF25" s="68"/>
      <c r="BG25" s="67"/>
      <c r="BH25" s="30"/>
      <c r="BI25" s="67"/>
      <c r="BJ25" s="30"/>
      <c r="BK25" s="67"/>
      <c r="BL25" s="30"/>
      <c r="BM25" s="67"/>
      <c r="BN25" s="30"/>
      <c r="BO25" s="67"/>
      <c r="BP25" s="30"/>
      <c r="BQ25" s="67"/>
    </row>
    <row r="26" spans="2:69" s="24" customFormat="1">
      <c r="B26" s="133" t="s">
        <v>255</v>
      </c>
      <c r="C26" s="41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67"/>
      <c r="AD26" s="30"/>
      <c r="AE26" s="67"/>
      <c r="AF26" s="68"/>
      <c r="AG26" s="70"/>
      <c r="AH26" s="70"/>
      <c r="AI26" s="70"/>
      <c r="AJ26" s="30"/>
      <c r="AK26" s="67"/>
      <c r="AL26" s="68"/>
      <c r="AM26" s="67"/>
      <c r="AN26" s="68"/>
      <c r="AO26" s="67"/>
      <c r="AP26" s="30"/>
      <c r="AQ26" s="67"/>
      <c r="AR26" s="30"/>
      <c r="AS26" s="67"/>
      <c r="AT26" s="30"/>
      <c r="AU26" s="67"/>
      <c r="AV26" s="30"/>
      <c r="AW26" s="67"/>
      <c r="AX26" s="30"/>
      <c r="AY26" s="67"/>
      <c r="AZ26" s="68"/>
      <c r="BA26" s="67"/>
      <c r="BB26" s="30"/>
      <c r="BC26" s="67"/>
      <c r="BD26" s="68"/>
      <c r="BE26" s="67"/>
      <c r="BF26" s="68"/>
      <c r="BG26" s="67"/>
      <c r="BH26" s="30"/>
      <c r="BI26" s="67"/>
      <c r="BJ26" s="30"/>
      <c r="BK26" s="67"/>
      <c r="BL26" s="30"/>
      <c r="BM26" s="67"/>
      <c r="BN26" s="30"/>
      <c r="BO26" s="67"/>
      <c r="BP26" s="30"/>
      <c r="BQ26" s="67"/>
    </row>
    <row r="27" spans="2:69" s="24" customFormat="1">
      <c r="B27" s="80" t="s">
        <v>204</v>
      </c>
      <c r="C27" s="41"/>
      <c r="G27" s="30"/>
      <c r="H27" s="30"/>
      <c r="I27" s="30"/>
      <c r="J27" s="30">
        <f>H29</f>
        <v>0</v>
      </c>
      <c r="K27" s="30"/>
      <c r="L27" s="30">
        <f>J29</f>
        <v>0</v>
      </c>
      <c r="M27" s="30"/>
      <c r="N27" s="30">
        <f>L29</f>
        <v>0</v>
      </c>
      <c r="O27" s="30"/>
      <c r="P27" s="30">
        <f>N29</f>
        <v>0</v>
      </c>
      <c r="Q27" s="30"/>
      <c r="R27" s="30">
        <f>P29</f>
        <v>0</v>
      </c>
      <c r="S27" s="30"/>
      <c r="T27" s="30">
        <f>R29</f>
        <v>0</v>
      </c>
      <c r="U27" s="30"/>
      <c r="V27" s="30">
        <f>T29</f>
        <v>0</v>
      </c>
      <c r="W27" s="30"/>
      <c r="X27" s="30">
        <f>V29</f>
        <v>0</v>
      </c>
      <c r="Y27" s="30"/>
      <c r="Z27" s="30">
        <f>X29</f>
        <v>0</v>
      </c>
      <c r="AA27" s="30"/>
      <c r="AB27" s="30">
        <f>Z29</f>
        <v>0</v>
      </c>
      <c r="AC27" s="67"/>
      <c r="AD27" s="30"/>
      <c r="AE27" s="67"/>
      <c r="AF27" s="68"/>
      <c r="AG27" s="70"/>
      <c r="AH27" s="70"/>
      <c r="AI27" s="70"/>
      <c r="AJ27" s="30"/>
      <c r="AK27" s="67"/>
      <c r="AL27" s="68"/>
      <c r="AM27" s="67"/>
      <c r="AN27" s="68"/>
      <c r="AO27" s="67"/>
      <c r="AP27" s="30"/>
      <c r="AQ27" s="67"/>
      <c r="AR27" s="30"/>
      <c r="AS27" s="67"/>
      <c r="AT27" s="30"/>
      <c r="AU27" s="67"/>
      <c r="AV27" s="30"/>
      <c r="AW27" s="67"/>
      <c r="AX27" s="30"/>
      <c r="AY27" s="67"/>
      <c r="AZ27" s="68"/>
      <c r="BA27" s="67"/>
      <c r="BB27" s="30"/>
      <c r="BC27" s="67"/>
      <c r="BD27" s="68"/>
      <c r="BE27" s="67"/>
      <c r="BF27" s="68"/>
      <c r="BG27" s="67"/>
      <c r="BH27" s="30"/>
      <c r="BI27" s="67"/>
      <c r="BJ27" s="30"/>
      <c r="BK27" s="67"/>
      <c r="BL27" s="30"/>
      <c r="BM27" s="67"/>
      <c r="BN27" s="30"/>
      <c r="BO27" s="67"/>
      <c r="BP27" s="30"/>
      <c r="BQ27" s="67"/>
    </row>
    <row r="28" spans="2:69" s="24" customFormat="1">
      <c r="B28" s="80" t="s">
        <v>206</v>
      </c>
      <c r="C28" s="41"/>
      <c r="G28" s="30"/>
      <c r="H28" s="30"/>
      <c r="I28" s="30"/>
      <c r="J28" s="30">
        <f>-IF(OR(Financials!V$6='Financing Inputs'!$T$19,YEAR(Financials!V$6)=YEAR('Financing Inputs'!$L$46)),J27,0)</f>
        <v>0</v>
      </c>
      <c r="K28" s="30"/>
      <c r="L28" s="30">
        <f>-IF(OR(Financials!X$6='Financing Inputs'!$T$19,YEAR(Financials!X$6)=YEAR('Financing Inputs'!$L$46)),L27,0)</f>
        <v>0</v>
      </c>
      <c r="M28" s="30"/>
      <c r="N28" s="30">
        <f>-IF(OR(Financials!Z$6='Financing Inputs'!$T$19,YEAR(Financials!Z$6)=YEAR('Financing Inputs'!$L$46)),N27,0)</f>
        <v>0</v>
      </c>
      <c r="O28" s="30"/>
      <c r="P28" s="30">
        <f>-IF(OR(Financials!AB$6='Financing Inputs'!$T$19,YEAR(Financials!AB$6)=YEAR('Financing Inputs'!$L$46)),P27,0)</f>
        <v>0</v>
      </c>
      <c r="Q28" s="30"/>
      <c r="R28" s="30">
        <f>-IF(OR(Financials!AD$6='Financing Inputs'!$T$19,YEAR(Financials!AD$6)=YEAR('Financing Inputs'!$L$46)),R27,0)</f>
        <v>0</v>
      </c>
      <c r="S28" s="30"/>
      <c r="T28" s="30">
        <f>-IF(OR(Financials!AF$6='Financing Inputs'!$T$19,YEAR(Financials!AF$6)=YEAR('Financing Inputs'!$L$46)),T27,0)</f>
        <v>0</v>
      </c>
      <c r="U28" s="30"/>
      <c r="V28" s="30">
        <f>-IF(OR(Financials!AH$6='Financing Inputs'!$T$19,YEAR(Financials!AH$6)=YEAR('Financing Inputs'!$L$46)),V27,0)</f>
        <v>0</v>
      </c>
      <c r="W28" s="30"/>
      <c r="X28" s="30">
        <f>-IF(OR(Financials!AJ$6='Financing Inputs'!$T$19,YEAR(Financials!AJ$6)=YEAR('Financing Inputs'!$L$46)),X27,0)</f>
        <v>0</v>
      </c>
      <c r="Y28" s="30"/>
      <c r="Z28" s="30">
        <f>-IF(OR(Financials!AL$6='Financing Inputs'!$T$19,YEAR(Financials!AL$6)=YEAR('Financing Inputs'!$L$46)),Z27,0)</f>
        <v>0</v>
      </c>
      <c r="AA28" s="30"/>
      <c r="AB28" s="30">
        <f>-IF(OR(Financials!AN$6='Financing Inputs'!$T$19,YEAR(Financials!AN$6)=YEAR('Financing Inputs'!$L$46)),AB27,0)</f>
        <v>0</v>
      </c>
      <c r="AC28" s="67"/>
      <c r="AD28" s="30"/>
      <c r="AE28" s="67"/>
      <c r="AF28" s="68"/>
      <c r="AG28" s="70"/>
      <c r="AH28" s="70"/>
      <c r="AI28" s="70"/>
      <c r="AJ28" s="30"/>
      <c r="AK28" s="67"/>
      <c r="AL28" s="68"/>
      <c r="AM28" s="67"/>
      <c r="AN28" s="68"/>
      <c r="AO28" s="67"/>
      <c r="AP28" s="30"/>
      <c r="AQ28" s="67"/>
      <c r="AR28" s="30"/>
      <c r="AS28" s="67"/>
      <c r="AT28" s="30"/>
      <c r="AU28" s="67"/>
      <c r="AV28" s="30"/>
      <c r="AW28" s="67"/>
      <c r="AX28" s="30"/>
      <c r="AY28" s="67"/>
      <c r="AZ28" s="68"/>
      <c r="BA28" s="67"/>
      <c r="BB28" s="30"/>
      <c r="BC28" s="67"/>
      <c r="BD28" s="68"/>
      <c r="BE28" s="67"/>
      <c r="BF28" s="68"/>
      <c r="BG28" s="67"/>
      <c r="BH28" s="30"/>
      <c r="BI28" s="67"/>
      <c r="BJ28" s="30"/>
      <c r="BK28" s="67"/>
      <c r="BL28" s="30"/>
      <c r="BM28" s="67"/>
      <c r="BN28" s="30"/>
      <c r="BO28" s="67"/>
      <c r="BP28" s="30"/>
      <c r="BQ28" s="67"/>
    </row>
    <row r="29" spans="2:69" s="24" customFormat="1">
      <c r="B29" s="134" t="s">
        <v>207</v>
      </c>
      <c r="C29" s="95"/>
      <c r="D29" s="96"/>
      <c r="E29" s="96"/>
      <c r="F29" s="96"/>
      <c r="G29" s="30"/>
      <c r="H29" s="84">
        <f>IF(AND('Financing Inputs'!$L$43=1,Financials!T$6='Financing Inputs'!$T$5),'Financing Inputs'!$L$45,SUM(H27:H28))</f>
        <v>0</v>
      </c>
      <c r="I29" s="30"/>
      <c r="J29" s="84">
        <f>IF(AND('Financing Inputs'!$L$43=1,Financials!V$6='Financing Inputs'!$T$5),'Financing Inputs'!$L$45,SUM(J27:J28))</f>
        <v>0</v>
      </c>
      <c r="K29" s="30"/>
      <c r="L29" s="84">
        <f>IF(AND('Financing Inputs'!$L$43=1,Financials!X$6='Financing Inputs'!$T$5),'Financing Inputs'!$L$45,SUM(L27:L28))</f>
        <v>0</v>
      </c>
      <c r="M29" s="30"/>
      <c r="N29" s="84">
        <f>IF(AND('Financing Inputs'!$L$43=1,Financials!Z$6='Financing Inputs'!$T$5),'Financing Inputs'!$L$45,SUM(N27:N28))</f>
        <v>0</v>
      </c>
      <c r="O29" s="30"/>
      <c r="P29" s="84">
        <f>IF(AND('Financing Inputs'!$L$43=1,Financials!AB$6='Financing Inputs'!$T$5),'Financing Inputs'!$L$45,SUM(P27:P28))</f>
        <v>0</v>
      </c>
      <c r="Q29" s="30"/>
      <c r="R29" s="84">
        <f>IF(AND('Financing Inputs'!$L$43=1,Financials!AD$6='Financing Inputs'!$T$5),'Financing Inputs'!$L$45,SUM(R27:R28))</f>
        <v>0</v>
      </c>
      <c r="S29" s="30"/>
      <c r="T29" s="84">
        <f>IF(AND('Financing Inputs'!$L$43=1,Financials!AF$6='Financing Inputs'!$T$5),'Financing Inputs'!$L$45,SUM(T27:T28))</f>
        <v>0</v>
      </c>
      <c r="U29" s="30"/>
      <c r="V29" s="84">
        <f>IF(AND('Financing Inputs'!$L$43=1,Financials!AH$6='Financing Inputs'!$T$5),'Financing Inputs'!$L$45,SUM(V27:V28))</f>
        <v>0</v>
      </c>
      <c r="W29" s="30"/>
      <c r="X29" s="84">
        <f>IF(AND('Financing Inputs'!$L$43=1,Financials!AJ$6='Financing Inputs'!$T$5),'Financing Inputs'!$L$45,SUM(X27:X28))</f>
        <v>0</v>
      </c>
      <c r="Y29" s="30"/>
      <c r="Z29" s="84">
        <f>IF(AND('Financing Inputs'!$L$43=1,Financials!AL$6='Financing Inputs'!$T$5),'Financing Inputs'!$L$45,SUM(Z27:Z28))</f>
        <v>0</v>
      </c>
      <c r="AA29" s="30"/>
      <c r="AB29" s="84">
        <f>IF(AND('Financing Inputs'!$L$43=1,Financials!AN$6='Financing Inputs'!$T$5),'Financing Inputs'!$L$45,SUM(AB27:AB28))</f>
        <v>0</v>
      </c>
      <c r="AC29" s="67"/>
      <c r="AD29" s="30"/>
      <c r="AE29" s="67"/>
      <c r="AF29" s="68"/>
      <c r="AG29" s="70"/>
      <c r="AH29" s="70"/>
      <c r="AI29" s="70"/>
      <c r="AJ29" s="30"/>
      <c r="AK29" s="67"/>
      <c r="AL29" s="68"/>
      <c r="AM29" s="67"/>
      <c r="AN29" s="68"/>
      <c r="AO29" s="67"/>
      <c r="AP29" s="30"/>
      <c r="AQ29" s="67"/>
      <c r="AR29" s="30"/>
      <c r="AS29" s="67"/>
      <c r="AT29" s="30"/>
      <c r="AU29" s="67"/>
      <c r="AV29" s="30"/>
      <c r="AW29" s="67"/>
      <c r="AX29" s="30"/>
      <c r="AY29" s="67"/>
      <c r="AZ29" s="68"/>
      <c r="BA29" s="67"/>
      <c r="BB29" s="30"/>
      <c r="BC29" s="67"/>
      <c r="BD29" s="68"/>
      <c r="BE29" s="67"/>
      <c r="BF29" s="68"/>
      <c r="BG29" s="67"/>
      <c r="BH29" s="30"/>
      <c r="BI29" s="67"/>
      <c r="BJ29" s="30"/>
      <c r="BK29" s="67"/>
      <c r="BL29" s="30"/>
      <c r="BM29" s="67"/>
      <c r="BN29" s="30"/>
      <c r="BO29" s="67"/>
      <c r="BP29" s="30"/>
      <c r="BQ29" s="67"/>
    </row>
    <row r="30" spans="2:69" s="24" customFormat="1">
      <c r="B30" s="80" t="s">
        <v>208</v>
      </c>
      <c r="C30" s="41"/>
      <c r="F30" s="86">
        <f>IF('Financing Inputs'!$L$43=1,'Financing Inputs'!$L$44,0)</f>
        <v>0</v>
      </c>
      <c r="G30" s="30"/>
      <c r="H30" s="30"/>
      <c r="I30" s="30"/>
      <c r="J30" s="30">
        <f>-(Debt!$F$30*H29)/IF(YEAR(Financials!BL$6)=YEAR('Financing Inputs'!$L$46),IFERROR(12/(12-ROUND((YEARFRAC(Financials!BL$6,'Financing Inputs'!$L$46,1)*12),0)),1),1)</f>
        <v>0</v>
      </c>
      <c r="K30" s="30"/>
      <c r="L30" s="30">
        <f>-(Debt!$F$30*J29)/IF(YEAR(Financials!BN$6)=YEAR('Financing Inputs'!$L$46),IFERROR(12/(12-ROUND((YEARFRAC(Financials!BN$6,'Financing Inputs'!$L$46,1)*12),0)),1),1)</f>
        <v>0</v>
      </c>
      <c r="M30" s="30"/>
      <c r="N30" s="30">
        <f>-(Debt!$F$30*L29)/IF(YEAR(Financials!BP$6)=YEAR('Financing Inputs'!$L$46),IFERROR(12/(12-ROUND((YEARFRAC(Financials!BP$6,'Financing Inputs'!$L$46,1)*12),0)),1),1)</f>
        <v>0</v>
      </c>
      <c r="O30" s="30"/>
      <c r="P30" s="30">
        <f>-(Debt!$F$30*N29)/IF(YEAR(Financials!BR$6)=YEAR('Financing Inputs'!$L$46),IFERROR(12/(12-ROUND((YEARFRAC(Financials!BR$6,'Financing Inputs'!$L$46,1)*12),0)),1),1)</f>
        <v>0</v>
      </c>
      <c r="Q30" s="30"/>
      <c r="R30" s="30">
        <f>-(Debt!$F$30*P29)/IF(YEAR(Financials!BT$6)=YEAR('Financing Inputs'!$L$46),IFERROR(12/(12-ROUND((YEARFRAC(Financials!BT$6,'Financing Inputs'!$L$46,1)*12),0)),1),1)</f>
        <v>0</v>
      </c>
      <c r="S30" s="30"/>
      <c r="T30" s="30">
        <f>-(Debt!$F$30*R29)/IF(YEAR(Financials!BV$6)=YEAR('Financing Inputs'!$L$46),IFERROR(12/(12-ROUND((YEARFRAC(Financials!BV$6,'Financing Inputs'!$L$46,1)*12),0)),1),1)</f>
        <v>0</v>
      </c>
      <c r="U30" s="30"/>
      <c r="V30" s="30">
        <f>-(Debt!$F$30*T29)/IF(YEAR(Financials!BX$6)=YEAR('Financing Inputs'!$L$46),IFERROR(12/(12-ROUND((YEARFRAC(Financials!BX$6,'Financing Inputs'!$L$46,1)*12),0)),1),1)</f>
        <v>0</v>
      </c>
      <c r="W30" s="30"/>
      <c r="X30" s="30">
        <f>-(Debt!$F$30*V29)/IF(YEAR(Financials!BZ$6)=YEAR('Financing Inputs'!$L$46),IFERROR(12/(12-ROUND((YEARFRAC(Financials!BZ$6,'Financing Inputs'!$L$46,1)*12),0)),1),1)</f>
        <v>0</v>
      </c>
      <c r="Y30" s="30"/>
      <c r="Z30" s="30">
        <f>-(Debt!$F$30*X29)/IF(YEAR(Financials!CB$6)=YEAR('Financing Inputs'!$L$46),IFERROR(12/(12-ROUND((YEARFRAC(Financials!CB$6,'Financing Inputs'!$L$46,1)*12),0)),1),1)</f>
        <v>0</v>
      </c>
      <c r="AA30" s="30"/>
      <c r="AB30" s="30">
        <f>-(Debt!$F$30*Z29)/IF(YEAR(Financials!CD$6)=YEAR('Financing Inputs'!$L$46),IFERROR(12/(12-ROUND((YEARFRAC(Financials!CD$6,'Financing Inputs'!$L$46,1)*12),0)),1),1)</f>
        <v>0</v>
      </c>
      <c r="AC30" s="67"/>
      <c r="AD30" s="30"/>
      <c r="AE30" s="67"/>
      <c r="AF30" s="68"/>
      <c r="AG30" s="70"/>
      <c r="AH30" s="70"/>
      <c r="AI30" s="70"/>
      <c r="AJ30" s="30"/>
      <c r="AK30" s="67"/>
      <c r="AL30" s="68"/>
      <c r="AM30" s="67"/>
      <c r="AN30" s="68"/>
      <c r="AO30" s="67"/>
      <c r="AP30" s="30"/>
      <c r="AQ30" s="67"/>
      <c r="AR30" s="30"/>
      <c r="AS30" s="67"/>
      <c r="AT30" s="30"/>
      <c r="AU30" s="67"/>
      <c r="AV30" s="30"/>
      <c r="AW30" s="67"/>
      <c r="AX30" s="30"/>
      <c r="AY30" s="67"/>
      <c r="AZ30" s="68"/>
      <c r="BA30" s="67"/>
      <c r="BB30" s="30"/>
      <c r="BC30" s="67"/>
      <c r="BD30" s="68"/>
      <c r="BE30" s="67"/>
      <c r="BF30" s="68"/>
      <c r="BG30" s="67"/>
      <c r="BH30" s="30"/>
      <c r="BI30" s="67"/>
      <c r="BJ30" s="30"/>
      <c r="BK30" s="67"/>
      <c r="BL30" s="30"/>
      <c r="BM30" s="67"/>
      <c r="BN30" s="30"/>
      <c r="BO30" s="67"/>
      <c r="BP30" s="30"/>
      <c r="BQ30" s="67"/>
    </row>
    <row r="31" spans="2:69"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</row>
    <row r="32" spans="2:69">
      <c r="B32" s="133" t="s">
        <v>256</v>
      </c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</row>
    <row r="33" spans="2:69" s="24" customFormat="1">
      <c r="B33" s="80" t="s">
        <v>204</v>
      </c>
      <c r="C33" s="41"/>
      <c r="G33" s="30"/>
      <c r="H33" s="30"/>
      <c r="I33" s="30"/>
      <c r="J33" s="30">
        <f>H36</f>
        <v>0</v>
      </c>
      <c r="K33" s="30"/>
      <c r="L33" s="30">
        <f>J36</f>
        <v>0</v>
      </c>
      <c r="M33" s="30"/>
      <c r="N33" s="30">
        <f>L36</f>
        <v>0</v>
      </c>
      <c r="O33" s="30"/>
      <c r="P33" s="30">
        <f>N36</f>
        <v>0</v>
      </c>
      <c r="Q33" s="30"/>
      <c r="R33" s="30">
        <f>P36</f>
        <v>0</v>
      </c>
      <c r="S33" s="30"/>
      <c r="T33" s="30">
        <f>R36</f>
        <v>0</v>
      </c>
      <c r="U33" s="30"/>
      <c r="V33" s="30">
        <f>T36</f>
        <v>0</v>
      </c>
      <c r="W33" s="30"/>
      <c r="X33" s="30">
        <f>V36</f>
        <v>0</v>
      </c>
      <c r="Y33" s="30"/>
      <c r="Z33" s="30">
        <f>X36</f>
        <v>0</v>
      </c>
      <c r="AA33" s="30"/>
      <c r="AB33" s="30">
        <f>Z36</f>
        <v>0</v>
      </c>
      <c r="AC33" s="67"/>
      <c r="AD33" s="30"/>
      <c r="AE33" s="67"/>
      <c r="AF33" s="68"/>
      <c r="AG33" s="70"/>
      <c r="AH33" s="70"/>
      <c r="AI33" s="70"/>
      <c r="AJ33" s="30"/>
      <c r="AK33" s="67"/>
      <c r="AL33" s="68"/>
      <c r="AM33" s="67"/>
      <c r="AN33" s="68"/>
      <c r="AO33" s="67"/>
      <c r="AP33" s="30"/>
      <c r="AQ33" s="67"/>
      <c r="AR33" s="30"/>
      <c r="AS33" s="67"/>
      <c r="AT33" s="30"/>
      <c r="AU33" s="67"/>
      <c r="AV33" s="30"/>
      <c r="AW33" s="67"/>
      <c r="AX33" s="30"/>
      <c r="AY33" s="67"/>
      <c r="AZ33" s="68"/>
      <c r="BA33" s="67"/>
      <c r="BB33" s="30"/>
      <c r="BC33" s="67"/>
      <c r="BD33" s="68"/>
      <c r="BE33" s="67"/>
      <c r="BF33" s="68"/>
      <c r="BG33" s="67"/>
      <c r="BH33" s="30"/>
      <c r="BI33" s="67"/>
      <c r="BJ33" s="30"/>
      <c r="BK33" s="67"/>
      <c r="BL33" s="30"/>
      <c r="BM33" s="67"/>
      <c r="BN33" s="30"/>
      <c r="BO33" s="67"/>
      <c r="BP33" s="30"/>
      <c r="BQ33" s="67"/>
    </row>
    <row r="34" spans="2:69" s="24" customFormat="1">
      <c r="B34" s="80" t="s">
        <v>205</v>
      </c>
      <c r="C34" s="41"/>
      <c r="F34" s="30">
        <f>IF('Financing Inputs'!$L$48=1,'Financing Inputs'!$L$51,0)</f>
        <v>0</v>
      </c>
      <c r="G34" s="30"/>
      <c r="H34" s="30"/>
      <c r="I34" s="30"/>
      <c r="J34" s="30">
        <f>-MIN(IF(Financials!BL$6&gt;'Financing Inputs'!$T$19,0,Debt!$F$34),J33)</f>
        <v>0</v>
      </c>
      <c r="K34" s="30"/>
      <c r="L34" s="30">
        <f>-MIN(IF(Financials!BN$6&gt;'Financing Inputs'!$T$19,0,Debt!$F$34),L33)</f>
        <v>0</v>
      </c>
      <c r="M34" s="30"/>
      <c r="N34" s="30">
        <f>-MIN(IF(Financials!BP$6&gt;'Financing Inputs'!$T$19,0,Debt!$F$34),N33)</f>
        <v>0</v>
      </c>
      <c r="O34" s="30"/>
      <c r="P34" s="30">
        <f>-MIN(IF(Financials!BR$6&gt;'Financing Inputs'!$T$19,0,Debt!$F$34),P33)</f>
        <v>0</v>
      </c>
      <c r="Q34" s="30"/>
      <c r="R34" s="30">
        <f>-MIN(IF(Financials!BT$6&gt;'Financing Inputs'!$T$19,0,Debt!$F$34),R33)</f>
        <v>0</v>
      </c>
      <c r="S34" s="30"/>
      <c r="T34" s="30">
        <f>-MIN(IF(Financials!BV$6&gt;'Financing Inputs'!$T$19,0,Debt!$F$34),T33)</f>
        <v>0</v>
      </c>
      <c r="U34" s="30"/>
      <c r="V34" s="30">
        <f>-MIN(IF(Financials!BX$6&gt;'Financing Inputs'!$T$19,0,Debt!$F$34),V33)</f>
        <v>0</v>
      </c>
      <c r="W34" s="30"/>
      <c r="X34" s="30">
        <f>-MIN(IF(Financials!BZ$6&gt;'Financing Inputs'!$T$19,0,Debt!$F$34),X33)</f>
        <v>0</v>
      </c>
      <c r="Y34" s="30"/>
      <c r="Z34" s="30">
        <f>-MIN(IF(Financials!CB$6&gt;'Financing Inputs'!$T$19,0,Debt!$F$34),Z33)</f>
        <v>0</v>
      </c>
      <c r="AA34" s="30"/>
      <c r="AB34" s="30">
        <f>-MIN(IF(Financials!CD$6&gt;'Financing Inputs'!$T$19,0,Debt!$F$34),AB33)</f>
        <v>0</v>
      </c>
      <c r="AC34" s="67"/>
      <c r="AD34" s="30"/>
      <c r="AE34" s="67"/>
      <c r="AF34" s="68"/>
      <c r="AG34" s="70"/>
      <c r="AH34" s="70"/>
      <c r="AI34" s="70"/>
      <c r="AJ34" s="30"/>
      <c r="AK34" s="67"/>
      <c r="AL34" s="68"/>
      <c r="AM34" s="67"/>
      <c r="AN34" s="68"/>
      <c r="AO34" s="67"/>
      <c r="AP34" s="30"/>
      <c r="AQ34" s="67"/>
      <c r="AR34" s="30"/>
      <c r="AS34" s="67"/>
      <c r="AT34" s="30"/>
      <c r="AU34" s="67"/>
      <c r="AV34" s="30"/>
      <c r="AW34" s="67"/>
      <c r="AX34" s="30"/>
      <c r="AY34" s="67"/>
      <c r="AZ34" s="68"/>
      <c r="BA34" s="67"/>
      <c r="BB34" s="30"/>
      <c r="BC34" s="67"/>
      <c r="BD34" s="68"/>
      <c r="BE34" s="67"/>
      <c r="BF34" s="68"/>
      <c r="BG34" s="67"/>
      <c r="BH34" s="30"/>
      <c r="BI34" s="67"/>
      <c r="BJ34" s="30"/>
      <c r="BK34" s="67"/>
      <c r="BL34" s="30"/>
      <c r="BM34" s="67"/>
      <c r="BN34" s="30"/>
      <c r="BO34" s="67"/>
      <c r="BP34" s="30"/>
      <c r="BQ34" s="67"/>
    </row>
    <row r="35" spans="2:69" s="24" customFormat="1">
      <c r="B35" s="80" t="s">
        <v>206</v>
      </c>
      <c r="C35" s="41"/>
      <c r="G35" s="30"/>
      <c r="H35" s="30"/>
      <c r="I35" s="30"/>
      <c r="J35" s="30">
        <f>-IF(OR(Financials!V$6='Financing Inputs'!$T$19,YEAR(Financials!V$6)=YEAR('Financing Inputs'!$L$52)),J33+J34,0)</f>
        <v>0</v>
      </c>
      <c r="K35" s="30"/>
      <c r="L35" s="30">
        <f>-IF(OR(Financials!X$6='Financing Inputs'!$T$19,YEAR(Financials!X$6)=YEAR('Financing Inputs'!$L$52)),L33+L34,0)</f>
        <v>0</v>
      </c>
      <c r="M35" s="30"/>
      <c r="N35" s="30">
        <f>-IF(OR(Financials!Z$6='Financing Inputs'!$T$19,YEAR(Financials!Z$6)=YEAR('Financing Inputs'!$L$52)),N33+N34,0)</f>
        <v>0</v>
      </c>
      <c r="O35" s="30"/>
      <c r="P35" s="30">
        <f>-IF(OR(Financials!AB$6='Financing Inputs'!$T$19,YEAR(Financials!AB$6)=YEAR('Financing Inputs'!$L$52)),P33+P34,0)</f>
        <v>0</v>
      </c>
      <c r="Q35" s="30"/>
      <c r="R35" s="30">
        <f>-IF(OR(Financials!AD$6='Financing Inputs'!$T$19,YEAR(Financials!AD$6)=YEAR('Financing Inputs'!$L$52)),R33+R34,0)</f>
        <v>0</v>
      </c>
      <c r="S35" s="30"/>
      <c r="T35" s="30">
        <f>-IF(OR(Financials!AF$6='Financing Inputs'!$T$19,YEAR(Financials!AF$6)=YEAR('Financing Inputs'!$L$52)),T33+T34,0)</f>
        <v>0</v>
      </c>
      <c r="U35" s="30"/>
      <c r="V35" s="30">
        <f>-IF(OR(Financials!AH$6='Financing Inputs'!$T$19,YEAR(Financials!AH$6)=YEAR('Financing Inputs'!$L$52)),V33+V34,0)</f>
        <v>0</v>
      </c>
      <c r="W35" s="30"/>
      <c r="X35" s="30">
        <f>-IF(OR(Financials!AJ$6='Financing Inputs'!$T$19,YEAR(Financials!AJ$6)=YEAR('Financing Inputs'!$L$52)),X33+X34,0)</f>
        <v>0</v>
      </c>
      <c r="Y35" s="30"/>
      <c r="Z35" s="30">
        <f>-IF(OR(Financials!AL$6='Financing Inputs'!$T$19,YEAR(Financials!AL$6)=YEAR('Financing Inputs'!$L$52)),Z33+Z34,0)</f>
        <v>0</v>
      </c>
      <c r="AA35" s="30"/>
      <c r="AB35" s="30">
        <f>-IF(OR(Financials!AN$6='Financing Inputs'!$T$19,YEAR(Financials!AN$6)=YEAR('Financing Inputs'!$L$52)),AB33+AB34,0)</f>
        <v>0</v>
      </c>
      <c r="AC35" s="67"/>
      <c r="AD35" s="30"/>
      <c r="AE35" s="67"/>
      <c r="AF35" s="68"/>
      <c r="AG35" s="70"/>
      <c r="AH35" s="70"/>
      <c r="AI35" s="70"/>
      <c r="AJ35" s="30"/>
      <c r="AK35" s="67"/>
      <c r="AL35" s="68"/>
      <c r="AM35" s="67"/>
      <c r="AN35" s="68"/>
      <c r="AO35" s="67"/>
      <c r="AP35" s="30"/>
      <c r="AQ35" s="67"/>
      <c r="AR35" s="30"/>
      <c r="AS35" s="67"/>
      <c r="AT35" s="30"/>
      <c r="AU35" s="67"/>
      <c r="AV35" s="30"/>
      <c r="AW35" s="67"/>
      <c r="AX35" s="30"/>
      <c r="AY35" s="67"/>
      <c r="AZ35" s="68"/>
      <c r="BA35" s="67"/>
      <c r="BB35" s="30"/>
      <c r="BC35" s="67"/>
      <c r="BD35" s="68"/>
      <c r="BE35" s="67"/>
      <c r="BF35" s="68"/>
      <c r="BG35" s="67"/>
      <c r="BH35" s="30"/>
      <c r="BI35" s="67"/>
      <c r="BJ35" s="30"/>
      <c r="BK35" s="67"/>
      <c r="BL35" s="30"/>
      <c r="BM35" s="67"/>
      <c r="BN35" s="30"/>
      <c r="BO35" s="67"/>
      <c r="BP35" s="30"/>
      <c r="BQ35" s="67"/>
    </row>
    <row r="36" spans="2:69" s="24" customFormat="1">
      <c r="B36" s="134" t="s">
        <v>207</v>
      </c>
      <c r="C36" s="95"/>
      <c r="D36" s="96"/>
      <c r="E36" s="96"/>
      <c r="F36" s="96"/>
      <c r="G36" s="30"/>
      <c r="H36" s="84">
        <f>IF(AND('Financing Inputs'!$L$48=1,Financials!T$6='Financing Inputs'!$T$5),'Financing Inputs'!$L$50,SUM(H33:H35))</f>
        <v>0</v>
      </c>
      <c r="I36" s="30"/>
      <c r="J36" s="84">
        <f>IF(AND('Financing Inputs'!$L$48=1,Financials!V$6='Financing Inputs'!$T$5),'Financing Inputs'!$L$50,SUM(J33:J35))</f>
        <v>0</v>
      </c>
      <c r="K36" s="30"/>
      <c r="L36" s="84">
        <f>IF(AND('Financing Inputs'!$L$48=1,Financials!X$6='Financing Inputs'!$T$5),'Financing Inputs'!$L$50,SUM(L33:L35))</f>
        <v>0</v>
      </c>
      <c r="M36" s="30"/>
      <c r="N36" s="84">
        <f>IF(AND('Financing Inputs'!$L$48=1,Financials!Z$6='Financing Inputs'!$T$5),'Financing Inputs'!$L$50,SUM(N33:N35))</f>
        <v>0</v>
      </c>
      <c r="O36" s="30"/>
      <c r="P36" s="84">
        <f>IF(AND('Financing Inputs'!$L$48=1,Financials!AB$6='Financing Inputs'!$T$5),'Financing Inputs'!$L$50,SUM(P33:P35))</f>
        <v>0</v>
      </c>
      <c r="Q36" s="30"/>
      <c r="R36" s="84">
        <f>IF(AND('Financing Inputs'!$L$48=1,Financials!AD$6='Financing Inputs'!$T$5),'Financing Inputs'!$L$50,SUM(R33:R35))</f>
        <v>0</v>
      </c>
      <c r="S36" s="30"/>
      <c r="T36" s="84">
        <f>IF(AND('Financing Inputs'!$L$48=1,Financials!AF$6='Financing Inputs'!$T$5),'Financing Inputs'!$L$50,SUM(T33:T35))</f>
        <v>0</v>
      </c>
      <c r="U36" s="30"/>
      <c r="V36" s="84">
        <f>IF(AND('Financing Inputs'!$L$48=1,Financials!AH$6='Financing Inputs'!$T$5),'Financing Inputs'!$L$50,SUM(V33:V35))</f>
        <v>0</v>
      </c>
      <c r="W36" s="30"/>
      <c r="X36" s="84">
        <f>IF(AND('Financing Inputs'!$L$48=1,Financials!AJ$6='Financing Inputs'!$T$5),'Financing Inputs'!$L$50,SUM(X33:X35))</f>
        <v>0</v>
      </c>
      <c r="Y36" s="30"/>
      <c r="Z36" s="84">
        <f>IF(AND('Financing Inputs'!$L$48=1,Financials!AL$6='Financing Inputs'!$T$5),'Financing Inputs'!$L$50,SUM(Z33:Z35))</f>
        <v>0</v>
      </c>
      <c r="AA36" s="30"/>
      <c r="AB36" s="84">
        <f>IF(AND('Financing Inputs'!$L$48=1,Financials!AN$6='Financing Inputs'!$T$5),'Financing Inputs'!$L$50,SUM(AB33:AB35))</f>
        <v>0</v>
      </c>
      <c r="AC36" s="67"/>
      <c r="AD36" s="30"/>
      <c r="AE36" s="67"/>
      <c r="AF36" s="68"/>
      <c r="AG36" s="70"/>
      <c r="AH36" s="70"/>
      <c r="AI36" s="70"/>
      <c r="AJ36" s="30"/>
      <c r="AK36" s="67"/>
      <c r="AL36" s="68"/>
      <c r="AM36" s="67"/>
      <c r="AN36" s="68"/>
      <c r="AO36" s="67"/>
      <c r="AP36" s="30"/>
      <c r="AQ36" s="67"/>
      <c r="AR36" s="30"/>
      <c r="AS36" s="67"/>
      <c r="AT36" s="30"/>
      <c r="AU36" s="67"/>
      <c r="AV36" s="30"/>
      <c r="AW36" s="67"/>
      <c r="AX36" s="30"/>
      <c r="AY36" s="67"/>
      <c r="AZ36" s="68"/>
      <c r="BA36" s="67"/>
      <c r="BB36" s="30"/>
      <c r="BC36" s="67"/>
      <c r="BD36" s="68"/>
      <c r="BE36" s="67"/>
      <c r="BF36" s="68"/>
      <c r="BG36" s="67"/>
      <c r="BH36" s="30"/>
      <c r="BI36" s="67"/>
      <c r="BJ36" s="30"/>
      <c r="BK36" s="67"/>
      <c r="BL36" s="30"/>
      <c r="BM36" s="67"/>
      <c r="BN36" s="30"/>
      <c r="BO36" s="67"/>
      <c r="BP36" s="30"/>
      <c r="BQ36" s="67"/>
    </row>
    <row r="37" spans="2:69" s="24" customFormat="1">
      <c r="B37" s="80" t="s">
        <v>208</v>
      </c>
      <c r="C37" s="41"/>
      <c r="F37" s="86">
        <f>IF('Financing Inputs'!$L$48=1,'Financing Inputs'!$L$49,0)</f>
        <v>0</v>
      </c>
      <c r="G37" s="30"/>
      <c r="H37" s="30"/>
      <c r="I37" s="30"/>
      <c r="J37" s="30">
        <f>-(Debt!$F$37*H36)/IF(YEAR(Financials!BL$6)=YEAR('Financing Inputs'!$L$52),IFERROR(12/(12-ROUND((YEARFRAC(Financials!BL$6,'Financing Inputs'!$L$52,1)*12),0)),1),1)</f>
        <v>0</v>
      </c>
      <c r="K37" s="30"/>
      <c r="L37" s="30">
        <f>-(Debt!$F$37*J36)/IF(YEAR(Financials!BN$6)=YEAR('Financing Inputs'!$L$52),IFERROR(12/(12-ROUND((YEARFRAC(Financials!BN$6,'Financing Inputs'!$L$52,1)*12),0)),1),1)</f>
        <v>0</v>
      </c>
      <c r="M37" s="30"/>
      <c r="N37" s="30">
        <f>-(Debt!$F$37*L36)/IF(YEAR(Financials!BP$6)=YEAR('Financing Inputs'!$L$52),IFERROR(12/(12-ROUND((YEARFRAC(Financials!BP$6,'Financing Inputs'!$L$52,1)*12),0)),1),1)</f>
        <v>0</v>
      </c>
      <c r="O37" s="30"/>
      <c r="P37" s="30">
        <f>-(Debt!$F$37*N36)/IF(YEAR(Financials!BR$6)=YEAR('Financing Inputs'!$L$52),IFERROR(12/(12-ROUND((YEARFRAC(Financials!BR$6,'Financing Inputs'!$L$52,1)*12),0)),1),1)</f>
        <v>0</v>
      </c>
      <c r="Q37" s="30"/>
      <c r="R37" s="30">
        <f>-(Debt!$F$37*P36)/IF(YEAR(Financials!BT$6)=YEAR('Financing Inputs'!$L$52),IFERROR(12/(12-ROUND((YEARFRAC(Financials!BT$6,'Financing Inputs'!$L$52,1)*12),0)),1),1)</f>
        <v>0</v>
      </c>
      <c r="S37" s="30"/>
      <c r="T37" s="30">
        <f>-(Debt!$F$37*R36)/IF(YEAR(Financials!BV$6)=YEAR('Financing Inputs'!$L$52),IFERROR(12/(12-ROUND((YEARFRAC(Financials!BV$6,'Financing Inputs'!$L$52,1)*12),0)),1),1)</f>
        <v>0</v>
      </c>
      <c r="U37" s="30"/>
      <c r="V37" s="30">
        <f>-(Debt!$F$37*T36)/IF(YEAR(Financials!BX$6)=YEAR('Financing Inputs'!$L$52),IFERROR(12/(12-ROUND((YEARFRAC(Financials!BX$6,'Financing Inputs'!$L$52,1)*12),0)),1),1)</f>
        <v>0</v>
      </c>
      <c r="W37" s="30"/>
      <c r="X37" s="30">
        <f>-(Debt!$F$37*V36)/IF(YEAR(Financials!BZ$6)=YEAR('Financing Inputs'!$L$52),IFERROR(12/(12-ROUND((YEARFRAC(Financials!BZ$6,'Financing Inputs'!$L$52,1)*12),0)),1),1)</f>
        <v>0</v>
      </c>
      <c r="Y37" s="30"/>
      <c r="Z37" s="30">
        <f>-(Debt!$F$37*X36)/IF(YEAR(Financials!CB$6)=YEAR('Financing Inputs'!$L$52),IFERROR(12/(12-ROUND((YEARFRAC(Financials!CB$6,'Financing Inputs'!$L$52,1)*12),0)),1),1)</f>
        <v>0</v>
      </c>
      <c r="AA37" s="30"/>
      <c r="AB37" s="30">
        <f>-(Debt!$F$37*Z36)/IF(YEAR(Financials!CD$6)=YEAR('Financing Inputs'!$L$52),IFERROR(12/(12-ROUND((YEARFRAC(Financials!CD$6,'Financing Inputs'!$L$52,1)*12),0)),1),1)</f>
        <v>0</v>
      </c>
      <c r="AC37" s="67"/>
      <c r="AD37" s="30"/>
      <c r="AE37" s="67"/>
      <c r="AF37" s="68"/>
      <c r="AG37" s="70"/>
      <c r="AH37" s="70"/>
      <c r="AI37" s="70"/>
      <c r="AJ37" s="30"/>
      <c r="AK37" s="67"/>
      <c r="AL37" s="68"/>
      <c r="AM37" s="67"/>
      <c r="AN37" s="68"/>
      <c r="AO37" s="67"/>
      <c r="AP37" s="30"/>
      <c r="AQ37" s="67"/>
      <c r="AR37" s="30"/>
      <c r="AS37" s="67"/>
      <c r="AT37" s="30"/>
      <c r="AU37" s="67"/>
      <c r="AV37" s="30"/>
      <c r="AW37" s="67"/>
      <c r="AX37" s="30"/>
      <c r="AY37" s="67"/>
      <c r="AZ37" s="68"/>
      <c r="BA37" s="67"/>
      <c r="BB37" s="30"/>
      <c r="BC37" s="67"/>
      <c r="BD37" s="68"/>
      <c r="BE37" s="67"/>
      <c r="BF37" s="68"/>
      <c r="BG37" s="67"/>
      <c r="BH37" s="30"/>
      <c r="BI37" s="67"/>
      <c r="BJ37" s="30"/>
      <c r="BK37" s="67"/>
      <c r="BL37" s="30"/>
      <c r="BM37" s="67"/>
      <c r="BN37" s="30"/>
      <c r="BO37" s="67"/>
      <c r="BP37" s="30"/>
      <c r="BQ37" s="67"/>
    </row>
    <row r="38" spans="2:69"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</row>
    <row r="39" spans="2:69">
      <c r="B39" s="133" t="s">
        <v>239</v>
      </c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</row>
    <row r="40" spans="2:69">
      <c r="B40" s="133" t="s">
        <v>240</v>
      </c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</row>
    <row r="41" spans="2:69" s="24" customFormat="1">
      <c r="B41" s="80" t="s">
        <v>204</v>
      </c>
      <c r="C41" s="41"/>
      <c r="G41" s="30"/>
      <c r="H41" s="30"/>
      <c r="I41" s="30"/>
      <c r="J41" s="30">
        <f>H45</f>
        <v>0</v>
      </c>
      <c r="K41" s="30"/>
      <c r="L41" s="30">
        <f>J45</f>
        <v>0</v>
      </c>
      <c r="M41" s="30"/>
      <c r="N41" s="30">
        <f>L45</f>
        <v>0</v>
      </c>
      <c r="O41" s="30"/>
      <c r="P41" s="30">
        <f>N45</f>
        <v>0</v>
      </c>
      <c r="Q41" s="30"/>
      <c r="R41" s="30">
        <f>P45</f>
        <v>0</v>
      </c>
      <c r="S41" s="30"/>
      <c r="T41" s="30">
        <f>R45</f>
        <v>0</v>
      </c>
      <c r="U41" s="30"/>
      <c r="V41" s="30">
        <f>T45</f>
        <v>0</v>
      </c>
      <c r="W41" s="30"/>
      <c r="X41" s="30">
        <f>V45</f>
        <v>0</v>
      </c>
      <c r="Y41" s="30"/>
      <c r="Z41" s="30">
        <f>X45</f>
        <v>0</v>
      </c>
      <c r="AA41" s="30"/>
      <c r="AB41" s="30">
        <f>Z45</f>
        <v>0</v>
      </c>
      <c r="AC41" s="67"/>
      <c r="AD41" s="30"/>
      <c r="AE41" s="67"/>
      <c r="AF41" s="68"/>
      <c r="AG41" s="70"/>
      <c r="AH41" s="70"/>
      <c r="AI41" s="70"/>
      <c r="AJ41" s="30"/>
      <c r="AK41" s="67"/>
      <c r="AL41" s="68"/>
      <c r="AM41" s="67"/>
      <c r="AN41" s="68"/>
      <c r="AO41" s="67"/>
      <c r="AP41" s="30"/>
      <c r="AQ41" s="67"/>
      <c r="AR41" s="30"/>
      <c r="AS41" s="67"/>
      <c r="AT41" s="30"/>
      <c r="AU41" s="67"/>
      <c r="AV41" s="30"/>
      <c r="AW41" s="67"/>
      <c r="AX41" s="30"/>
      <c r="AY41" s="67"/>
      <c r="AZ41" s="68"/>
      <c r="BA41" s="67"/>
      <c r="BB41" s="30"/>
      <c r="BC41" s="67"/>
      <c r="BD41" s="68"/>
      <c r="BE41" s="67"/>
      <c r="BF41" s="68"/>
      <c r="BG41" s="67"/>
      <c r="BH41" s="30"/>
      <c r="BI41" s="67"/>
      <c r="BJ41" s="30"/>
      <c r="BK41" s="67"/>
      <c r="BL41" s="30"/>
      <c r="BM41" s="67"/>
      <c r="BN41" s="30"/>
      <c r="BO41" s="67"/>
      <c r="BP41" s="30"/>
      <c r="BQ41" s="67"/>
    </row>
    <row r="42" spans="2:69" s="24" customFormat="1">
      <c r="B42" s="80" t="s">
        <v>241</v>
      </c>
      <c r="C42" s="41"/>
      <c r="G42" s="30"/>
      <c r="H42" s="30"/>
      <c r="I42" s="30"/>
      <c r="J42" s="30">
        <f>-IF(AND('Financing Inputs'!$T$31=3,'Financing Inputs'!$T$36=1),J$28,0)</f>
        <v>0</v>
      </c>
      <c r="K42" s="30"/>
      <c r="L42" s="30">
        <f>-IF(AND('Financing Inputs'!$T$31=3,'Financing Inputs'!$T$36=1),L$28,0)</f>
        <v>0</v>
      </c>
      <c r="M42" s="30"/>
      <c r="N42" s="30">
        <f>-IF(AND('Financing Inputs'!$T$31=3,'Financing Inputs'!$T$36=1),N$28,0)</f>
        <v>0</v>
      </c>
      <c r="O42" s="30"/>
      <c r="P42" s="30">
        <f>-IF(AND('Financing Inputs'!$T$31=3,'Financing Inputs'!$T$36=1),P$28,0)</f>
        <v>0</v>
      </c>
      <c r="Q42" s="30"/>
      <c r="R42" s="30">
        <f>-IF(AND('Financing Inputs'!$T$31=3,'Financing Inputs'!$T$36=1),R$28,0)</f>
        <v>0</v>
      </c>
      <c r="S42" s="30"/>
      <c r="T42" s="30">
        <f>-IF(AND('Financing Inputs'!$T$31=3,'Financing Inputs'!$T$36=1),T$28,0)</f>
        <v>0</v>
      </c>
      <c r="U42" s="30"/>
      <c r="V42" s="30">
        <f>-IF(AND('Financing Inputs'!$T$31=3,'Financing Inputs'!$T$36=1),V$28,0)</f>
        <v>0</v>
      </c>
      <c r="W42" s="30"/>
      <c r="X42" s="30">
        <f>-IF(AND('Financing Inputs'!$T$31=3,'Financing Inputs'!$T$36=1),X$28,0)</f>
        <v>0</v>
      </c>
      <c r="Y42" s="30"/>
      <c r="Z42" s="30">
        <f>-IF(AND('Financing Inputs'!$T$31=3,'Financing Inputs'!$T$36=1),Z$28,0)</f>
        <v>0</v>
      </c>
      <c r="AA42" s="30"/>
      <c r="AB42" s="30">
        <f>-IF(AND('Financing Inputs'!$T$31=3,'Financing Inputs'!$T$36=1),AB$28,0)</f>
        <v>0</v>
      </c>
      <c r="AC42" s="67"/>
      <c r="AD42" s="30"/>
      <c r="AE42" s="67"/>
      <c r="AF42" s="68"/>
      <c r="AG42" s="70"/>
      <c r="AH42" s="70"/>
      <c r="AI42" s="70"/>
      <c r="AJ42" s="30"/>
      <c r="AK42" s="67"/>
      <c r="AL42" s="68"/>
      <c r="AM42" s="67"/>
      <c r="AN42" s="68"/>
      <c r="AO42" s="67"/>
      <c r="AP42" s="30"/>
      <c r="AQ42" s="67"/>
      <c r="AR42" s="30"/>
      <c r="AS42" s="67"/>
      <c r="AT42" s="30"/>
      <c r="AU42" s="67"/>
      <c r="AV42" s="30"/>
      <c r="AW42" s="67"/>
      <c r="AX42" s="30"/>
      <c r="AY42" s="67"/>
      <c r="AZ42" s="68"/>
      <c r="BA42" s="67"/>
      <c r="BB42" s="30"/>
      <c r="BC42" s="67"/>
      <c r="BD42" s="68"/>
      <c r="BE42" s="67"/>
      <c r="BF42" s="68"/>
      <c r="BG42" s="67"/>
      <c r="BH42" s="30"/>
      <c r="BI42" s="67"/>
      <c r="BJ42" s="30"/>
      <c r="BK42" s="67"/>
      <c r="BL42" s="30"/>
      <c r="BM42" s="67"/>
      <c r="BN42" s="30"/>
      <c r="BO42" s="67"/>
      <c r="BP42" s="30"/>
      <c r="BQ42" s="67"/>
    </row>
    <row r="43" spans="2:69" s="24" customFormat="1">
      <c r="B43" s="80" t="s">
        <v>205</v>
      </c>
      <c r="C43" s="41"/>
      <c r="F43" s="30">
        <f>-IF(AND('Financing Inputs'!$T$31=3,'Financing Inputs'!$T$36=1),PMT('Financing Inputs'!$L$27,'Financing Inputs'!$L$28,SUM(Debt!J42:AB42)),0)</f>
        <v>0</v>
      </c>
      <c r="G43" s="30"/>
      <c r="H43" s="30"/>
      <c r="I43" s="30"/>
      <c r="J43" s="30">
        <f>-MIN(IF(Financials!BL$6&gt;'Financing Inputs'!$T$19,0,Debt!$F$43+J46),J41)</f>
        <v>0</v>
      </c>
      <c r="K43" s="30"/>
      <c r="L43" s="30">
        <f>-MIN(IF(Financials!BN$6&gt;'Financing Inputs'!$T$19,0,Debt!$F$43+L46),L41)</f>
        <v>0</v>
      </c>
      <c r="M43" s="30"/>
      <c r="N43" s="30">
        <f>-MIN(IF(Financials!BP$6&gt;'Financing Inputs'!$T$19,0,Debt!$F$43+N46),N41)</f>
        <v>0</v>
      </c>
      <c r="O43" s="30"/>
      <c r="P43" s="30">
        <f>-MIN(IF(Financials!BR$6&gt;'Financing Inputs'!$T$19,0,Debt!$F$43+P46),P41)</f>
        <v>0</v>
      </c>
      <c r="Q43" s="30"/>
      <c r="R43" s="30">
        <f>-MIN(IF(Financials!BT$6&gt;'Financing Inputs'!$T$19,0,Debt!$F$43+R46),R41)</f>
        <v>0</v>
      </c>
      <c r="S43" s="30"/>
      <c r="T43" s="30">
        <f>-MIN(IF(Financials!BV$6&gt;'Financing Inputs'!$T$19,0,Debt!$F$43+T46),T41)</f>
        <v>0</v>
      </c>
      <c r="U43" s="30"/>
      <c r="V43" s="30">
        <f>-MIN(IF(Financials!BX$6&gt;'Financing Inputs'!$T$19,0,Debt!$F$43+V46),V41)</f>
        <v>0</v>
      </c>
      <c r="W43" s="30"/>
      <c r="X43" s="30">
        <f>-MIN(IF(Financials!BZ$6&gt;'Financing Inputs'!$T$19,0,Debt!$F$43+X46),X41)</f>
        <v>0</v>
      </c>
      <c r="Y43" s="30"/>
      <c r="Z43" s="30">
        <f>-MIN(IF(Financials!CB$6&gt;'Financing Inputs'!$T$19,0,Debt!$F$43+Z46),Z41)</f>
        <v>0</v>
      </c>
      <c r="AA43" s="30"/>
      <c r="AB43" s="30">
        <f>-MIN(IF(Financials!CD$6&gt;'Financing Inputs'!$T$19,0,Debt!$F$43+AB46),AB41)</f>
        <v>0</v>
      </c>
      <c r="AC43" s="67"/>
      <c r="AD43" s="30"/>
      <c r="AE43" s="67"/>
      <c r="AF43" s="68"/>
      <c r="AG43" s="70"/>
      <c r="AH43" s="70"/>
      <c r="AI43" s="70"/>
      <c r="AJ43" s="30"/>
      <c r="AK43" s="67"/>
      <c r="AL43" s="68"/>
      <c r="AM43" s="67"/>
      <c r="AN43" s="68"/>
      <c r="AO43" s="67"/>
      <c r="AP43" s="30"/>
      <c r="AQ43" s="67"/>
      <c r="AR43" s="30"/>
      <c r="AS43" s="67"/>
      <c r="AT43" s="30"/>
      <c r="AU43" s="67"/>
      <c r="AV43" s="30"/>
      <c r="AW43" s="67"/>
      <c r="AX43" s="30"/>
      <c r="AY43" s="67"/>
      <c r="AZ43" s="68"/>
      <c r="BA43" s="67"/>
      <c r="BB43" s="30"/>
      <c r="BC43" s="67"/>
      <c r="BD43" s="68"/>
      <c r="BE43" s="67"/>
      <c r="BF43" s="68"/>
      <c r="BG43" s="67"/>
      <c r="BH43" s="30"/>
      <c r="BI43" s="67"/>
      <c r="BJ43" s="30"/>
      <c r="BK43" s="67"/>
      <c r="BL43" s="30"/>
      <c r="BM43" s="67"/>
      <c r="BN43" s="30"/>
      <c r="BO43" s="67"/>
      <c r="BP43" s="30"/>
      <c r="BQ43" s="67"/>
    </row>
    <row r="44" spans="2:69" s="24" customFormat="1">
      <c r="B44" s="80" t="s">
        <v>206</v>
      </c>
      <c r="C44" s="41"/>
      <c r="G44" s="30"/>
      <c r="H44" s="30"/>
      <c r="I44" s="30"/>
      <c r="J44" s="30">
        <f>-IF(Financials!V$6='Financing Inputs'!$T$19,J41+J43,0)</f>
        <v>0</v>
      </c>
      <c r="K44" s="30"/>
      <c r="L44" s="30">
        <f>-IF(Financials!X$6='Financing Inputs'!$T$19,L41+L43,0)</f>
        <v>0</v>
      </c>
      <c r="M44" s="30"/>
      <c r="N44" s="30">
        <f>-IF(Financials!Z$6='Financing Inputs'!$T$19,N41+N43,0)</f>
        <v>0</v>
      </c>
      <c r="O44" s="30"/>
      <c r="P44" s="30">
        <f>-IF(Financials!AB$6='Financing Inputs'!$T$19,P41+P43,0)</f>
        <v>0</v>
      </c>
      <c r="Q44" s="30"/>
      <c r="R44" s="30">
        <f>-IF(Financials!AD$6='Financing Inputs'!$T$19,R41+R43,0)</f>
        <v>0</v>
      </c>
      <c r="S44" s="30"/>
      <c r="T44" s="30">
        <f>-IF(Financials!AF$6='Financing Inputs'!$T$19,T41+T43,0)</f>
        <v>0</v>
      </c>
      <c r="U44" s="30"/>
      <c r="V44" s="30">
        <f>-IF(Financials!AH$6='Financing Inputs'!$T$19,V41+V43,0)</f>
        <v>0</v>
      </c>
      <c r="W44" s="30"/>
      <c r="X44" s="30">
        <f>-IF(Financials!AJ$6='Financing Inputs'!$T$19,X41+X43,0)</f>
        <v>0</v>
      </c>
      <c r="Y44" s="30"/>
      <c r="Z44" s="30">
        <f>-IF(Financials!AL$6='Financing Inputs'!$T$19,Z41+Z43,0)</f>
        <v>0</v>
      </c>
      <c r="AA44" s="30"/>
      <c r="AB44" s="30">
        <f>-IF(Financials!AN$6='Financing Inputs'!$T$19,AB41+AB43,0)</f>
        <v>0</v>
      </c>
      <c r="AC44" s="67"/>
      <c r="AD44" s="30"/>
      <c r="AE44" s="67"/>
      <c r="AF44" s="68"/>
      <c r="AG44" s="70"/>
      <c r="AH44" s="70"/>
      <c r="AI44" s="70"/>
      <c r="AJ44" s="30"/>
      <c r="AK44" s="67"/>
      <c r="AL44" s="68"/>
      <c r="AM44" s="67"/>
      <c r="AN44" s="68"/>
      <c r="AO44" s="67"/>
      <c r="AP44" s="30"/>
      <c r="AQ44" s="67"/>
      <c r="AR44" s="30"/>
      <c r="AS44" s="67"/>
      <c r="AT44" s="30"/>
      <c r="AU44" s="67"/>
      <c r="AV44" s="30"/>
      <c r="AW44" s="67"/>
      <c r="AX44" s="30"/>
      <c r="AY44" s="67"/>
      <c r="AZ44" s="68"/>
      <c r="BA44" s="67"/>
      <c r="BB44" s="30"/>
      <c r="BC44" s="67"/>
      <c r="BD44" s="68"/>
      <c r="BE44" s="67"/>
      <c r="BF44" s="68"/>
      <c r="BG44" s="67"/>
      <c r="BH44" s="30"/>
      <c r="BI44" s="67"/>
      <c r="BJ44" s="30"/>
      <c r="BK44" s="67"/>
      <c r="BL44" s="30"/>
      <c r="BM44" s="67"/>
      <c r="BN44" s="30"/>
      <c r="BO44" s="67"/>
      <c r="BP44" s="30"/>
      <c r="BQ44" s="67"/>
    </row>
    <row r="45" spans="2:69" s="24" customFormat="1">
      <c r="B45" s="134" t="s">
        <v>207</v>
      </c>
      <c r="C45" s="95"/>
      <c r="D45" s="96"/>
      <c r="E45" s="96"/>
      <c r="F45" s="96"/>
      <c r="G45" s="30"/>
      <c r="H45" s="84">
        <f>SUM(H41:H44)</f>
        <v>0</v>
      </c>
      <c r="I45" s="77"/>
      <c r="J45" s="84">
        <f>SUM(J41:J44)</f>
        <v>0</v>
      </c>
      <c r="K45" s="77"/>
      <c r="L45" s="84">
        <f>SUM(L41:L44)</f>
        <v>0</v>
      </c>
      <c r="M45" s="77"/>
      <c r="N45" s="84">
        <f>SUM(N41:N44)</f>
        <v>0</v>
      </c>
      <c r="O45" s="77"/>
      <c r="P45" s="84">
        <f>SUM(P41:P44)</f>
        <v>0</v>
      </c>
      <c r="Q45" s="77"/>
      <c r="R45" s="84">
        <f>SUM(R41:R44)</f>
        <v>0</v>
      </c>
      <c r="S45" s="77"/>
      <c r="T45" s="84">
        <f>SUM(T41:T44)</f>
        <v>0</v>
      </c>
      <c r="U45" s="77"/>
      <c r="V45" s="84">
        <f>SUM(V41:V44)</f>
        <v>0</v>
      </c>
      <c r="W45" s="77"/>
      <c r="X45" s="84">
        <f>SUM(X41:X44)</f>
        <v>0</v>
      </c>
      <c r="Y45" s="77"/>
      <c r="Z45" s="84">
        <f>SUM(Z41:Z44)</f>
        <v>0</v>
      </c>
      <c r="AA45" s="77"/>
      <c r="AB45" s="84">
        <f>SUM(AB41:AB44)</f>
        <v>0</v>
      </c>
      <c r="AC45" s="67"/>
      <c r="AD45" s="30"/>
      <c r="AE45" s="67"/>
      <c r="AF45" s="68"/>
      <c r="AG45" s="70"/>
      <c r="AH45" s="70"/>
      <c r="AI45" s="70"/>
      <c r="AJ45" s="30"/>
      <c r="AK45" s="67"/>
      <c r="AL45" s="68"/>
      <c r="AM45" s="67"/>
      <c r="AN45" s="68"/>
      <c r="AO45" s="67"/>
      <c r="AP45" s="30"/>
      <c r="AQ45" s="67"/>
      <c r="AR45" s="30"/>
      <c r="AS45" s="67"/>
      <c r="AT45" s="30"/>
      <c r="AU45" s="67"/>
      <c r="AV45" s="30"/>
      <c r="AW45" s="67"/>
      <c r="AX45" s="30"/>
      <c r="AY45" s="67"/>
      <c r="AZ45" s="68"/>
      <c r="BA45" s="67"/>
      <c r="BB45" s="30"/>
      <c r="BC45" s="67"/>
      <c r="BD45" s="68"/>
      <c r="BE45" s="67"/>
      <c r="BF45" s="68"/>
      <c r="BG45" s="67"/>
      <c r="BH45" s="30"/>
      <c r="BI45" s="67"/>
      <c r="BJ45" s="30"/>
      <c r="BK45" s="67"/>
      <c r="BL45" s="30"/>
      <c r="BM45" s="67"/>
      <c r="BN45" s="30"/>
      <c r="BO45" s="67"/>
      <c r="BP45" s="30"/>
      <c r="BQ45" s="67"/>
    </row>
    <row r="46" spans="2:69" s="24" customFormat="1">
      <c r="B46" s="80" t="s">
        <v>208</v>
      </c>
      <c r="C46" s="41"/>
      <c r="F46" s="86">
        <f>IF(AND('Financing Inputs'!$T$31=3,'Financing Inputs'!$T$36=1),'Financing Inputs'!$L$27,0)</f>
        <v>0.09</v>
      </c>
      <c r="G46" s="30"/>
      <c r="H46" s="30"/>
      <c r="I46" s="30"/>
      <c r="J46" s="30">
        <f>-H45*Debt!$F$46</f>
        <v>0</v>
      </c>
      <c r="K46" s="30"/>
      <c r="L46" s="30">
        <f>-J45*Debt!$F$46</f>
        <v>0</v>
      </c>
      <c r="M46" s="30"/>
      <c r="N46" s="30">
        <f>-L45*Debt!$F$46</f>
        <v>0</v>
      </c>
      <c r="O46" s="30"/>
      <c r="P46" s="30">
        <f>-N45*Debt!$F$46</f>
        <v>0</v>
      </c>
      <c r="Q46" s="30"/>
      <c r="R46" s="30">
        <f>-P45*Debt!$F$46</f>
        <v>0</v>
      </c>
      <c r="S46" s="30"/>
      <c r="T46" s="30">
        <f>-R45*Debt!$F$46</f>
        <v>0</v>
      </c>
      <c r="U46" s="30"/>
      <c r="V46" s="30">
        <f>-T45*Debt!$F$46</f>
        <v>0</v>
      </c>
      <c r="W46" s="30"/>
      <c r="X46" s="30">
        <f>-V45*Debt!$F$46</f>
        <v>0</v>
      </c>
      <c r="Y46" s="30"/>
      <c r="Z46" s="30">
        <f>-X45*Debt!$F$46</f>
        <v>0</v>
      </c>
      <c r="AA46" s="30"/>
      <c r="AB46" s="30">
        <f>-Z45*Debt!$F$46</f>
        <v>0</v>
      </c>
      <c r="AC46" s="67"/>
      <c r="AD46" s="30"/>
      <c r="AE46" s="67"/>
      <c r="AF46" s="68"/>
      <c r="AG46" s="70"/>
      <c r="AH46" s="70"/>
      <c r="AI46" s="70"/>
      <c r="AJ46" s="30"/>
      <c r="AK46" s="67"/>
      <c r="AL46" s="68"/>
      <c r="AM46" s="67"/>
      <c r="AN46" s="68"/>
      <c r="AO46" s="67"/>
      <c r="AP46" s="30"/>
      <c r="AQ46" s="67"/>
      <c r="AR46" s="30"/>
      <c r="AS46" s="67"/>
      <c r="AT46" s="30"/>
      <c r="AU46" s="67"/>
      <c r="AV46" s="30"/>
      <c r="AW46" s="67"/>
      <c r="AX46" s="30"/>
      <c r="AY46" s="67"/>
      <c r="AZ46" s="68"/>
      <c r="BA46" s="67"/>
      <c r="BB46" s="30"/>
      <c r="BC46" s="67"/>
      <c r="BD46" s="68"/>
      <c r="BE46" s="67"/>
      <c r="BF46" s="68"/>
      <c r="BG46" s="67"/>
      <c r="BH46" s="30"/>
      <c r="BI46" s="67"/>
      <c r="BJ46" s="30"/>
      <c r="BK46" s="67"/>
      <c r="BL46" s="30"/>
      <c r="BM46" s="67"/>
      <c r="BN46" s="30"/>
      <c r="BO46" s="67"/>
      <c r="BP46" s="30"/>
      <c r="BQ46" s="67"/>
    </row>
    <row r="47" spans="2:69"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</row>
    <row r="48" spans="2:69" s="24" customFormat="1">
      <c r="B48" s="133" t="s">
        <v>291</v>
      </c>
      <c r="C48" s="41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67"/>
      <c r="AD48" s="30"/>
      <c r="AE48" s="67"/>
      <c r="AF48" s="68"/>
      <c r="AG48" s="70"/>
      <c r="AH48" s="70"/>
      <c r="AI48" s="70"/>
      <c r="AJ48" s="30"/>
      <c r="AK48" s="67"/>
      <c r="AL48" s="68"/>
      <c r="AM48" s="67"/>
      <c r="AN48" s="68"/>
      <c r="AO48" s="67"/>
      <c r="AP48" s="30"/>
      <c r="AQ48" s="67"/>
      <c r="AR48" s="30"/>
      <c r="AS48" s="67"/>
      <c r="AT48" s="30"/>
      <c r="AU48" s="67"/>
      <c r="AV48" s="30"/>
      <c r="AW48" s="67"/>
      <c r="AX48" s="30"/>
      <c r="AY48" s="67"/>
      <c r="AZ48" s="68"/>
      <c r="BA48" s="67"/>
      <c r="BB48" s="30"/>
      <c r="BC48" s="67"/>
      <c r="BD48" s="68"/>
      <c r="BE48" s="67"/>
      <c r="BF48" s="68"/>
      <c r="BG48" s="67"/>
      <c r="BH48" s="30"/>
      <c r="BI48" s="67"/>
      <c r="BJ48" s="30"/>
      <c r="BK48" s="67"/>
      <c r="BL48" s="30"/>
      <c r="BM48" s="67"/>
      <c r="BN48" s="30"/>
      <c r="BO48" s="67"/>
      <c r="BP48" s="30"/>
      <c r="BQ48" s="67"/>
    </row>
    <row r="49" spans="2:69" s="24" customFormat="1">
      <c r="B49" s="80" t="s">
        <v>204</v>
      </c>
      <c r="C49" s="41"/>
      <c r="G49" s="30"/>
      <c r="H49" s="30"/>
      <c r="I49" s="30"/>
      <c r="J49" s="30">
        <f>H53</f>
        <v>0</v>
      </c>
      <c r="K49" s="30"/>
      <c r="L49" s="30">
        <f>J53</f>
        <v>0</v>
      </c>
      <c r="M49" s="30"/>
      <c r="N49" s="30">
        <f>L53</f>
        <v>0</v>
      </c>
      <c r="O49" s="30"/>
      <c r="P49" s="30">
        <f>N53</f>
        <v>0</v>
      </c>
      <c r="Q49" s="30"/>
      <c r="R49" s="30">
        <f>P53</f>
        <v>0</v>
      </c>
      <c r="S49" s="30"/>
      <c r="T49" s="30">
        <f>R53</f>
        <v>0</v>
      </c>
      <c r="U49" s="30"/>
      <c r="V49" s="30">
        <f>T53</f>
        <v>0</v>
      </c>
      <c r="W49" s="30"/>
      <c r="X49" s="30">
        <f>V53</f>
        <v>0</v>
      </c>
      <c r="Y49" s="30"/>
      <c r="Z49" s="30">
        <f>X53</f>
        <v>0</v>
      </c>
      <c r="AA49" s="30"/>
      <c r="AB49" s="30">
        <f>Z53</f>
        <v>0</v>
      </c>
      <c r="AC49" s="67"/>
      <c r="AD49" s="30"/>
      <c r="AE49" s="67"/>
      <c r="AF49" s="68"/>
      <c r="AG49" s="70"/>
      <c r="AH49" s="70"/>
      <c r="AI49" s="70"/>
      <c r="AJ49" s="30"/>
      <c r="AK49" s="67"/>
      <c r="AL49" s="68"/>
      <c r="AM49" s="67"/>
      <c r="AN49" s="68"/>
      <c r="AO49" s="67"/>
      <c r="AP49" s="30"/>
      <c r="AQ49" s="67"/>
      <c r="AR49" s="30"/>
      <c r="AS49" s="67"/>
      <c r="AT49" s="30"/>
      <c r="AU49" s="67"/>
      <c r="AV49" s="30"/>
      <c r="AW49" s="67"/>
      <c r="AX49" s="30"/>
      <c r="AY49" s="67"/>
      <c r="AZ49" s="68"/>
      <c r="BA49" s="67"/>
      <c r="BB49" s="30"/>
      <c r="BC49" s="67"/>
      <c r="BD49" s="68"/>
      <c r="BE49" s="67"/>
      <c r="BF49" s="68"/>
      <c r="BG49" s="67"/>
      <c r="BH49" s="30"/>
      <c r="BI49" s="67"/>
      <c r="BJ49" s="30"/>
      <c r="BK49" s="67"/>
      <c r="BL49" s="30"/>
      <c r="BM49" s="67"/>
      <c r="BN49" s="30"/>
      <c r="BO49" s="67"/>
      <c r="BP49" s="30"/>
      <c r="BQ49" s="67"/>
    </row>
    <row r="50" spans="2:69" s="24" customFormat="1">
      <c r="B50" s="80" t="s">
        <v>241</v>
      </c>
      <c r="C50" s="41"/>
      <c r="G50" s="30"/>
      <c r="H50" s="30"/>
      <c r="I50" s="30"/>
      <c r="J50" s="30">
        <f>-IF(AND('Financing Inputs'!$T$31=3,'Financing Inputs'!$T$36=2),J$28,0)</f>
        <v>0</v>
      </c>
      <c r="K50" s="30"/>
      <c r="L50" s="30">
        <f>-IF(AND('Financing Inputs'!$T$31=3,'Financing Inputs'!$T$36=2),L$28,0)</f>
        <v>0</v>
      </c>
      <c r="M50" s="30"/>
      <c r="N50" s="30">
        <f>-IF(AND('Financing Inputs'!$T$31=3,'Financing Inputs'!$T$36=2),N$28,0)</f>
        <v>0</v>
      </c>
      <c r="O50" s="30"/>
      <c r="P50" s="30">
        <f>-IF(AND('Financing Inputs'!$T$31=3,'Financing Inputs'!$T$36=2),P$28,0)</f>
        <v>0</v>
      </c>
      <c r="Q50" s="30"/>
      <c r="R50" s="30">
        <f>-IF(AND('Financing Inputs'!$T$31=3,'Financing Inputs'!$T$36=2),R$28,0)</f>
        <v>0</v>
      </c>
      <c r="S50" s="30"/>
      <c r="T50" s="30">
        <f>-IF(AND('Financing Inputs'!$T$31=3,'Financing Inputs'!$T$36=2),T$28,0)</f>
        <v>0</v>
      </c>
      <c r="U50" s="30"/>
      <c r="V50" s="30">
        <f>-IF(AND('Financing Inputs'!$T$31=3,'Financing Inputs'!$T$36=2),V$28,0)</f>
        <v>0</v>
      </c>
      <c r="W50" s="30"/>
      <c r="X50" s="30">
        <f>-IF(AND('Financing Inputs'!$T$31=3,'Financing Inputs'!$T$36=2),X$28,0)</f>
        <v>0</v>
      </c>
      <c r="Y50" s="30"/>
      <c r="Z50" s="30">
        <f>-IF(AND('Financing Inputs'!$T$31=3,'Financing Inputs'!$T$36=2),Z$28,0)</f>
        <v>0</v>
      </c>
      <c r="AA50" s="30"/>
      <c r="AB50" s="30">
        <f>-IF(AND('Financing Inputs'!$T$31=3,'Financing Inputs'!$T$36=2),AB$28,0)</f>
        <v>0</v>
      </c>
      <c r="AC50" s="67"/>
      <c r="AD50" s="30"/>
      <c r="AE50" s="67"/>
      <c r="AF50" s="68"/>
      <c r="AG50" s="70"/>
      <c r="AH50" s="70"/>
      <c r="AI50" s="70"/>
      <c r="AJ50" s="30"/>
      <c r="AK50" s="67"/>
      <c r="AL50" s="68"/>
      <c r="AM50" s="67"/>
      <c r="AN50" s="68"/>
      <c r="AO50" s="67"/>
      <c r="AP50" s="30"/>
      <c r="AQ50" s="67"/>
      <c r="AR50" s="30"/>
      <c r="AS50" s="67"/>
      <c r="AT50" s="30"/>
      <c r="AU50" s="67"/>
      <c r="AV50" s="30"/>
      <c r="AW50" s="67"/>
      <c r="AX50" s="30"/>
      <c r="AY50" s="67"/>
      <c r="AZ50" s="68"/>
      <c r="BA50" s="67"/>
      <c r="BB50" s="30"/>
      <c r="BC50" s="67"/>
      <c r="BD50" s="68"/>
      <c r="BE50" s="67"/>
      <c r="BF50" s="68"/>
      <c r="BG50" s="67"/>
      <c r="BH50" s="30"/>
      <c r="BI50" s="67"/>
      <c r="BJ50" s="30"/>
      <c r="BK50" s="67"/>
      <c r="BL50" s="30"/>
      <c r="BM50" s="67"/>
      <c r="BN50" s="30"/>
      <c r="BO50" s="67"/>
      <c r="BP50" s="30"/>
      <c r="BQ50" s="67"/>
    </row>
    <row r="51" spans="2:69" s="24" customFormat="1">
      <c r="B51" s="80" t="s">
        <v>205</v>
      </c>
      <c r="C51" s="41"/>
      <c r="F51" s="30">
        <f>IF(AND('Financing Inputs'!$T$31=3,'Financing Inputs'!$T$36=2),SUM(Debt!J50:AB50)*'Financing Inputs'!$L$36,0)</f>
        <v>0</v>
      </c>
      <c r="G51" s="30"/>
      <c r="H51" s="30"/>
      <c r="I51" s="30"/>
      <c r="J51" s="30">
        <f>-MIN(IF(Financials!V$6&gt;'Financing Inputs'!$J$36,IF(Financials!V$6&gt;'Financing Inputs'!$T$19,0,Debt!$F$51),0)/IF(YEAR(Financials!V$6)=YEAR('Financing Inputs'!$J$36),IFERROR(12/(ROUND((YEARFRAC('Financing Inputs'!$J$36,Financials!V$6,1))*12,0)),1),1),J49)</f>
        <v>0</v>
      </c>
      <c r="K51" s="30"/>
      <c r="L51" s="30">
        <f>-MIN(IF(Financials!X$6&gt;'Financing Inputs'!$J$36,IF(Financials!X$6&gt;'Financing Inputs'!$T$19,0,Debt!$F$51),0)/IF(YEAR(Financials!X$6)=YEAR('Financing Inputs'!$J$36),IFERROR(12/(ROUND((YEARFRAC('Financing Inputs'!$J$36,Financials!X$6,1))*12,0)),1),1),L49)</f>
        <v>0</v>
      </c>
      <c r="M51" s="30"/>
      <c r="N51" s="30">
        <f>-MIN(IF(Financials!Z$6&gt;'Financing Inputs'!$J$36,IF(Financials!Z$6&gt;'Financing Inputs'!$T$19,0,Debt!$F$51),0)/IF(YEAR(Financials!Z$6)=YEAR('Financing Inputs'!$J$36),IFERROR(12/(ROUND((YEARFRAC('Financing Inputs'!$J$36,Financials!Z$6,1))*12,0)),1),1),N49)</f>
        <v>0</v>
      </c>
      <c r="O51" s="30"/>
      <c r="P51" s="30">
        <f>-MIN(IF(Financials!AB$6&gt;'Financing Inputs'!$J$36,IF(Financials!AB$6&gt;'Financing Inputs'!$T$19,0,Debt!$F$51),0)/IF(YEAR(Financials!AB$6)=YEAR('Financing Inputs'!$J$36),IFERROR(12/(ROUND((YEARFRAC('Financing Inputs'!$J$36,Financials!AB$6,1))*12,0)),1),1),P49)</f>
        <v>0</v>
      </c>
      <c r="Q51" s="30"/>
      <c r="R51" s="30">
        <f>-MIN(IF(Financials!AD$6&gt;'Financing Inputs'!$J$36,IF(Financials!AD$6&gt;'Financing Inputs'!$T$19,0,Debt!$F$51),0)/IF(YEAR(Financials!AD$6)=YEAR('Financing Inputs'!$J$36),IFERROR(12/(ROUND((YEARFRAC('Financing Inputs'!$J$36,Financials!AD$6,1))*12,0)),1),1),R49)</f>
        <v>0</v>
      </c>
      <c r="S51" s="30"/>
      <c r="T51" s="30">
        <f>-MIN(IF(Financials!AF$6&gt;'Financing Inputs'!$J$36,IF(Financials!AF$6&gt;'Financing Inputs'!$T$19,0,Debt!$F$51),0)/IF(YEAR(Financials!AF$6)=YEAR('Financing Inputs'!$J$36),IFERROR(12/(ROUND((YEARFRAC('Financing Inputs'!$J$36,Financials!AF$6,1))*12,0)),1),1),T49)</f>
        <v>0</v>
      </c>
      <c r="U51" s="30"/>
      <c r="V51" s="30">
        <f>-MIN(IF(Financials!AH$6&gt;'Financing Inputs'!$J$36,IF(Financials!AH$6&gt;'Financing Inputs'!$T$19,0,Debt!$F$51),0)/IF(YEAR(Financials!AH$6)=YEAR('Financing Inputs'!$J$36),IFERROR(12/(ROUND((YEARFRAC('Financing Inputs'!$J$36,Financials!AH$6,1))*12,0)),1),1),V49)</f>
        <v>0</v>
      </c>
      <c r="W51" s="30"/>
      <c r="X51" s="30">
        <f>-MIN(IF(Financials!AJ$6&gt;'Financing Inputs'!$J$36,IF(Financials!AJ$6&gt;'Financing Inputs'!$T$19,0,Debt!$F$51),0)/IF(YEAR(Financials!AJ$6)=YEAR('Financing Inputs'!$J$36),IFERROR(12/(ROUND((YEARFRAC('Financing Inputs'!$J$36,Financials!AJ$6,1))*12,0)),1),1),X49)</f>
        <v>0</v>
      </c>
      <c r="Y51" s="30"/>
      <c r="Z51" s="30">
        <f>-MIN(IF(Financials!AL$6&gt;'Financing Inputs'!$J$36,IF(Financials!AL$6&gt;'Financing Inputs'!$T$19,0,Debt!$F$51),0)/IF(YEAR(Financials!AL$6)=YEAR('Financing Inputs'!$J$36),IFERROR(12/(ROUND((YEARFRAC('Financing Inputs'!$J$36,Financials!AL$6,1))*12,0)),1),1),Z49)</f>
        <v>0</v>
      </c>
      <c r="AA51" s="30"/>
      <c r="AB51" s="30">
        <f>-MIN(IF(Financials!AN$6&gt;'Financing Inputs'!$J$36,IF(Financials!AN$6&gt;'Financing Inputs'!$T$19,0,Debt!$F$51),0)/IF(YEAR(Financials!AN$6)=YEAR('Financing Inputs'!$J$36),IFERROR(12/(ROUND((YEARFRAC('Financing Inputs'!$J$36,Financials!AN$6,1))*12,0)),1),1),AB49)</f>
        <v>0</v>
      </c>
      <c r="AC51" s="67"/>
      <c r="AD51" s="30"/>
      <c r="AE51" s="67"/>
      <c r="AF51" s="68"/>
      <c r="AG51" s="70"/>
      <c r="AH51" s="70"/>
      <c r="AI51" s="70"/>
      <c r="AJ51" s="30"/>
      <c r="AK51" s="67"/>
      <c r="AL51" s="68"/>
      <c r="AM51" s="67"/>
      <c r="AN51" s="68"/>
      <c r="AO51" s="67"/>
      <c r="AP51" s="30"/>
      <c r="AQ51" s="67"/>
      <c r="AR51" s="30"/>
      <c r="AS51" s="67"/>
      <c r="AT51" s="30"/>
      <c r="AU51" s="67"/>
      <c r="AV51" s="30"/>
      <c r="AW51" s="67"/>
      <c r="AX51" s="30"/>
      <c r="AY51" s="67"/>
      <c r="AZ51" s="68"/>
      <c r="BA51" s="67"/>
      <c r="BB51" s="30"/>
      <c r="BC51" s="67"/>
      <c r="BD51" s="68"/>
      <c r="BE51" s="67"/>
      <c r="BF51" s="68"/>
      <c r="BG51" s="67"/>
      <c r="BH51" s="30"/>
      <c r="BI51" s="67"/>
      <c r="BJ51" s="30"/>
      <c r="BK51" s="67"/>
      <c r="BL51" s="30"/>
      <c r="BM51" s="67"/>
      <c r="BN51" s="30"/>
      <c r="BO51" s="67"/>
      <c r="BP51" s="30"/>
      <c r="BQ51" s="67"/>
    </row>
    <row r="52" spans="2:69" s="24" customFormat="1">
      <c r="B52" s="80" t="s">
        <v>206</v>
      </c>
      <c r="C52" s="41"/>
      <c r="G52" s="30"/>
      <c r="H52" s="30"/>
      <c r="I52" s="30"/>
      <c r="J52" s="30">
        <f>-IF(Financials!V$6='Financing Inputs'!$T$19,J49+J51,0)</f>
        <v>0</v>
      </c>
      <c r="K52" s="30"/>
      <c r="L52" s="30">
        <f>-IF(Financials!X$6='Financing Inputs'!$T$19,L49+L51,0)</f>
        <v>0</v>
      </c>
      <c r="M52" s="30"/>
      <c r="N52" s="30">
        <f>-IF(Financials!Z$6='Financing Inputs'!$T$19,N49+N51,0)</f>
        <v>0</v>
      </c>
      <c r="O52" s="30"/>
      <c r="P52" s="30">
        <f>-IF(Financials!AB$6='Financing Inputs'!$T$19,P49+P51,0)</f>
        <v>0</v>
      </c>
      <c r="Q52" s="30"/>
      <c r="R52" s="30">
        <f>-IF(Financials!AD$6='Financing Inputs'!$T$19,R49+R51,0)</f>
        <v>0</v>
      </c>
      <c r="S52" s="30"/>
      <c r="T52" s="30">
        <f>-IF(Financials!AF$6='Financing Inputs'!$T$19,T49+T51,0)</f>
        <v>0</v>
      </c>
      <c r="U52" s="30"/>
      <c r="V52" s="30">
        <f>-IF(Financials!AH$6='Financing Inputs'!$T$19,V49+V51,0)</f>
        <v>0</v>
      </c>
      <c r="W52" s="30"/>
      <c r="X52" s="30">
        <f>-IF(Financials!AJ$6='Financing Inputs'!$T$19,X49+X51,0)</f>
        <v>0</v>
      </c>
      <c r="Y52" s="30"/>
      <c r="Z52" s="30">
        <f>-IF(Financials!AL$6='Financing Inputs'!$T$19,Z49+Z51,0)</f>
        <v>0</v>
      </c>
      <c r="AA52" s="30"/>
      <c r="AB52" s="30">
        <f>-IF(Financials!AN$6='Financing Inputs'!$T$19,AB49+AB51,0)</f>
        <v>0</v>
      </c>
      <c r="AC52" s="67"/>
      <c r="AD52" s="30"/>
      <c r="AE52" s="67"/>
      <c r="AF52" s="68"/>
      <c r="AG52" s="70"/>
      <c r="AH52" s="70"/>
      <c r="AI52" s="70"/>
      <c r="AJ52" s="30"/>
      <c r="AK52" s="67"/>
      <c r="AL52" s="68"/>
      <c r="AM52" s="67"/>
      <c r="AN52" s="68"/>
      <c r="AO52" s="67"/>
      <c r="AP52" s="30"/>
      <c r="AQ52" s="67"/>
      <c r="AR52" s="30"/>
      <c r="AS52" s="67"/>
      <c r="AT52" s="30"/>
      <c r="AU52" s="67"/>
      <c r="AV52" s="30"/>
      <c r="AW52" s="67"/>
      <c r="AX52" s="30"/>
      <c r="AY52" s="67"/>
      <c r="AZ52" s="68"/>
      <c r="BA52" s="67"/>
      <c r="BB52" s="30"/>
      <c r="BC52" s="67"/>
      <c r="BD52" s="68"/>
      <c r="BE52" s="67"/>
      <c r="BF52" s="68"/>
      <c r="BG52" s="67"/>
      <c r="BH52" s="30"/>
      <c r="BI52" s="67"/>
      <c r="BJ52" s="30"/>
      <c r="BK52" s="67"/>
      <c r="BL52" s="30"/>
      <c r="BM52" s="67"/>
      <c r="BN52" s="30"/>
      <c r="BO52" s="67"/>
      <c r="BP52" s="30"/>
      <c r="BQ52" s="67"/>
    </row>
    <row r="53" spans="2:69" s="24" customFormat="1">
      <c r="B53" s="134" t="s">
        <v>207</v>
      </c>
      <c r="C53" s="95"/>
      <c r="D53" s="96"/>
      <c r="E53" s="96"/>
      <c r="F53" s="96"/>
      <c r="G53" s="30"/>
      <c r="H53" s="84">
        <f>SUM(H49:H52)</f>
        <v>0</v>
      </c>
      <c r="I53" s="30"/>
      <c r="J53" s="84">
        <f>SUM(J49:J52)</f>
        <v>0</v>
      </c>
      <c r="K53" s="30"/>
      <c r="L53" s="84">
        <f>SUM(L49:L52)</f>
        <v>0</v>
      </c>
      <c r="M53" s="30"/>
      <c r="N53" s="84">
        <f>SUM(N49:N52)</f>
        <v>0</v>
      </c>
      <c r="O53" s="30"/>
      <c r="P53" s="84">
        <f>SUM(P49:P52)</f>
        <v>0</v>
      </c>
      <c r="Q53" s="30"/>
      <c r="R53" s="84">
        <f>SUM(R49:R52)</f>
        <v>0</v>
      </c>
      <c r="S53" s="30"/>
      <c r="T53" s="84">
        <f>SUM(T49:T52)</f>
        <v>0</v>
      </c>
      <c r="U53" s="30"/>
      <c r="V53" s="84">
        <f>SUM(V49:V52)</f>
        <v>0</v>
      </c>
      <c r="W53" s="30"/>
      <c r="X53" s="84">
        <f>SUM(X49:X52)</f>
        <v>0</v>
      </c>
      <c r="Y53" s="30"/>
      <c r="Z53" s="84">
        <f>SUM(Z49:Z52)</f>
        <v>0</v>
      </c>
      <c r="AA53" s="30"/>
      <c r="AB53" s="84">
        <f>SUM(AB49:AB52)</f>
        <v>0</v>
      </c>
      <c r="AC53" s="67"/>
      <c r="AD53" s="30"/>
      <c r="AE53" s="67"/>
      <c r="AF53" s="68"/>
      <c r="AG53" s="70"/>
      <c r="AH53" s="70"/>
      <c r="AI53" s="70"/>
      <c r="AJ53" s="30"/>
      <c r="AK53" s="67"/>
      <c r="AL53" s="68"/>
      <c r="AM53" s="67"/>
      <c r="AN53" s="68"/>
      <c r="AO53" s="67"/>
      <c r="AP53" s="30"/>
      <c r="AQ53" s="67"/>
      <c r="AR53" s="30"/>
      <c r="AS53" s="67"/>
      <c r="AT53" s="30"/>
      <c r="AU53" s="67"/>
      <c r="AV53" s="30"/>
      <c r="AW53" s="67"/>
      <c r="AX53" s="30"/>
      <c r="AY53" s="67"/>
      <c r="AZ53" s="68"/>
      <c r="BA53" s="67"/>
      <c r="BB53" s="30"/>
      <c r="BC53" s="67"/>
      <c r="BD53" s="68"/>
      <c r="BE53" s="67"/>
      <c r="BF53" s="68"/>
      <c r="BG53" s="67"/>
      <c r="BH53" s="30"/>
      <c r="BI53" s="67"/>
      <c r="BJ53" s="30"/>
      <c r="BK53" s="67"/>
      <c r="BL53" s="30"/>
      <c r="BM53" s="67"/>
      <c r="BN53" s="30"/>
      <c r="BO53" s="67"/>
      <c r="BP53" s="30"/>
      <c r="BQ53" s="67"/>
    </row>
    <row r="54" spans="2:69" s="24" customFormat="1">
      <c r="B54" s="80" t="s">
        <v>208</v>
      </c>
      <c r="C54" s="41"/>
      <c r="G54" s="30"/>
      <c r="H54" s="30"/>
      <c r="I54" s="30"/>
      <c r="J54" s="30">
        <f>-H53*('Financing Inputs'!$L$33)-IF(Financials!V$6&gt;'Financing Inputs'!$J$34,'Financing Inputs'!$L$34*H53,0)/IF(YEAR(Financials!V$6)=YEAR('Financing Inputs'!$J$34),IFERROR(12/(ROUND((YEARFRAC('Financing Inputs'!$J$34,Financials!V$6,1))*12,0)),1),1)-IF(Financials!V$6&gt;'Financing Inputs'!$J$35,'Financing Inputs'!$L$35*H53,0)/IF(YEAR(Financials!V$6)=YEAR('Financing Inputs'!$J$35),IFERROR(12/(ROUND((YEARFRAC('Financing Inputs'!$J$35,Financials!V$6,1))*12,0)),1),1)</f>
        <v>0</v>
      </c>
      <c r="K54" s="30"/>
      <c r="L54" s="30">
        <f>-J53*('Financing Inputs'!$L$33)-IF(Financials!X$6&gt;'Financing Inputs'!$J$34,'Financing Inputs'!$L$34*J53,0)/IF(YEAR(Financials!X$6)=YEAR('Financing Inputs'!$J$34),IFERROR(12/(ROUND((YEARFRAC('Financing Inputs'!$J$34,Financials!X$6,1))*12,0)),1),1)-IF(Financials!X$6&gt;'Financing Inputs'!$J$35,'Financing Inputs'!$L$35*J53,0)/IF(YEAR(Financials!X$6)=YEAR('Financing Inputs'!$J$35),IFERROR(12/(ROUND((YEARFRAC('Financing Inputs'!$J$35,Financials!X$6,1))*12,0)),1),1)</f>
        <v>0</v>
      </c>
      <c r="M54" s="30"/>
      <c r="N54" s="30">
        <f>-L53*('Financing Inputs'!$L$33)-IF(Financials!Z$6&gt;'Financing Inputs'!$J$34,'Financing Inputs'!$L$34*L53,0)/IF(YEAR(Financials!Z$6)=YEAR('Financing Inputs'!$J$34),IFERROR(12/(ROUND((YEARFRAC('Financing Inputs'!$J$34,Financials!Z$6,1))*12,0)),1),1)-IF(Financials!Z$6&gt;'Financing Inputs'!$J$35,'Financing Inputs'!$L$35*L53,0)/IF(YEAR(Financials!Z$6)=YEAR('Financing Inputs'!$J$35),IFERROR(12/(ROUND((YEARFRAC('Financing Inputs'!$J$35,Financials!Z$6,1))*12,0)),1),1)</f>
        <v>0</v>
      </c>
      <c r="O54" s="30"/>
      <c r="P54" s="30">
        <f>-N53*('Financing Inputs'!$L$33)-IF(Financials!AB$6&gt;'Financing Inputs'!$J$34,'Financing Inputs'!$L$34*N53,0)/IF(YEAR(Financials!AB$6)=YEAR('Financing Inputs'!$J$34),IFERROR(12/(ROUND((YEARFRAC('Financing Inputs'!$J$34,Financials!AB$6,1))*12,0)),1),1)-IF(Financials!AB$6&gt;'Financing Inputs'!$J$35,'Financing Inputs'!$L$35*N53,0)/IF(YEAR(Financials!AB$6)=YEAR('Financing Inputs'!$J$35),IFERROR(12/(ROUND((YEARFRAC('Financing Inputs'!$J$35,Financials!AB$6,1))*12,0)),1),1)</f>
        <v>0</v>
      </c>
      <c r="Q54" s="30"/>
      <c r="R54" s="30">
        <f>-P53*('Financing Inputs'!$L$33)-IF(Financials!AD$6&gt;'Financing Inputs'!$J$34,'Financing Inputs'!$L$34*P53,0)/IF(YEAR(Financials!AD$6)=YEAR('Financing Inputs'!$J$34),IFERROR(12/(ROUND((YEARFRAC('Financing Inputs'!$J$34,Financials!AD$6,1))*12,0)),1),1)-IF(Financials!AD$6&gt;'Financing Inputs'!$J$35,'Financing Inputs'!$L$35*P53,0)/IF(YEAR(Financials!AD$6)=YEAR('Financing Inputs'!$J$35),IFERROR(12/(ROUND((YEARFRAC('Financing Inputs'!$J$35,Financials!AD$6,1))*12,0)),1),1)</f>
        <v>0</v>
      </c>
      <c r="S54" s="30"/>
      <c r="T54" s="30">
        <f>-R53*('Financing Inputs'!$L$33)-IF(Financials!AF$6&gt;'Financing Inputs'!$J$34,'Financing Inputs'!$L$34*R53,0)/IF(YEAR(Financials!AF$6)=YEAR('Financing Inputs'!$J$34),IFERROR(12/(ROUND((YEARFRAC('Financing Inputs'!$J$34,Financials!AF$6,1))*12,0)),1),1)-IF(Financials!AF$6&gt;'Financing Inputs'!$J$35,'Financing Inputs'!$L$35*R53,0)/IF(YEAR(Financials!AF$6)=YEAR('Financing Inputs'!$J$35),IFERROR(12/(ROUND((YEARFRAC('Financing Inputs'!$J$35,Financials!AF$6,1))*12,0)),1),1)</f>
        <v>0</v>
      </c>
      <c r="U54" s="30"/>
      <c r="V54" s="30">
        <f>-T53*('Financing Inputs'!$L$33)-IF(Financials!AH$6&gt;'Financing Inputs'!$J$34,'Financing Inputs'!$L$34*T53,0)/IF(YEAR(Financials!AH$6)=YEAR('Financing Inputs'!$J$34),IFERROR(12/(ROUND((YEARFRAC('Financing Inputs'!$J$34,Financials!AH$6,1))*12,0)),1),1)-IF(Financials!AH$6&gt;'Financing Inputs'!$J$35,'Financing Inputs'!$L$35*T53,0)/IF(YEAR(Financials!AH$6)=YEAR('Financing Inputs'!$J$35),IFERROR(12/(ROUND((YEARFRAC('Financing Inputs'!$J$35,Financials!AH$6,1))*12,0)),1),1)</f>
        <v>0</v>
      </c>
      <c r="W54" s="30"/>
      <c r="X54" s="30">
        <f>-V53*('Financing Inputs'!$L$33)-IF(Financials!AJ$6&gt;'Financing Inputs'!$J$34,'Financing Inputs'!$L$34*V53,0)/IF(YEAR(Financials!AJ$6)=YEAR('Financing Inputs'!$J$34),IFERROR(12/(ROUND((YEARFRAC('Financing Inputs'!$J$34,Financials!AJ$6,1))*12,0)),1),1)-IF(Financials!AJ$6&gt;'Financing Inputs'!$J$35,'Financing Inputs'!$L$35*V53,0)/IF(YEAR(Financials!AJ$6)=YEAR('Financing Inputs'!$J$35),IFERROR(12/(ROUND((YEARFRAC('Financing Inputs'!$J$35,Financials!AJ$6,1))*12,0)),1),1)</f>
        <v>0</v>
      </c>
      <c r="Y54" s="30"/>
      <c r="Z54" s="30">
        <f>-X53*('Financing Inputs'!$L$33)-IF(Financials!AL$6&gt;'Financing Inputs'!$J$34,'Financing Inputs'!$L$34*X53,0)/IF(YEAR(Financials!AL$6)=YEAR('Financing Inputs'!$J$34),IFERROR(12/(ROUND((YEARFRAC('Financing Inputs'!$J$34,Financials!AL$6,1))*12,0)),1),1)-IF(Financials!AL$6&gt;'Financing Inputs'!$J$35,'Financing Inputs'!$L$35*X53,0)/IF(YEAR(Financials!AL$6)=YEAR('Financing Inputs'!$J$35),IFERROR(12/(ROUND((YEARFRAC('Financing Inputs'!$J$35,Financials!AL$6,1))*12,0)),1),1)</f>
        <v>0</v>
      </c>
      <c r="AA54" s="30"/>
      <c r="AB54" s="30">
        <f>-Z53*('Financing Inputs'!$L$33)-IF(Financials!AN$6&gt;'Financing Inputs'!$J$34,'Financing Inputs'!$L$34*Z53,0)/IF(YEAR(Financials!AN$6)=YEAR('Financing Inputs'!$J$34),IFERROR(12/(ROUND((YEARFRAC('Financing Inputs'!$J$34,Financials!AN$6,1))*12,0)),1),1)-IF(Financials!AN$6&gt;'Financing Inputs'!$J$35,'Financing Inputs'!$L$35*Z53,0)/IF(YEAR(Financials!AN$6)=YEAR('Financing Inputs'!$J$35),IFERROR(12/(ROUND((YEARFRAC('Financing Inputs'!$J$35,Financials!AN$6,1))*12,0)),1),1)</f>
        <v>0</v>
      </c>
      <c r="AC54" s="67"/>
      <c r="AD54" s="30"/>
      <c r="AE54" s="67"/>
      <c r="AF54" s="68"/>
      <c r="AG54" s="70"/>
      <c r="AH54" s="70"/>
      <c r="AI54" s="70"/>
      <c r="AJ54" s="30"/>
      <c r="AK54" s="67"/>
      <c r="AL54" s="68"/>
      <c r="AM54" s="67"/>
      <c r="AN54" s="68"/>
      <c r="AO54" s="67"/>
      <c r="AP54" s="30"/>
      <c r="AQ54" s="67"/>
      <c r="AR54" s="30"/>
      <c r="AS54" s="67"/>
      <c r="AT54" s="30"/>
      <c r="AU54" s="67"/>
      <c r="AV54" s="30"/>
      <c r="AW54" s="67"/>
      <c r="AX54" s="30"/>
      <c r="AY54" s="67"/>
      <c r="AZ54" s="68"/>
      <c r="BA54" s="67"/>
      <c r="BB54" s="30"/>
      <c r="BC54" s="67"/>
      <c r="BD54" s="68"/>
      <c r="BE54" s="67"/>
      <c r="BF54" s="68"/>
      <c r="BG54" s="67"/>
      <c r="BH54" s="30"/>
      <c r="BI54" s="67"/>
      <c r="BJ54" s="30"/>
      <c r="BK54" s="67"/>
      <c r="BL54" s="30"/>
      <c r="BM54" s="67"/>
      <c r="BN54" s="30"/>
      <c r="BO54" s="67"/>
      <c r="BP54" s="30"/>
      <c r="BQ54" s="67"/>
    </row>
    <row r="55" spans="2:69"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</row>
    <row r="56" spans="2:69"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</row>
    <row r="57" spans="2:69"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</row>
    <row r="58" spans="2:69"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</row>
    <row r="59" spans="2:69"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</row>
    <row r="60" spans="2:69"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</row>
    <row r="61" spans="2:69"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</row>
    <row r="62" spans="2:69"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</row>
    <row r="63" spans="2:69"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</row>
    <row r="64" spans="2:69"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</row>
    <row r="65" spans="7:28"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</row>
    <row r="66" spans="7:28"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</row>
    <row r="67" spans="7:28"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</row>
    <row r="68" spans="7:28"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</row>
    <row r="69" spans="7:28"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</row>
    <row r="70" spans="7:28"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</row>
    <row r="71" spans="7:28"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</row>
    <row r="72" spans="7:28"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</row>
    <row r="73" spans="7:28"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</row>
    <row r="74" spans="7:28"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</row>
    <row r="75" spans="7:28"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</row>
    <row r="76" spans="7:28"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</row>
    <row r="77" spans="7:28"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</row>
    <row r="78" spans="7:28"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</row>
    <row r="79" spans="7:28"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</row>
    <row r="80" spans="7:28"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</row>
    <row r="81" spans="7:28"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</row>
    <row r="82" spans="7:28"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</row>
    <row r="83" spans="7:28"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</row>
    <row r="84" spans="7:28"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</row>
    <row r="85" spans="7:28"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</row>
    <row r="86" spans="7:28"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</row>
    <row r="87" spans="7:28"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</row>
    <row r="88" spans="7:28"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</row>
    <row r="89" spans="7:28"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</row>
    <row r="90" spans="7:28"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</row>
    <row r="91" spans="7:28"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</row>
    <row r="92" spans="7:28"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</row>
    <row r="93" spans="7:28"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</row>
    <row r="94" spans="7:28"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</row>
    <row r="95" spans="7:28"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</row>
    <row r="96" spans="7:28"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</row>
    <row r="97" spans="7:28"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</row>
    <row r="98" spans="7:28"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</row>
    <row r="99" spans="7:28"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</row>
    <row r="100" spans="7:28"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</row>
    <row r="101" spans="7:28"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</row>
    <row r="102" spans="7:28"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</row>
    <row r="103" spans="7:28"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</row>
    <row r="104" spans="7:28"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</row>
    <row r="105" spans="7:28"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</row>
  </sheetData>
  <printOptions horizontalCentered="1"/>
  <pageMargins left="0.5" right="0.5" top="0.5" bottom="0.5" header="0.5" footer="0.5"/>
  <pageSetup scale="21" orientation="landscape" cellComments="asDisplayed" r:id="rId1"/>
  <headerFooter alignWithMargins="0">
    <oddFooter>&amp;C&amp;"Times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Financing Inputs</vt:lpstr>
      <vt:lpstr>Operating Inputs</vt:lpstr>
      <vt:lpstr>Financials</vt:lpstr>
      <vt:lpstr>Debt</vt:lpstr>
      <vt:lpstr>Debt!Print_Area</vt:lpstr>
      <vt:lpstr>Financials!Print_Area</vt:lpstr>
      <vt:lpstr>'Financing Inputs'!Print_Area</vt:lpstr>
      <vt:lpstr>'Operating Inputs'!Print_Area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Brij</cp:lastModifiedBy>
  <cp:lastPrinted>2024-10-18T09:01:26Z</cp:lastPrinted>
  <dcterms:created xsi:type="dcterms:W3CDTF">2013-08-22T06:36:19Z</dcterms:created>
  <dcterms:modified xsi:type="dcterms:W3CDTF">2026-05-13T03:33:22Z</dcterms:modified>
</cp:coreProperties>
</file>