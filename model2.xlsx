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7802cdcba9293a7/Desktop/portfolio/"/>
    </mc:Choice>
  </mc:AlternateContent>
  <xr:revisionPtr revIDLastSave="3" documentId="13_ncr:1_{71C52C13-F842-45EE-A9B1-44D522D1AE35}" xr6:coauthVersionLast="47" xr6:coauthVersionMax="47" xr10:uidLastSave="{1DE04263-C756-4182-AE34-1B652E297090}"/>
  <bookViews>
    <workbookView xWindow="-108" yWindow="-108" windowWidth="23256" windowHeight="12456" xr2:uid="{8A3D4B16-970A-4A3C-8A77-308AEFB471E5}"/>
  </bookViews>
  <sheets>
    <sheet name="Inputs" sheetId="2" r:id="rId1"/>
    <sheet name="Financials" sheetId="3" r:id="rId2"/>
  </sheets>
  <definedNames>
    <definedName name="_xlnm.Print_Area" localSheetId="0">Inputs!$A$1:$K$23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" i="3" l="1" a="1"/>
  <c r="E50" i="3" s="1"/>
  <c r="E2" i="3"/>
  <c r="C41" i="3" l="1"/>
  <c r="C26" i="3" l="1"/>
  <c r="E24" i="3"/>
  <c r="E22" i="2"/>
  <c r="C42" i="3" s="1"/>
  <c r="E17" i="2" l="1"/>
  <c r="E4" i="2"/>
  <c r="C57" i="3" l="1"/>
  <c r="C50" i="3"/>
  <c r="C36" i="3"/>
  <c r="C35" i="3"/>
  <c r="C15" i="3"/>
  <c r="E49" i="3" l="1"/>
  <c r="B46" i="3"/>
  <c r="J17" i="2"/>
  <c r="C58" i="3" s="1"/>
  <c r="B10" i="3" l="1"/>
  <c r="E13" i="3" l="1"/>
  <c r="E117" i="3" l="1"/>
  <c r="E114" i="3"/>
  <c r="E109" i="3"/>
  <c r="E120" i="3" l="1"/>
  <c r="E112" i="3"/>
  <c r="C111" i="3"/>
  <c r="C119" i="3"/>
  <c r="E110" i="3"/>
  <c r="E126" i="3"/>
  <c r="E118" i="3"/>
  <c r="E119" i="3"/>
  <c r="E122" i="3"/>
  <c r="D2" i="3"/>
  <c r="F2" i="3"/>
  <c r="F45" i="3" s="1"/>
  <c r="F50" i="3" s="1" a="1"/>
  <c r="F50" i="3" s="1"/>
  <c r="F112" i="3" l="1"/>
  <c r="F120" i="3"/>
  <c r="F126" i="3"/>
  <c r="E113" i="3"/>
  <c r="F110" i="3"/>
  <c r="F119" i="3"/>
  <c r="F118" i="3"/>
  <c r="E121" i="3"/>
  <c r="G2" i="3"/>
  <c r="G45" i="3" s="1"/>
  <c r="G50" i="3" l="1" a="1"/>
  <c r="G50" i="3" s="1"/>
  <c r="G120" i="3"/>
  <c r="G112" i="3"/>
  <c r="E132" i="3"/>
  <c r="E133" i="3" s="1"/>
  <c r="G126" i="3"/>
  <c r="F132" i="3"/>
  <c r="F109" i="3"/>
  <c r="F114" i="3"/>
  <c r="G110" i="3"/>
  <c r="G119" i="3"/>
  <c r="G118" i="3"/>
  <c r="F122" i="3"/>
  <c r="F117" i="3"/>
  <c r="F121" i="3" s="1"/>
  <c r="H2" i="3"/>
  <c r="H45" i="3" s="1"/>
  <c r="H50" i="3" l="1" a="1"/>
  <c r="H50" i="3" s="1"/>
  <c r="H120" i="3"/>
  <c r="H112" i="3"/>
  <c r="E127" i="3"/>
  <c r="E128" i="3" s="1"/>
  <c r="E129" i="3" s="1"/>
  <c r="G137" i="3" a="1"/>
  <c r="G137" i="3" s="1"/>
  <c r="H126" i="3"/>
  <c r="F111" i="3"/>
  <c r="G132" i="3"/>
  <c r="G122" i="3"/>
  <c r="G117" i="3"/>
  <c r="G121" i="3" s="1"/>
  <c r="H110" i="3"/>
  <c r="H118" i="3"/>
  <c r="I2" i="3"/>
  <c r="I45" i="3" s="1"/>
  <c r="I50" i="3" l="1" a="1"/>
  <c r="I50" i="3" s="1"/>
  <c r="I137" i="3" a="1"/>
  <c r="I137" i="3" s="1"/>
  <c r="H137" i="3" a="1"/>
  <c r="H137" i="3" s="1"/>
  <c r="F137" i="3" a="1"/>
  <c r="F137" i="3" s="1"/>
  <c r="E137" i="3" a="1"/>
  <c r="E137" i="3" s="1"/>
  <c r="I120" i="3"/>
  <c r="I112" i="3"/>
  <c r="E131" i="3"/>
  <c r="F133" i="3" s="1"/>
  <c r="F127" i="3"/>
  <c r="F128" i="3" s="1"/>
  <c r="I126" i="3"/>
  <c r="H132" i="3"/>
  <c r="F113" i="3"/>
  <c r="H122" i="3"/>
  <c r="H117" i="3"/>
  <c r="H119" i="3" s="1"/>
  <c r="I110" i="3"/>
  <c r="I118" i="3"/>
  <c r="J2" i="3"/>
  <c r="J45" i="3" s="1"/>
  <c r="J50" i="3" l="1" a="1"/>
  <c r="J50" i="3" s="1"/>
  <c r="E25" i="3"/>
  <c r="E26" i="3" s="1"/>
  <c r="E14" i="3"/>
  <c r="E62" i="3"/>
  <c r="J137" i="3" a="1"/>
  <c r="J137" i="3" s="1"/>
  <c r="J120" i="3"/>
  <c r="J112" i="3"/>
  <c r="E68" i="3"/>
  <c r="F129" i="3"/>
  <c r="G127" i="3"/>
  <c r="G128" i="3" s="1"/>
  <c r="J126" i="3"/>
  <c r="I132" i="3"/>
  <c r="G114" i="3"/>
  <c r="G109" i="3"/>
  <c r="H121" i="3"/>
  <c r="J110" i="3"/>
  <c r="J118" i="3"/>
  <c r="K2" i="3"/>
  <c r="K45" i="3" s="1"/>
  <c r="K50" i="3" l="1" a="1"/>
  <c r="K50" i="3" s="1"/>
  <c r="K137" i="3" a="1"/>
  <c r="K137" i="3" s="1"/>
  <c r="E72" i="3"/>
  <c r="K112" i="3"/>
  <c r="K120" i="3"/>
  <c r="E135" i="3"/>
  <c r="G129" i="3"/>
  <c r="H127" i="3"/>
  <c r="H128" i="3" s="1"/>
  <c r="K126" i="3"/>
  <c r="J132" i="3"/>
  <c r="G111" i="3"/>
  <c r="I117" i="3"/>
  <c r="I122" i="3"/>
  <c r="K110" i="3"/>
  <c r="K118" i="3"/>
  <c r="L2" i="3"/>
  <c r="L45" i="3" s="1"/>
  <c r="L50" i="3" l="1" a="1"/>
  <c r="L50" i="3" s="1"/>
  <c r="L137" i="3" a="1"/>
  <c r="L137" i="3" s="1"/>
  <c r="L120" i="3"/>
  <c r="L112" i="3"/>
  <c r="H129" i="3"/>
  <c r="I127" i="3"/>
  <c r="I128" i="3" s="1"/>
  <c r="L126" i="3"/>
  <c r="K132" i="3"/>
  <c r="G113" i="3"/>
  <c r="L110" i="3"/>
  <c r="L118" i="3"/>
  <c r="I119" i="3"/>
  <c r="I121" i="3" s="1"/>
  <c r="M2" i="3"/>
  <c r="M45" i="3" s="1"/>
  <c r="M50" i="3" l="1" a="1"/>
  <c r="M50" i="3" s="1"/>
  <c r="M137" i="3" a="1"/>
  <c r="M137" i="3" s="1"/>
  <c r="M120" i="3"/>
  <c r="M112" i="3"/>
  <c r="G135" i="3"/>
  <c r="I129" i="3"/>
  <c r="J127" i="3"/>
  <c r="J128" i="3" s="1"/>
  <c r="M126" i="3"/>
  <c r="H114" i="3"/>
  <c r="H109" i="3"/>
  <c r="L132" i="3"/>
  <c r="M110" i="3"/>
  <c r="M118" i="3"/>
  <c r="J122" i="3"/>
  <c r="J117" i="3"/>
  <c r="N2" i="3"/>
  <c r="N45" i="3" s="1"/>
  <c r="N50" i="3" l="1" a="1"/>
  <c r="N50" i="3" s="1"/>
  <c r="N137" i="3" a="1"/>
  <c r="N137" i="3" s="1"/>
  <c r="F135" i="3"/>
  <c r="F138" i="3"/>
  <c r="N120" i="3"/>
  <c r="N112" i="3"/>
  <c r="J129" i="3"/>
  <c r="K127" i="3"/>
  <c r="K128" i="3" s="1"/>
  <c r="N126" i="3"/>
  <c r="M132" i="3"/>
  <c r="H111" i="3"/>
  <c r="J119" i="3"/>
  <c r="J121" i="3" s="1"/>
  <c r="N110" i="3"/>
  <c r="N118" i="3"/>
  <c r="O2" i="3"/>
  <c r="O45" i="3" s="1"/>
  <c r="O50" i="3" l="1" a="1"/>
  <c r="O50" i="3" s="1"/>
  <c r="O137" i="3" a="1"/>
  <c r="O137" i="3" s="1"/>
  <c r="G138" i="3"/>
  <c r="O120" i="3"/>
  <c r="O112" i="3"/>
  <c r="K129" i="3"/>
  <c r="L127" i="3"/>
  <c r="L128" i="3" s="1"/>
  <c r="N132" i="3"/>
  <c r="O126" i="3"/>
  <c r="H113" i="3"/>
  <c r="K122" i="3"/>
  <c r="K117" i="3"/>
  <c r="O110" i="3"/>
  <c r="O118" i="3"/>
  <c r="P2" i="3"/>
  <c r="P45" i="3" s="1"/>
  <c r="P50" i="3" s="1" a="1"/>
  <c r="P50" i="3" s="1"/>
  <c r="P137" i="3" l="1" a="1"/>
  <c r="P137" i="3" s="1"/>
  <c r="P112" i="3"/>
  <c r="P120" i="3"/>
  <c r="L129" i="3"/>
  <c r="M127" i="3"/>
  <c r="M128" i="3" s="1"/>
  <c r="H138" i="3"/>
  <c r="H135" i="3"/>
  <c r="P126" i="3"/>
  <c r="O132" i="3"/>
  <c r="I114" i="3"/>
  <c r="I109" i="3"/>
  <c r="K119" i="3"/>
  <c r="K121" i="3" s="1"/>
  <c r="P110" i="3"/>
  <c r="P118" i="3"/>
  <c r="Q2" i="3"/>
  <c r="Q45" i="3" s="1"/>
  <c r="Q50" i="3" l="1" a="1"/>
  <c r="Q50" i="3" s="1"/>
  <c r="Q137" i="3" a="1"/>
  <c r="Q137" i="3" s="1"/>
  <c r="Q112" i="3"/>
  <c r="Q120" i="3"/>
  <c r="M129" i="3"/>
  <c r="N127" i="3"/>
  <c r="N128" i="3" s="1"/>
  <c r="Q126" i="3"/>
  <c r="P132" i="3"/>
  <c r="I111" i="3"/>
  <c r="L122" i="3"/>
  <c r="L117" i="3"/>
  <c r="Q110" i="3"/>
  <c r="Q118" i="3"/>
  <c r="R2" i="3"/>
  <c r="R45" i="3" s="1"/>
  <c r="R50" i="3" l="1" a="1"/>
  <c r="R50" i="3" s="1"/>
  <c r="R137" i="3" a="1"/>
  <c r="R137" i="3" s="1"/>
  <c r="R120" i="3"/>
  <c r="R112" i="3"/>
  <c r="N129" i="3"/>
  <c r="O127" i="3"/>
  <c r="O128" i="3" s="1"/>
  <c r="Q132" i="3"/>
  <c r="R126" i="3"/>
  <c r="I113" i="3"/>
  <c r="L119" i="3"/>
  <c r="L121" i="3" s="1"/>
  <c r="R110" i="3"/>
  <c r="R118" i="3"/>
  <c r="S2" i="3"/>
  <c r="S45" i="3" s="1"/>
  <c r="S50" i="3" l="1" a="1"/>
  <c r="S50" i="3" s="1"/>
  <c r="S137" i="3" a="1"/>
  <c r="S137" i="3" s="1"/>
  <c r="S112" i="3"/>
  <c r="S120" i="3"/>
  <c r="O129" i="3"/>
  <c r="P127" i="3"/>
  <c r="P128" i="3" s="1"/>
  <c r="I138" i="3"/>
  <c r="I135" i="3"/>
  <c r="S126" i="3"/>
  <c r="R132" i="3"/>
  <c r="J109" i="3"/>
  <c r="J114" i="3"/>
  <c r="M122" i="3"/>
  <c r="M117" i="3"/>
  <c r="S110" i="3"/>
  <c r="S118" i="3"/>
  <c r="T2" i="3"/>
  <c r="T45" i="3" s="1"/>
  <c r="T50" i="3" l="1" a="1"/>
  <c r="T50" i="3" s="1"/>
  <c r="T137" i="3" a="1"/>
  <c r="T137" i="3" s="1"/>
  <c r="T112" i="3"/>
  <c r="T120" i="3"/>
  <c r="Q127" i="3"/>
  <c r="Q128" i="3" s="1"/>
  <c r="P129" i="3"/>
  <c r="T126" i="3"/>
  <c r="S132" i="3"/>
  <c r="J111" i="3"/>
  <c r="M119" i="3"/>
  <c r="M121" i="3" s="1"/>
  <c r="T110" i="3"/>
  <c r="T118" i="3"/>
  <c r="U2" i="3"/>
  <c r="U45" i="3" s="1"/>
  <c r="U50" i="3" l="1" a="1"/>
  <c r="U50" i="3" s="1"/>
  <c r="U137" i="3" a="1"/>
  <c r="U137" i="3" s="1"/>
  <c r="U120" i="3"/>
  <c r="U112" i="3"/>
  <c r="R127" i="3"/>
  <c r="R128" i="3" s="1"/>
  <c r="Q129" i="3"/>
  <c r="U126" i="3"/>
  <c r="T132" i="3"/>
  <c r="J113" i="3"/>
  <c r="N122" i="3"/>
  <c r="N117" i="3"/>
  <c r="U110" i="3"/>
  <c r="U118" i="3"/>
  <c r="V2" i="3"/>
  <c r="V45" i="3" s="1"/>
  <c r="V50" i="3" l="1" a="1"/>
  <c r="V50" i="3" s="1"/>
  <c r="V137" i="3" a="1"/>
  <c r="V137" i="3" s="1"/>
  <c r="V120" i="3"/>
  <c r="V112" i="3"/>
  <c r="S127" i="3"/>
  <c r="S128" i="3" s="1"/>
  <c r="R129" i="3"/>
  <c r="J138" i="3"/>
  <c r="J135" i="3"/>
  <c r="V126" i="3"/>
  <c r="U132" i="3"/>
  <c r="K114" i="3"/>
  <c r="K109" i="3"/>
  <c r="N119" i="3"/>
  <c r="N121" i="3" s="1"/>
  <c r="V110" i="3"/>
  <c r="V118" i="3"/>
  <c r="W2" i="3"/>
  <c r="W45" i="3" s="1"/>
  <c r="W50" i="3" l="1" a="1"/>
  <c r="W50" i="3" s="1"/>
  <c r="W137" i="3" a="1"/>
  <c r="W137" i="3" s="1"/>
  <c r="W120" i="3"/>
  <c r="W112" i="3"/>
  <c r="S129" i="3"/>
  <c r="T127" i="3"/>
  <c r="T128" i="3" s="1"/>
  <c r="W126" i="3"/>
  <c r="V132" i="3"/>
  <c r="K111" i="3"/>
  <c r="O122" i="3"/>
  <c r="O117" i="3"/>
  <c r="W110" i="3"/>
  <c r="W118" i="3"/>
  <c r="X2" i="3"/>
  <c r="X45" i="3" s="1"/>
  <c r="X50" i="3" l="1" a="1"/>
  <c r="X50" i="3" s="1"/>
  <c r="X137" i="3" a="1"/>
  <c r="X137" i="3" s="1"/>
  <c r="X120" i="3"/>
  <c r="X112" i="3"/>
  <c r="W132" i="3"/>
  <c r="U127" i="3"/>
  <c r="U128" i="3" s="1"/>
  <c r="T129" i="3"/>
  <c r="X126" i="3"/>
  <c r="K113" i="3"/>
  <c r="O119" i="3"/>
  <c r="O121" i="3" s="1"/>
  <c r="X110" i="3"/>
  <c r="X118" i="3"/>
  <c r="Y2" i="3"/>
  <c r="Y45" i="3" s="1"/>
  <c r="Y50" i="3" l="1" a="1"/>
  <c r="Y50" i="3" s="1"/>
  <c r="Y137" i="3" a="1"/>
  <c r="Y137" i="3" s="1"/>
  <c r="Y120" i="3"/>
  <c r="Y112" i="3"/>
  <c r="V127" i="3"/>
  <c r="V128" i="3" s="1"/>
  <c r="U129" i="3"/>
  <c r="K138" i="3"/>
  <c r="K135" i="3"/>
  <c r="Y126" i="3"/>
  <c r="X132" i="3"/>
  <c r="L114" i="3"/>
  <c r="L109" i="3"/>
  <c r="Y110" i="3"/>
  <c r="Y118" i="3"/>
  <c r="P122" i="3"/>
  <c r="P117" i="3"/>
  <c r="Z2" i="3"/>
  <c r="Z45" i="3" s="1"/>
  <c r="Z50" i="3" l="1" a="1"/>
  <c r="Z50" i="3" s="1"/>
  <c r="Z137" i="3" a="1"/>
  <c r="Z137" i="3" s="1"/>
  <c r="Z112" i="3"/>
  <c r="Z120" i="3"/>
  <c r="V129" i="3"/>
  <c r="W127" i="3"/>
  <c r="W128" i="3" s="1"/>
  <c r="Z126" i="3"/>
  <c r="Y132" i="3"/>
  <c r="L111" i="3"/>
  <c r="P119" i="3"/>
  <c r="P121" i="3" s="1"/>
  <c r="Z110" i="3"/>
  <c r="Z118" i="3"/>
  <c r="AA2" i="3"/>
  <c r="AA45" i="3" s="1"/>
  <c r="AA50" i="3" l="1" a="1"/>
  <c r="AA50" i="3" s="1"/>
  <c r="Z132" i="3"/>
  <c r="AA137" i="3" a="1"/>
  <c r="AA137" i="3" s="1"/>
  <c r="AA112" i="3"/>
  <c r="AA120" i="3"/>
  <c r="W129" i="3"/>
  <c r="X127" i="3"/>
  <c r="X128" i="3" s="1"/>
  <c r="AA126" i="3"/>
  <c r="L113" i="3"/>
  <c r="Q122" i="3"/>
  <c r="Q117" i="3"/>
  <c r="AA110" i="3"/>
  <c r="AA118" i="3"/>
  <c r="AB2" i="3"/>
  <c r="AB45" i="3" s="1"/>
  <c r="AB50" i="3" s="1" a="1"/>
  <c r="AB50" i="3" s="1"/>
  <c r="AB137" i="3" l="1" a="1"/>
  <c r="AB137" i="3" s="1"/>
  <c r="AB120" i="3"/>
  <c r="AB112" i="3"/>
  <c r="Y127" i="3"/>
  <c r="Y128" i="3" s="1"/>
  <c r="X129" i="3"/>
  <c r="L138" i="3"/>
  <c r="L135" i="3"/>
  <c r="AB126" i="3"/>
  <c r="AA132" i="3"/>
  <c r="M109" i="3"/>
  <c r="M114" i="3"/>
  <c r="Q119" i="3"/>
  <c r="Q121" i="3" s="1"/>
  <c r="AB110" i="3"/>
  <c r="AB118" i="3"/>
  <c r="AC2" i="3"/>
  <c r="AC45" i="3" s="1"/>
  <c r="AC50" i="3" s="1" a="1"/>
  <c r="AC50" i="3" s="1"/>
  <c r="AC137" i="3" l="1" a="1"/>
  <c r="AC137" i="3" s="1"/>
  <c r="AC120" i="3"/>
  <c r="AC112" i="3"/>
  <c r="Y129" i="3"/>
  <c r="Z127" i="3"/>
  <c r="Z128" i="3" s="1"/>
  <c r="AB132" i="3"/>
  <c r="AC126" i="3"/>
  <c r="M111" i="3"/>
  <c r="R122" i="3"/>
  <c r="R117" i="3"/>
  <c r="AC110" i="3"/>
  <c r="AC118" i="3"/>
  <c r="AD2" i="3"/>
  <c r="AD45" i="3" s="1"/>
  <c r="AD50" i="3" s="1" a="1"/>
  <c r="AD50" i="3" s="1"/>
  <c r="AD137" i="3" l="1" a="1"/>
  <c r="AD137" i="3" s="1"/>
  <c r="AD120" i="3"/>
  <c r="AD112" i="3"/>
  <c r="AA127" i="3"/>
  <c r="AA128" i="3" s="1"/>
  <c r="Z129" i="3"/>
  <c r="AD126" i="3"/>
  <c r="AC132" i="3"/>
  <c r="M113" i="3"/>
  <c r="N109" i="3" s="1"/>
  <c r="R119" i="3"/>
  <c r="R121" i="3" s="1"/>
  <c r="AD110" i="3"/>
  <c r="AD118" i="3"/>
  <c r="AE2" i="3"/>
  <c r="AE45" i="3" s="1"/>
  <c r="AE50" i="3" l="1" a="1"/>
  <c r="AE50" i="3" s="1"/>
  <c r="AE137" i="3" a="1"/>
  <c r="AE137" i="3" s="1"/>
  <c r="AE120" i="3"/>
  <c r="AE112" i="3"/>
  <c r="AA129" i="3"/>
  <c r="AB127" i="3"/>
  <c r="AB128" i="3" s="1"/>
  <c r="M138" i="3"/>
  <c r="M135" i="3"/>
  <c r="N114" i="3"/>
  <c r="AE126" i="3"/>
  <c r="AD132" i="3"/>
  <c r="S122" i="3"/>
  <c r="S117" i="3"/>
  <c r="AE110" i="3"/>
  <c r="AE118" i="3"/>
  <c r="AF2" i="3"/>
  <c r="AF45" i="3" s="1"/>
  <c r="AF50" i="3" l="1" a="1"/>
  <c r="AF50" i="3" s="1"/>
  <c r="AE132" i="3"/>
  <c r="AF137" i="3" a="1"/>
  <c r="AF137" i="3" s="1"/>
  <c r="AF120" i="3"/>
  <c r="AF112" i="3"/>
  <c r="AC127" i="3"/>
  <c r="AC128" i="3" s="1"/>
  <c r="AB129" i="3"/>
  <c r="N111" i="3"/>
  <c r="AF126" i="3"/>
  <c r="S119" i="3"/>
  <c r="S121" i="3" s="1"/>
  <c r="AF110" i="3"/>
  <c r="AF118" i="3"/>
  <c r="AG2" i="3"/>
  <c r="AG45" i="3" s="1"/>
  <c r="AG50" i="3" l="1" a="1"/>
  <c r="AG50" i="3" s="1"/>
  <c r="N113" i="3"/>
  <c r="O109" i="3" s="1"/>
  <c r="AG137" i="3" a="1"/>
  <c r="AG137" i="3" s="1"/>
  <c r="AG120" i="3"/>
  <c r="AG112" i="3"/>
  <c r="AC129" i="3"/>
  <c r="AD127" i="3"/>
  <c r="AD128" i="3" s="1"/>
  <c r="AG126" i="3"/>
  <c r="AF132" i="3"/>
  <c r="T122" i="3"/>
  <c r="T117" i="3"/>
  <c r="AG110" i="3"/>
  <c r="AG118" i="3"/>
  <c r="AH2" i="3"/>
  <c r="AH45" i="3" s="1"/>
  <c r="AH50" i="3" l="1" a="1"/>
  <c r="AH50" i="3" s="1"/>
  <c r="O114" i="3"/>
  <c r="AH137" i="3" a="1"/>
  <c r="AH137" i="3" s="1"/>
  <c r="N138" i="3"/>
  <c r="AH112" i="3"/>
  <c r="AH120" i="3"/>
  <c r="N135" i="3"/>
  <c r="AE127" i="3"/>
  <c r="AE128" i="3" s="1"/>
  <c r="AD129" i="3"/>
  <c r="AH126" i="3"/>
  <c r="AG132" i="3"/>
  <c r="O111" i="3"/>
  <c r="T119" i="3"/>
  <c r="T121" i="3" s="1"/>
  <c r="AH110" i="3"/>
  <c r="AH118" i="3"/>
  <c r="AI2" i="3"/>
  <c r="AI45" i="3" s="1"/>
  <c r="AI50" i="3" l="1" a="1"/>
  <c r="AI50" i="3" s="1"/>
  <c r="AI137" i="3" a="1"/>
  <c r="AI137" i="3" s="1"/>
  <c r="AI112" i="3"/>
  <c r="AI120" i="3"/>
  <c r="AE129" i="3"/>
  <c r="AF127" i="3"/>
  <c r="AF128" i="3" s="1"/>
  <c r="AI126" i="3"/>
  <c r="AH132" i="3"/>
  <c r="O113" i="3"/>
  <c r="U122" i="3"/>
  <c r="U117" i="3"/>
  <c r="AI110" i="3"/>
  <c r="AI118" i="3"/>
  <c r="AJ2" i="3"/>
  <c r="AJ45" i="3" s="1"/>
  <c r="AJ50" i="3" l="1" a="1"/>
  <c r="AJ50" i="3" s="1"/>
  <c r="AJ137" i="3" a="1"/>
  <c r="AJ137" i="3" s="1"/>
  <c r="AJ120" i="3"/>
  <c r="AJ112" i="3"/>
  <c r="AF129" i="3"/>
  <c r="AG127" i="3"/>
  <c r="AG128" i="3" s="1"/>
  <c r="O138" i="3"/>
  <c r="O135" i="3"/>
  <c r="AJ126" i="3"/>
  <c r="AI132" i="3"/>
  <c r="P109" i="3"/>
  <c r="P114" i="3"/>
  <c r="AJ110" i="3"/>
  <c r="AJ118" i="3"/>
  <c r="U119" i="3"/>
  <c r="U121" i="3" s="1"/>
  <c r="AK2" i="3"/>
  <c r="AK45" i="3" s="1"/>
  <c r="AK50" i="3" l="1" a="1"/>
  <c r="AK50" i="3" s="1"/>
  <c r="AK137" i="3" a="1"/>
  <c r="AK137" i="3" s="1"/>
  <c r="AK120" i="3"/>
  <c r="AK112" i="3"/>
  <c r="AG129" i="3"/>
  <c r="AH127" i="3"/>
  <c r="AH128" i="3" s="1"/>
  <c r="AK126" i="3"/>
  <c r="AJ132" i="3"/>
  <c r="P111" i="3"/>
  <c r="AK110" i="3"/>
  <c r="AK118" i="3"/>
  <c r="V122" i="3"/>
  <c r="V117" i="3"/>
  <c r="AL2" i="3"/>
  <c r="AL45" i="3" s="1"/>
  <c r="AL50" i="3" l="1" a="1"/>
  <c r="AL50" i="3" s="1"/>
  <c r="AL137" i="3" a="1"/>
  <c r="AL137" i="3" s="1"/>
  <c r="AL112" i="3"/>
  <c r="AL120" i="3"/>
  <c r="AH129" i="3"/>
  <c r="AI127" i="3"/>
  <c r="AI128" i="3" s="1"/>
  <c r="P113" i="3"/>
  <c r="Q109" i="3" s="1"/>
  <c r="AL126" i="3"/>
  <c r="AK132" i="3"/>
  <c r="V119" i="3"/>
  <c r="V121" i="3" s="1"/>
  <c r="AL110" i="3"/>
  <c r="AL118" i="3"/>
  <c r="AM2" i="3"/>
  <c r="AM45" i="3" s="1"/>
  <c r="AM50" i="3" l="1" a="1"/>
  <c r="AM50" i="3" s="1"/>
  <c r="AM137" i="3" a="1"/>
  <c r="AM137" i="3" s="1"/>
  <c r="AM120" i="3"/>
  <c r="AM112" i="3"/>
  <c r="Q114" i="3"/>
  <c r="AI129" i="3"/>
  <c r="AJ127" i="3"/>
  <c r="AJ128" i="3" s="1"/>
  <c r="P138" i="3"/>
  <c r="P135" i="3"/>
  <c r="AM126" i="3"/>
  <c r="AL132" i="3"/>
  <c r="W122" i="3"/>
  <c r="W117" i="3"/>
  <c r="AM110" i="3"/>
  <c r="AM118" i="3"/>
  <c r="AN2" i="3"/>
  <c r="AN45" i="3" s="1"/>
  <c r="AN50" i="3" s="1" a="1"/>
  <c r="AN50" i="3" s="1"/>
  <c r="AN137" i="3" l="1" a="1"/>
  <c r="AN137" i="3" s="1"/>
  <c r="AN120" i="3"/>
  <c r="AN112" i="3"/>
  <c r="Q111" i="3"/>
  <c r="AJ129" i="3"/>
  <c r="AK127" i="3"/>
  <c r="AK128" i="3" s="1"/>
  <c r="AN126" i="3"/>
  <c r="AM132" i="3"/>
  <c r="W119" i="3"/>
  <c r="W121" i="3" s="1"/>
  <c r="AN110" i="3"/>
  <c r="AN118" i="3"/>
  <c r="AO2" i="3"/>
  <c r="AO45" i="3" s="1"/>
  <c r="AO50" i="3" s="1" a="1"/>
  <c r="AO50" i="3" s="1"/>
  <c r="Q113" i="3" l="1"/>
  <c r="R109" i="3" s="1"/>
  <c r="AO137" i="3" a="1"/>
  <c r="AO137" i="3" s="1"/>
  <c r="AO120" i="3"/>
  <c r="AO112" i="3"/>
  <c r="AK129" i="3"/>
  <c r="AL127" i="3"/>
  <c r="AL128" i="3" s="1"/>
  <c r="AO126" i="3"/>
  <c r="AN132" i="3"/>
  <c r="X122" i="3"/>
  <c r="X117" i="3"/>
  <c r="AO110" i="3"/>
  <c r="AO118" i="3"/>
  <c r="AP2" i="3"/>
  <c r="AP45" i="3" s="1"/>
  <c r="AP50" i="3" s="1" a="1"/>
  <c r="AP50" i="3" s="1"/>
  <c r="R114" i="3" l="1"/>
  <c r="R111" i="3" s="1"/>
  <c r="AP137" i="3" a="1"/>
  <c r="AP137" i="3" s="1"/>
  <c r="Q138" i="3"/>
  <c r="Q135" i="3"/>
  <c r="AP120" i="3"/>
  <c r="AP112" i="3"/>
  <c r="AL129" i="3"/>
  <c r="AM127" i="3"/>
  <c r="AM128" i="3" s="1"/>
  <c r="AO132" i="3"/>
  <c r="AP126" i="3"/>
  <c r="AP110" i="3"/>
  <c r="AP118" i="3"/>
  <c r="X119" i="3"/>
  <c r="X121" i="3" s="1"/>
  <c r="AQ2" i="3"/>
  <c r="AQ45" i="3" s="1"/>
  <c r="AQ50" i="3" l="1" a="1"/>
  <c r="AQ50" i="3" s="1"/>
  <c r="AQ137" i="3" a="1"/>
  <c r="AQ137" i="3" s="1"/>
  <c r="AQ112" i="3"/>
  <c r="AQ120" i="3"/>
  <c r="AN127" i="3"/>
  <c r="AN128" i="3" s="1"/>
  <c r="AM129" i="3"/>
  <c r="AQ126" i="3"/>
  <c r="AP132" i="3"/>
  <c r="R113" i="3"/>
  <c r="Y122" i="3"/>
  <c r="Y117" i="3"/>
  <c r="AQ110" i="3"/>
  <c r="AQ118" i="3"/>
  <c r="AR2" i="3"/>
  <c r="AR45" i="3" s="1"/>
  <c r="AR50" i="3" l="1" a="1"/>
  <c r="AR50" i="3" s="1"/>
  <c r="AQ132" i="3"/>
  <c r="AR137" i="3" a="1"/>
  <c r="AR137" i="3" s="1"/>
  <c r="AR120" i="3"/>
  <c r="AR112" i="3"/>
  <c r="AN129" i="3"/>
  <c r="AO127" i="3"/>
  <c r="AO128" i="3" s="1"/>
  <c r="R138" i="3"/>
  <c r="R135" i="3"/>
  <c r="AR126" i="3"/>
  <c r="S109" i="3"/>
  <c r="S114" i="3"/>
  <c r="Y119" i="3"/>
  <c r="Y121" i="3" s="1"/>
  <c r="AR110" i="3"/>
  <c r="AR118" i="3"/>
  <c r="AS2" i="3"/>
  <c r="AS45" i="3" s="1"/>
  <c r="AS50" i="3" l="1" a="1"/>
  <c r="AS50" i="3" s="1"/>
  <c r="AS137" i="3" a="1"/>
  <c r="AS137" i="3" s="1"/>
  <c r="AS120" i="3"/>
  <c r="AS112" i="3"/>
  <c r="AO129" i="3"/>
  <c r="AP127" i="3"/>
  <c r="AP128" i="3" s="1"/>
  <c r="AR132" i="3"/>
  <c r="AS126" i="3"/>
  <c r="S111" i="3"/>
  <c r="Z122" i="3"/>
  <c r="Z117" i="3"/>
  <c r="AS110" i="3"/>
  <c r="AS118" i="3"/>
  <c r="AT2" i="3"/>
  <c r="AT45" i="3" s="1"/>
  <c r="AT50" i="3" l="1" a="1"/>
  <c r="AT50" i="3" s="1"/>
  <c r="AT137" i="3" a="1"/>
  <c r="AT137" i="3" s="1"/>
  <c r="AT120" i="3"/>
  <c r="AT112" i="3"/>
  <c r="AQ127" i="3"/>
  <c r="AQ128" i="3" s="1"/>
  <c r="AP129" i="3"/>
  <c r="AT126" i="3"/>
  <c r="AS132" i="3"/>
  <c r="S113" i="3"/>
  <c r="T114" i="3" s="1"/>
  <c r="AT110" i="3"/>
  <c r="AT118" i="3"/>
  <c r="Z119" i="3"/>
  <c r="Z121" i="3" s="1"/>
  <c r="AU2" i="3"/>
  <c r="AU45" i="3" s="1"/>
  <c r="AU50" i="3" l="1" a="1"/>
  <c r="AU50" i="3" s="1"/>
  <c r="AU137" i="3" a="1"/>
  <c r="AU137" i="3" s="1"/>
  <c r="AU120" i="3"/>
  <c r="AU112" i="3"/>
  <c r="AR127" i="3"/>
  <c r="AR128" i="3" s="1"/>
  <c r="AQ129" i="3"/>
  <c r="S138" i="3"/>
  <c r="S135" i="3"/>
  <c r="T109" i="3"/>
  <c r="T111" i="3" s="1"/>
  <c r="AU126" i="3"/>
  <c r="AT132" i="3"/>
  <c r="AA122" i="3"/>
  <c r="AA117" i="3"/>
  <c r="AU110" i="3"/>
  <c r="AU118" i="3"/>
  <c r="AV2" i="3"/>
  <c r="AV45" i="3" s="1"/>
  <c r="AV50" i="3" l="1" a="1"/>
  <c r="AV50" i="3" s="1"/>
  <c r="AV137" i="3" a="1"/>
  <c r="AV137" i="3" s="1"/>
  <c r="AV120" i="3"/>
  <c r="AV112" i="3"/>
  <c r="AR129" i="3"/>
  <c r="AS127" i="3"/>
  <c r="AS128" i="3" s="1"/>
  <c r="AV126" i="3"/>
  <c r="AU132" i="3"/>
  <c r="T113" i="3"/>
  <c r="AV110" i="3"/>
  <c r="AV118" i="3"/>
  <c r="AA119" i="3"/>
  <c r="AA121" i="3" s="1"/>
  <c r="AW2" i="3"/>
  <c r="AW45" i="3" s="1"/>
  <c r="AW50" i="3" l="1" a="1"/>
  <c r="AW50" i="3" s="1"/>
  <c r="AW137" i="3" a="1"/>
  <c r="AW137" i="3" s="1"/>
  <c r="AW120" i="3"/>
  <c r="AW112" i="3"/>
  <c r="AS129" i="3"/>
  <c r="AT127" i="3"/>
  <c r="AT128" i="3" s="1"/>
  <c r="T138" i="3"/>
  <c r="T135" i="3"/>
  <c r="AW126" i="3"/>
  <c r="AV132" i="3"/>
  <c r="U109" i="3"/>
  <c r="U114" i="3"/>
  <c r="AB122" i="3"/>
  <c r="AB117" i="3"/>
  <c r="AW110" i="3"/>
  <c r="AW118" i="3"/>
  <c r="AX2" i="3"/>
  <c r="AX45" i="3" s="1"/>
  <c r="AX50" i="3" l="1" a="1"/>
  <c r="AX50" i="3" s="1"/>
  <c r="AX137" i="3" a="1"/>
  <c r="AX137" i="3" s="1"/>
  <c r="AX120" i="3"/>
  <c r="AX112" i="3"/>
  <c r="AU127" i="3"/>
  <c r="AU128" i="3" s="1"/>
  <c r="AT129" i="3"/>
  <c r="AX126" i="3"/>
  <c r="AW132" i="3"/>
  <c r="U111" i="3"/>
  <c r="AB119" i="3"/>
  <c r="AB121" i="3" s="1"/>
  <c r="AX110" i="3"/>
  <c r="AX118" i="3"/>
  <c r="AY2" i="3"/>
  <c r="AY45" i="3" s="1"/>
  <c r="AY50" i="3" l="1" a="1"/>
  <c r="AY50" i="3" s="1"/>
  <c r="AY137" i="3" a="1"/>
  <c r="AY137" i="3" s="1"/>
  <c r="AY112" i="3"/>
  <c r="AY120" i="3"/>
  <c r="AU129" i="3"/>
  <c r="AV127" i="3"/>
  <c r="AV128" i="3" s="1"/>
  <c r="AX132" i="3"/>
  <c r="AY126" i="3"/>
  <c r="U113" i="3"/>
  <c r="V109" i="3" s="1"/>
  <c r="AC122" i="3"/>
  <c r="AC117" i="3"/>
  <c r="AY110" i="3"/>
  <c r="AY118" i="3"/>
  <c r="AZ2" i="3"/>
  <c r="AZ45" i="3" s="1"/>
  <c r="AZ50" i="3" s="1" a="1"/>
  <c r="AZ50" i="3" s="1"/>
  <c r="AZ137" i="3" l="1" a="1"/>
  <c r="AZ137" i="3" s="1"/>
  <c r="AZ112" i="3"/>
  <c r="AZ120" i="3"/>
  <c r="AV129" i="3"/>
  <c r="AW127" i="3"/>
  <c r="AW128" i="3" s="1"/>
  <c r="U138" i="3"/>
  <c r="U135" i="3"/>
  <c r="AY132" i="3"/>
  <c r="V114" i="3"/>
  <c r="AZ126" i="3"/>
  <c r="AC119" i="3"/>
  <c r="AC121" i="3" s="1"/>
  <c r="AZ110" i="3"/>
  <c r="AZ118" i="3"/>
  <c r="BA2" i="3"/>
  <c r="BA45" i="3" s="1"/>
  <c r="BA50" i="3" s="1" a="1"/>
  <c r="BA50" i="3" s="1"/>
  <c r="V111" i="3" l="1"/>
  <c r="V113" i="3" s="1"/>
  <c r="BA137" i="3" a="1"/>
  <c r="BA137" i="3" s="1"/>
  <c r="BA112" i="3"/>
  <c r="BA120" i="3"/>
  <c r="AZ132" i="3"/>
  <c r="AW129" i="3"/>
  <c r="AX127" i="3"/>
  <c r="AX128" i="3" s="1"/>
  <c r="BA126" i="3"/>
  <c r="AD122" i="3"/>
  <c r="AD117" i="3"/>
  <c r="BA110" i="3"/>
  <c r="BA118" i="3"/>
  <c r="BB2" i="3"/>
  <c r="BB45" i="3" s="1"/>
  <c r="BB50" i="3" s="1" a="1"/>
  <c r="BB50" i="3" s="1"/>
  <c r="BA132" i="3" l="1"/>
  <c r="BB137" i="3" a="1"/>
  <c r="BB137" i="3" s="1"/>
  <c r="BB112" i="3"/>
  <c r="BB120" i="3"/>
  <c r="AX129" i="3"/>
  <c r="AY127" i="3"/>
  <c r="AY128" i="3" s="1"/>
  <c r="V138" i="3"/>
  <c r="V135" i="3"/>
  <c r="BB126" i="3"/>
  <c r="W109" i="3"/>
  <c r="W114" i="3"/>
  <c r="BB110" i="3"/>
  <c r="BB118" i="3"/>
  <c r="AD119" i="3"/>
  <c r="AD121" i="3" s="1"/>
  <c r="BC2" i="3"/>
  <c r="BC45" i="3" s="1"/>
  <c r="BC50" i="3" l="1" a="1"/>
  <c r="BC50" i="3" s="1"/>
  <c r="BC137" i="3" a="1"/>
  <c r="BC137" i="3" s="1"/>
  <c r="BC120" i="3"/>
  <c r="BC112" i="3"/>
  <c r="AY129" i="3"/>
  <c r="AZ127" i="3"/>
  <c r="AZ128" i="3" s="1"/>
  <c r="BC126" i="3"/>
  <c r="W111" i="3"/>
  <c r="BB132" i="3"/>
  <c r="AE122" i="3"/>
  <c r="AE117" i="3"/>
  <c r="BC110" i="3"/>
  <c r="BC118" i="3"/>
  <c r="BD2" i="3"/>
  <c r="BD45" i="3" s="1"/>
  <c r="BD50" i="3" l="1" a="1"/>
  <c r="BD50" i="3" s="1"/>
  <c r="BC132" i="3"/>
  <c r="BD137" i="3" a="1"/>
  <c r="BD137" i="3" s="1"/>
  <c r="BD112" i="3"/>
  <c r="BD120" i="3"/>
  <c r="AZ129" i="3"/>
  <c r="BA127" i="3"/>
  <c r="BA128" i="3" s="1"/>
  <c r="BD126" i="3"/>
  <c r="W113" i="3"/>
  <c r="BD110" i="3"/>
  <c r="BD118" i="3"/>
  <c r="AE119" i="3"/>
  <c r="AE121" i="3" s="1"/>
  <c r="BE2" i="3"/>
  <c r="BE45" i="3" s="1"/>
  <c r="BE50" i="3" l="1" a="1"/>
  <c r="BE50" i="3" s="1"/>
  <c r="BE137" i="3" a="1"/>
  <c r="BE137" i="3" s="1"/>
  <c r="BE120" i="3"/>
  <c r="BE112" i="3"/>
  <c r="BA129" i="3"/>
  <c r="BB127" i="3"/>
  <c r="BB128" i="3" s="1"/>
  <c r="W138" i="3"/>
  <c r="W135" i="3"/>
  <c r="BE126" i="3"/>
  <c r="BD132" i="3"/>
  <c r="X109" i="3"/>
  <c r="X114" i="3"/>
  <c r="AF122" i="3"/>
  <c r="AF117" i="3"/>
  <c r="BE110" i="3"/>
  <c r="BE118" i="3"/>
  <c r="BF2" i="3"/>
  <c r="BF45" i="3" s="1"/>
  <c r="BF50" i="3" l="1" a="1"/>
  <c r="BF50" i="3" s="1"/>
  <c r="BF137" i="3" a="1"/>
  <c r="BF137" i="3" s="1"/>
  <c r="BF120" i="3"/>
  <c r="BF112" i="3"/>
  <c r="BB129" i="3"/>
  <c r="BC127" i="3"/>
  <c r="BC128" i="3" s="1"/>
  <c r="BE132" i="3"/>
  <c r="BF126" i="3"/>
  <c r="X111" i="3"/>
  <c r="AF119" i="3"/>
  <c r="AF121" i="3" s="1"/>
  <c r="BF110" i="3"/>
  <c r="BF118" i="3"/>
  <c r="BG2" i="3"/>
  <c r="BG45" i="3" s="1"/>
  <c r="BG50" i="3" l="1" a="1"/>
  <c r="BG50" i="3" s="1"/>
  <c r="BG137" i="3" a="1"/>
  <c r="BG137" i="3" s="1"/>
  <c r="BG112" i="3"/>
  <c r="BG120" i="3"/>
  <c r="BC129" i="3"/>
  <c r="BD127" i="3"/>
  <c r="BD128" i="3" s="1"/>
  <c r="BG126" i="3"/>
  <c r="BF132" i="3"/>
  <c r="X113" i="3"/>
  <c r="AG122" i="3"/>
  <c r="AG117" i="3"/>
  <c r="BG110" i="3"/>
  <c r="BG118" i="3"/>
  <c r="BH2" i="3"/>
  <c r="BH45" i="3" s="1"/>
  <c r="BH50" i="3" l="1" a="1"/>
  <c r="BH50" i="3" s="1"/>
  <c r="BG132" i="3"/>
  <c r="BH137" i="3" a="1"/>
  <c r="BH137" i="3" s="1"/>
  <c r="BH120" i="3"/>
  <c r="BH112" i="3"/>
  <c r="BD129" i="3"/>
  <c r="BE127" i="3"/>
  <c r="BE128" i="3" s="1"/>
  <c r="X138" i="3"/>
  <c r="X135" i="3"/>
  <c r="BH126" i="3"/>
  <c r="Y114" i="3"/>
  <c r="Y109" i="3"/>
  <c r="BH110" i="3"/>
  <c r="BH118" i="3"/>
  <c r="AG119" i="3"/>
  <c r="AG121" i="3" s="1"/>
  <c r="BI2" i="3"/>
  <c r="BI45" i="3" s="1"/>
  <c r="BI50" i="3" l="1" a="1"/>
  <c r="BI50" i="3" s="1"/>
  <c r="BI137" i="3" a="1"/>
  <c r="BI137" i="3" s="1"/>
  <c r="BI120" i="3"/>
  <c r="BI112" i="3"/>
  <c r="BE129" i="3"/>
  <c r="BF127" i="3"/>
  <c r="BF128" i="3" s="1"/>
  <c r="BI126" i="3"/>
  <c r="BH132" i="3"/>
  <c r="Y111" i="3"/>
  <c r="AH122" i="3"/>
  <c r="AH117" i="3"/>
  <c r="BI110" i="3"/>
  <c r="BI118" i="3"/>
  <c r="BJ2" i="3"/>
  <c r="BJ45" i="3" s="1"/>
  <c r="BJ50" i="3" l="1" a="1"/>
  <c r="BJ50" i="3" s="1"/>
  <c r="BI132" i="3"/>
  <c r="BJ137" i="3" a="1"/>
  <c r="BJ137" i="3" s="1"/>
  <c r="BJ120" i="3"/>
  <c r="BJ112" i="3"/>
  <c r="BG127" i="3"/>
  <c r="BG128" i="3" s="1"/>
  <c r="BF129" i="3"/>
  <c r="BJ126" i="3"/>
  <c r="Y113" i="3"/>
  <c r="BJ110" i="3"/>
  <c r="BJ118" i="3"/>
  <c r="AH119" i="3"/>
  <c r="AH121" i="3" s="1"/>
  <c r="BK2" i="3"/>
  <c r="BK45" i="3" s="1"/>
  <c r="BK50" i="3" l="1" a="1"/>
  <c r="BK50" i="3" s="1"/>
  <c r="BK137" i="3" a="1"/>
  <c r="BK137" i="3" s="1"/>
  <c r="BK120" i="3"/>
  <c r="BK112" i="3"/>
  <c r="BG129" i="3"/>
  <c r="BH127" i="3"/>
  <c r="BH128" i="3" s="1"/>
  <c r="Y138" i="3"/>
  <c r="Y135" i="3"/>
  <c r="BJ132" i="3"/>
  <c r="BK126" i="3"/>
  <c r="Z109" i="3"/>
  <c r="Z114" i="3"/>
  <c r="AI122" i="3"/>
  <c r="AI117" i="3"/>
  <c r="BK110" i="3"/>
  <c r="BK118" i="3"/>
  <c r="BL2" i="3"/>
  <c r="BL45" i="3" s="1"/>
  <c r="BL50" i="3" s="1" a="1"/>
  <c r="BL50" i="3" s="1"/>
  <c r="BL137" i="3" l="1" a="1"/>
  <c r="BL137" i="3" s="1"/>
  <c r="BL120" i="3"/>
  <c r="BL112" i="3"/>
  <c r="BH129" i="3"/>
  <c r="BI127" i="3"/>
  <c r="BI128" i="3" s="1"/>
  <c r="BL126" i="3"/>
  <c r="BK132" i="3"/>
  <c r="Z111" i="3"/>
  <c r="AI119" i="3"/>
  <c r="AI121" i="3" s="1"/>
  <c r="BL110" i="3"/>
  <c r="BL118" i="3"/>
  <c r="BM2" i="3"/>
  <c r="BM45" i="3" s="1"/>
  <c r="BM50" i="3" s="1" a="1"/>
  <c r="BM50" i="3" s="1"/>
  <c r="BM137" i="3" l="1" a="1"/>
  <c r="BM137" i="3" s="1"/>
  <c r="BM120" i="3"/>
  <c r="BJ127" i="3"/>
  <c r="BJ128" i="3" s="1"/>
  <c r="BI129" i="3"/>
  <c r="BM126" i="3"/>
  <c r="BL132" i="3"/>
  <c r="Z113" i="3"/>
  <c r="AJ122" i="3"/>
  <c r="AJ117" i="3"/>
  <c r="BM110" i="3"/>
  <c r="BM118" i="3"/>
  <c r="BN2" i="3"/>
  <c r="BN45" i="3" s="1"/>
  <c r="BN50" i="3" l="1" a="1"/>
  <c r="BN50" i="3" s="1"/>
  <c r="BN137" i="3" a="1"/>
  <c r="BN137" i="3" s="1"/>
  <c r="BN120" i="3"/>
  <c r="BN112" i="3"/>
  <c r="BJ129" i="3"/>
  <c r="BK127" i="3"/>
  <c r="BK128" i="3" s="1"/>
  <c r="Z138" i="3"/>
  <c r="Z135" i="3"/>
  <c r="BN126" i="3"/>
  <c r="AA109" i="3"/>
  <c r="AA114" i="3"/>
  <c r="AJ119" i="3"/>
  <c r="AJ121" i="3" s="1"/>
  <c r="BN110" i="3"/>
  <c r="BN118" i="3"/>
  <c r="BO2" i="3"/>
  <c r="BO45" i="3" s="1"/>
  <c r="BO50" i="3" l="1" a="1"/>
  <c r="BO50" i="3" s="1"/>
  <c r="BO137" i="3" a="1"/>
  <c r="BO137" i="3" s="1"/>
  <c r="BO112" i="3"/>
  <c r="BO120" i="3"/>
  <c r="BK129" i="3"/>
  <c r="BL127" i="3"/>
  <c r="BL128" i="3" s="1"/>
  <c r="BO126" i="3"/>
  <c r="BN132" i="3"/>
  <c r="AA111" i="3"/>
  <c r="AK122" i="3"/>
  <c r="AK117" i="3"/>
  <c r="BO110" i="3"/>
  <c r="BO118" i="3"/>
  <c r="BP2" i="3"/>
  <c r="BP45" i="3" s="1"/>
  <c r="BP50" i="3" l="1" a="1"/>
  <c r="BP50" i="3" s="1"/>
  <c r="BP137" i="3" a="1"/>
  <c r="BP137" i="3" s="1"/>
  <c r="BP120" i="3"/>
  <c r="BP112" i="3"/>
  <c r="BL129" i="3"/>
  <c r="BM127" i="3"/>
  <c r="BM128" i="3" s="1"/>
  <c r="BO132" i="3"/>
  <c r="BP126" i="3"/>
  <c r="AA113" i="3"/>
  <c r="BP110" i="3"/>
  <c r="BP118" i="3"/>
  <c r="AK119" i="3"/>
  <c r="AK121" i="3" s="1"/>
  <c r="BQ2" i="3"/>
  <c r="BQ45" i="3" s="1"/>
  <c r="BQ50" i="3" l="1" a="1"/>
  <c r="BQ50" i="3" s="1"/>
  <c r="BQ137" i="3" a="1"/>
  <c r="BQ137" i="3" s="1"/>
  <c r="BQ120" i="3"/>
  <c r="BQ112" i="3"/>
  <c r="BN127" i="3"/>
  <c r="BN128" i="3" s="1"/>
  <c r="BM129" i="3"/>
  <c r="AA138" i="3"/>
  <c r="AA135" i="3"/>
  <c r="BQ126" i="3"/>
  <c r="AB109" i="3"/>
  <c r="AB114" i="3"/>
  <c r="BP132" i="3"/>
  <c r="AL122" i="3"/>
  <c r="AL117" i="3"/>
  <c r="BQ110" i="3"/>
  <c r="BQ118" i="3"/>
  <c r="BR2" i="3"/>
  <c r="BR45" i="3" s="1"/>
  <c r="BR50" i="3" l="1" a="1"/>
  <c r="BR50" i="3" s="1"/>
  <c r="BR137" i="3" a="1"/>
  <c r="BR137" i="3" s="1"/>
  <c r="BR120" i="3"/>
  <c r="BR112" i="3"/>
  <c r="BN129" i="3"/>
  <c r="BO127" i="3"/>
  <c r="BO128" i="3" s="1"/>
  <c r="BR126" i="3"/>
  <c r="BQ132" i="3"/>
  <c r="AB111" i="3"/>
  <c r="BR110" i="3"/>
  <c r="BR118" i="3"/>
  <c r="AL119" i="3"/>
  <c r="AL121" i="3" s="1"/>
  <c r="BS2" i="3"/>
  <c r="BS45" i="3" s="1"/>
  <c r="BS50" i="3" l="1" a="1"/>
  <c r="BS50" i="3" s="1"/>
  <c r="BS137" i="3" a="1"/>
  <c r="BS137" i="3" s="1"/>
  <c r="BS120" i="3"/>
  <c r="BS112" i="3"/>
  <c r="BO129" i="3"/>
  <c r="BP127" i="3"/>
  <c r="BP128" i="3" s="1"/>
  <c r="BS126" i="3"/>
  <c r="AB113" i="3"/>
  <c r="BR132" i="3"/>
  <c r="AM122" i="3"/>
  <c r="AM117" i="3"/>
  <c r="BS110" i="3"/>
  <c r="BS118" i="3"/>
  <c r="BT2" i="3"/>
  <c r="BT45" i="3" s="1"/>
  <c r="BT50" i="3" l="1" a="1"/>
  <c r="BT50" i="3" s="1"/>
  <c r="BT137" i="3" a="1"/>
  <c r="BT137" i="3" s="1"/>
  <c r="BT120" i="3"/>
  <c r="BT112" i="3"/>
  <c r="BP129" i="3"/>
  <c r="BQ127" i="3"/>
  <c r="BQ128" i="3" s="1"/>
  <c r="AB138" i="3"/>
  <c r="AB135" i="3"/>
  <c r="BT126" i="3"/>
  <c r="BS132" i="3"/>
  <c r="AC109" i="3"/>
  <c r="AC114" i="3"/>
  <c r="AM119" i="3"/>
  <c r="AM121" i="3" s="1"/>
  <c r="BT110" i="3"/>
  <c r="BT118" i="3"/>
  <c r="BU2" i="3"/>
  <c r="BU45" i="3" s="1"/>
  <c r="BU50" i="3" l="1" a="1"/>
  <c r="BU50" i="3" s="1"/>
  <c r="BU137" i="3" a="1"/>
  <c r="BU137" i="3" s="1"/>
  <c r="BU120" i="3"/>
  <c r="BU112" i="3"/>
  <c r="BT132" i="3"/>
  <c r="BQ129" i="3"/>
  <c r="BR127" i="3"/>
  <c r="BR128" i="3" s="1"/>
  <c r="BU126" i="3"/>
  <c r="AC111" i="3"/>
  <c r="AN122" i="3"/>
  <c r="AN117" i="3"/>
  <c r="BU110" i="3"/>
  <c r="BU118" i="3"/>
  <c r="BV2" i="3"/>
  <c r="BV45" i="3" s="1"/>
  <c r="BV50" i="3" l="1" a="1"/>
  <c r="BV50" i="3" s="1"/>
  <c r="BV137" i="3" a="1"/>
  <c r="BV137" i="3" s="1"/>
  <c r="BV120" i="3"/>
  <c r="BV112" i="3"/>
  <c r="BR129" i="3"/>
  <c r="BS127" i="3"/>
  <c r="BS128" i="3" s="1"/>
  <c r="BU132" i="3"/>
  <c r="BV126" i="3"/>
  <c r="AC113" i="3"/>
  <c r="AN119" i="3"/>
  <c r="AN121" i="3" s="1"/>
  <c r="BV110" i="3"/>
  <c r="BV118" i="3"/>
  <c r="BW2" i="3"/>
  <c r="BW45" i="3" s="1"/>
  <c r="BW50" i="3" l="1" a="1"/>
  <c r="BW50" i="3" s="1"/>
  <c r="BW137" i="3" a="1"/>
  <c r="BW137" i="3" s="1"/>
  <c r="BW112" i="3"/>
  <c r="BW120" i="3"/>
  <c r="BS129" i="3"/>
  <c r="BT127" i="3"/>
  <c r="BT128" i="3" s="1"/>
  <c r="AC138" i="3"/>
  <c r="AC135" i="3"/>
  <c r="BW126" i="3"/>
  <c r="BV132" i="3"/>
  <c r="AD109" i="3"/>
  <c r="AD114" i="3"/>
  <c r="AO117" i="3"/>
  <c r="AO122" i="3"/>
  <c r="BW110" i="3"/>
  <c r="BW118" i="3"/>
  <c r="BX2" i="3"/>
  <c r="BX45" i="3" s="1"/>
  <c r="BX50" i="3" s="1" a="1"/>
  <c r="BX50" i="3" s="1"/>
  <c r="BX137" i="3" l="1" a="1"/>
  <c r="BX137" i="3" s="1"/>
  <c r="BX112" i="3"/>
  <c r="BX120" i="3"/>
  <c r="BT129" i="3"/>
  <c r="BU127" i="3"/>
  <c r="BU128" i="3" s="1"/>
  <c r="BX126" i="3"/>
  <c r="BW132" i="3"/>
  <c r="AD111" i="3"/>
  <c r="BX110" i="3"/>
  <c r="BX118" i="3"/>
  <c r="AO119" i="3"/>
  <c r="AO121" i="3" s="1"/>
  <c r="BY2" i="3"/>
  <c r="BY45" i="3" s="1"/>
  <c r="BY50" i="3" s="1" a="1"/>
  <c r="BY50" i="3" s="1"/>
  <c r="BY137" i="3" l="1" a="1"/>
  <c r="BY137" i="3" s="1"/>
  <c r="BY120" i="3"/>
  <c r="BY112" i="3"/>
  <c r="BU129" i="3"/>
  <c r="BV127" i="3"/>
  <c r="BV128" i="3" s="1"/>
  <c r="BY126" i="3"/>
  <c r="BX132" i="3"/>
  <c r="AD113" i="3"/>
  <c r="AP122" i="3"/>
  <c r="AP117" i="3"/>
  <c r="BY110" i="3"/>
  <c r="BY118" i="3"/>
  <c r="BZ2" i="3"/>
  <c r="BZ45" i="3" s="1"/>
  <c r="BZ50" i="3" s="1" a="1"/>
  <c r="BZ50" i="3" s="1"/>
  <c r="BZ137" i="3" l="1" a="1"/>
  <c r="BZ137" i="3" s="1"/>
  <c r="BZ120" i="3"/>
  <c r="BZ112" i="3"/>
  <c r="BW127" i="3"/>
  <c r="BW128" i="3" s="1"/>
  <c r="BV129" i="3"/>
  <c r="AD138" i="3"/>
  <c r="AD135" i="3"/>
  <c r="BZ126" i="3"/>
  <c r="BY132" i="3"/>
  <c r="AE114" i="3"/>
  <c r="AE109" i="3"/>
  <c r="AP119" i="3"/>
  <c r="AP121" i="3" s="1"/>
  <c r="BZ110" i="3"/>
  <c r="BZ118" i="3"/>
  <c r="CA2" i="3"/>
  <c r="CA45" i="3" s="1"/>
  <c r="CA50" i="3" l="1" a="1"/>
  <c r="CA50" i="3" s="1"/>
  <c r="BZ132" i="3"/>
  <c r="CA137" i="3" a="1"/>
  <c r="CA137" i="3" s="1"/>
  <c r="CA120" i="3"/>
  <c r="CA112" i="3"/>
  <c r="BW129" i="3"/>
  <c r="BX127" i="3"/>
  <c r="BX128" i="3" s="1"/>
  <c r="CA126" i="3"/>
  <c r="AE111" i="3"/>
  <c r="AQ122" i="3"/>
  <c r="AQ117" i="3"/>
  <c r="CA110" i="3"/>
  <c r="CA118" i="3"/>
  <c r="CB2" i="3"/>
  <c r="CB45" i="3" s="1"/>
  <c r="CB50" i="3" l="1" a="1"/>
  <c r="CB50" i="3" s="1"/>
  <c r="CB137" i="3" a="1"/>
  <c r="CB137" i="3" s="1"/>
  <c r="CB112" i="3"/>
  <c r="CB120" i="3"/>
  <c r="BX129" i="3"/>
  <c r="BY127" i="3"/>
  <c r="BY128" i="3" s="1"/>
  <c r="CB126" i="3"/>
  <c r="CA132" i="3"/>
  <c r="AE113" i="3"/>
  <c r="CB110" i="3"/>
  <c r="CB118" i="3"/>
  <c r="AQ119" i="3"/>
  <c r="AQ121" i="3" s="1"/>
  <c r="CC2" i="3"/>
  <c r="CC45" i="3" s="1"/>
  <c r="CC50" i="3" l="1" a="1"/>
  <c r="CC50" i="3" s="1"/>
  <c r="CB132" i="3"/>
  <c r="CC137" i="3" a="1"/>
  <c r="CC137" i="3" s="1"/>
  <c r="CC120" i="3"/>
  <c r="CC112" i="3"/>
  <c r="BY129" i="3"/>
  <c r="BZ127" i="3"/>
  <c r="BZ128" i="3" s="1"/>
  <c r="AE138" i="3"/>
  <c r="AE135" i="3"/>
  <c r="CC126" i="3"/>
  <c r="AF114" i="3"/>
  <c r="AF109" i="3"/>
  <c r="AR122" i="3"/>
  <c r="AR117" i="3"/>
  <c r="CC110" i="3"/>
  <c r="CC118" i="3"/>
  <c r="CD2" i="3"/>
  <c r="CD45" i="3" s="1"/>
  <c r="CD50" i="3" l="1" a="1"/>
  <c r="CD50" i="3" s="1"/>
  <c r="CD137" i="3" a="1"/>
  <c r="CD137" i="3" s="1"/>
  <c r="CD120" i="3"/>
  <c r="CD112" i="3"/>
  <c r="BZ129" i="3"/>
  <c r="CA127" i="3"/>
  <c r="CA128" i="3" s="1"/>
  <c r="CD126" i="3"/>
  <c r="CC132" i="3"/>
  <c r="AF111" i="3"/>
  <c r="CD110" i="3"/>
  <c r="CD118" i="3"/>
  <c r="AR119" i="3"/>
  <c r="AR121" i="3" s="1"/>
  <c r="CE2" i="3"/>
  <c r="CE45" i="3" s="1"/>
  <c r="CE50" i="3" l="1" a="1"/>
  <c r="CE50" i="3" s="1"/>
  <c r="CE137" i="3" a="1"/>
  <c r="CE137" i="3" s="1"/>
  <c r="CE112" i="3"/>
  <c r="CE120" i="3"/>
  <c r="CA129" i="3"/>
  <c r="CB127" i="3"/>
  <c r="CB128" i="3" s="1"/>
  <c r="CE126" i="3"/>
  <c r="CD132" i="3"/>
  <c r="AF113" i="3"/>
  <c r="AS122" i="3"/>
  <c r="AS117" i="3"/>
  <c r="CE110" i="3"/>
  <c r="CE118" i="3"/>
  <c r="CF2" i="3"/>
  <c r="CF45" i="3" s="1"/>
  <c r="CF50" i="3" l="1" a="1"/>
  <c r="CF50" i="3" s="1"/>
  <c r="CF137" i="3" a="1"/>
  <c r="CF137" i="3" s="1"/>
  <c r="CF112" i="3"/>
  <c r="CF120" i="3"/>
  <c r="CB129" i="3"/>
  <c r="CC127" i="3"/>
  <c r="CC128" i="3" s="1"/>
  <c r="AF138" i="3"/>
  <c r="AF135" i="3"/>
  <c r="CF126" i="3"/>
  <c r="CE132" i="3"/>
  <c r="AG114" i="3"/>
  <c r="AG109" i="3"/>
  <c r="AS119" i="3"/>
  <c r="AS121" i="3" s="1"/>
  <c r="CF110" i="3"/>
  <c r="CF118" i="3"/>
  <c r="CG2" i="3"/>
  <c r="CG45" i="3" s="1"/>
  <c r="CG50" i="3" l="1" a="1"/>
  <c r="CG50" i="3" s="1"/>
  <c r="CG137" i="3" a="1"/>
  <c r="CG137" i="3" s="1"/>
  <c r="CG120" i="3"/>
  <c r="CG112" i="3"/>
  <c r="CD127" i="3"/>
  <c r="CD128" i="3" s="1"/>
  <c r="CC129" i="3"/>
  <c r="CG126" i="3"/>
  <c r="CF132" i="3"/>
  <c r="AG111" i="3"/>
  <c r="AT122" i="3"/>
  <c r="AT117" i="3"/>
  <c r="CG110" i="3"/>
  <c r="CG118" i="3"/>
  <c r="CH2" i="3"/>
  <c r="CH45" i="3" s="1"/>
  <c r="CH50" i="3" l="1" a="1"/>
  <c r="CH50" i="3" s="1"/>
  <c r="CH137" i="3" a="1"/>
  <c r="CH137" i="3" s="1"/>
  <c r="CH120" i="3"/>
  <c r="CH112" i="3"/>
  <c r="CE127" i="3"/>
  <c r="CE128" i="3" s="1"/>
  <c r="CD129" i="3"/>
  <c r="CH126" i="3"/>
  <c r="CG132" i="3"/>
  <c r="AG113" i="3"/>
  <c r="AT119" i="3"/>
  <c r="AT121" i="3" s="1"/>
  <c r="CH110" i="3"/>
  <c r="CH118" i="3"/>
  <c r="CI2" i="3"/>
  <c r="CI45" i="3" s="1"/>
  <c r="CI50" i="3" l="1" a="1"/>
  <c r="CI50" i="3" s="1"/>
  <c r="CH132" i="3"/>
  <c r="CI137" i="3" a="1"/>
  <c r="CI137" i="3" s="1"/>
  <c r="CI120" i="3"/>
  <c r="CI112" i="3"/>
  <c r="CF127" i="3"/>
  <c r="CF128" i="3" s="1"/>
  <c r="CE129" i="3"/>
  <c r="AG138" i="3"/>
  <c r="AG135" i="3"/>
  <c r="CI126" i="3"/>
  <c r="AH114" i="3"/>
  <c r="AH109" i="3"/>
  <c r="AU122" i="3"/>
  <c r="AU117" i="3"/>
  <c r="CI110" i="3"/>
  <c r="CI118" i="3"/>
  <c r="CJ2" i="3"/>
  <c r="CJ45" i="3" s="1"/>
  <c r="CJ50" i="3" s="1" a="1"/>
  <c r="CJ50" i="3" s="1"/>
  <c r="CJ137" i="3" l="1" a="1"/>
  <c r="CJ137" i="3" s="1"/>
  <c r="CJ112" i="3"/>
  <c r="CJ120" i="3"/>
  <c r="CG127" i="3"/>
  <c r="CG128" i="3" s="1"/>
  <c r="CF129" i="3"/>
  <c r="CJ126" i="3"/>
  <c r="CI132" i="3"/>
  <c r="AH111" i="3"/>
  <c r="AU119" i="3"/>
  <c r="AU121" i="3" s="1"/>
  <c r="CJ110" i="3"/>
  <c r="CJ118" i="3"/>
  <c r="CK2" i="3"/>
  <c r="CK45" i="3" s="1"/>
  <c r="CK50" i="3" s="1" a="1"/>
  <c r="CK50" i="3" s="1"/>
  <c r="CK137" i="3" l="1" a="1"/>
  <c r="CK137" i="3" s="1"/>
  <c r="CK112" i="3"/>
  <c r="CK120" i="3"/>
  <c r="CG129" i="3"/>
  <c r="CH127" i="3"/>
  <c r="CH128" i="3" s="1"/>
  <c r="CK126" i="3"/>
  <c r="CJ132" i="3"/>
  <c r="AH113" i="3"/>
  <c r="AV122" i="3"/>
  <c r="AV117" i="3"/>
  <c r="CK110" i="3"/>
  <c r="CK118" i="3"/>
  <c r="CL2" i="3"/>
  <c r="CL45" i="3" s="1"/>
  <c r="CL50" i="3" l="1" a="1"/>
  <c r="CL50" i="3" s="1"/>
  <c r="CL137" i="3" a="1"/>
  <c r="CL137" i="3" s="1"/>
  <c r="CL112" i="3"/>
  <c r="CL120" i="3"/>
  <c r="CH129" i="3"/>
  <c r="CI127" i="3"/>
  <c r="CI128" i="3" s="1"/>
  <c r="AH138" i="3"/>
  <c r="AH135" i="3"/>
  <c r="CL126" i="3"/>
  <c r="CK132" i="3"/>
  <c r="AI114" i="3"/>
  <c r="AI109" i="3"/>
  <c r="CL110" i="3"/>
  <c r="CL118" i="3"/>
  <c r="AV119" i="3"/>
  <c r="AV121" i="3" s="1"/>
  <c r="CM2" i="3"/>
  <c r="CM45" i="3" s="1"/>
  <c r="CM50" i="3" l="1" a="1"/>
  <c r="CM50" i="3" s="1"/>
  <c r="CM137" i="3" a="1"/>
  <c r="CM137" i="3" s="1"/>
  <c r="CM112" i="3"/>
  <c r="CM120" i="3"/>
  <c r="CI129" i="3"/>
  <c r="CJ127" i="3"/>
  <c r="CJ128" i="3" s="1"/>
  <c r="CM126" i="3"/>
  <c r="CL132" i="3"/>
  <c r="AI111" i="3"/>
  <c r="AW122" i="3"/>
  <c r="AW117" i="3"/>
  <c r="CM110" i="3"/>
  <c r="CM118" i="3"/>
  <c r="CN2" i="3"/>
  <c r="CN45" i="3" s="1"/>
  <c r="CN50" i="3" l="1" a="1"/>
  <c r="CN50" i="3" s="1"/>
  <c r="CN137" i="3" a="1"/>
  <c r="CN137" i="3" s="1"/>
  <c r="CN120" i="3"/>
  <c r="CN112" i="3"/>
  <c r="CM132" i="3"/>
  <c r="CJ129" i="3"/>
  <c r="CK127" i="3"/>
  <c r="CK128" i="3" s="1"/>
  <c r="CN126" i="3"/>
  <c r="AI113" i="3"/>
  <c r="AW119" i="3"/>
  <c r="AW121" i="3" s="1"/>
  <c r="CN110" i="3"/>
  <c r="CN118" i="3"/>
  <c r="CO2" i="3"/>
  <c r="CO45" i="3" s="1"/>
  <c r="CO50" i="3" l="1" a="1"/>
  <c r="CO50" i="3" s="1"/>
  <c r="CO137" i="3" a="1"/>
  <c r="CO137" i="3" s="1"/>
  <c r="CO120" i="3"/>
  <c r="CO112" i="3"/>
  <c r="CN132" i="3"/>
  <c r="CK129" i="3"/>
  <c r="CL127" i="3"/>
  <c r="CL128" i="3" s="1"/>
  <c r="AI138" i="3"/>
  <c r="AI135" i="3"/>
  <c r="CO126" i="3"/>
  <c r="AJ114" i="3"/>
  <c r="AJ109" i="3"/>
  <c r="AX122" i="3"/>
  <c r="AX117" i="3"/>
  <c r="CO110" i="3"/>
  <c r="CO118" i="3"/>
  <c r="CP2" i="3"/>
  <c r="CP45" i="3" s="1"/>
  <c r="CP50" i="3" l="1" a="1"/>
  <c r="CP50" i="3" s="1"/>
  <c r="CP137" i="3" a="1"/>
  <c r="CP137" i="3" s="1"/>
  <c r="CP112" i="3"/>
  <c r="CP120" i="3"/>
  <c r="CL129" i="3"/>
  <c r="CM127" i="3"/>
  <c r="CM128" i="3" s="1"/>
  <c r="CP126" i="3"/>
  <c r="CO132" i="3"/>
  <c r="AJ111" i="3"/>
  <c r="CP110" i="3"/>
  <c r="CP118" i="3"/>
  <c r="AX119" i="3"/>
  <c r="AX121" i="3" s="1"/>
  <c r="CQ2" i="3"/>
  <c r="CQ45" i="3" s="1"/>
  <c r="CQ50" i="3" l="1" a="1"/>
  <c r="CQ50" i="3" s="1"/>
  <c r="CP132" i="3"/>
  <c r="CQ137" i="3" a="1"/>
  <c r="CQ137" i="3" s="1"/>
  <c r="CQ120" i="3"/>
  <c r="CQ112" i="3"/>
  <c r="CM129" i="3"/>
  <c r="CN127" i="3"/>
  <c r="CN128" i="3" s="1"/>
  <c r="CQ126" i="3"/>
  <c r="AJ113" i="3"/>
  <c r="AY117" i="3"/>
  <c r="AY122" i="3"/>
  <c r="CQ110" i="3"/>
  <c r="CQ118" i="3"/>
  <c r="CR2" i="3"/>
  <c r="CR45" i="3" s="1"/>
  <c r="CR50" i="3" l="1" a="1"/>
  <c r="CR50" i="3" s="1"/>
  <c r="CR137" i="3" a="1"/>
  <c r="CR137" i="3" s="1"/>
  <c r="CR120" i="3"/>
  <c r="CR112" i="3"/>
  <c r="CO127" i="3"/>
  <c r="CO128" i="3" s="1"/>
  <c r="CN129" i="3"/>
  <c r="AJ138" i="3"/>
  <c r="AJ135" i="3"/>
  <c r="CR126" i="3"/>
  <c r="CQ132" i="3"/>
  <c r="AK109" i="3"/>
  <c r="AK114" i="3"/>
  <c r="CR110" i="3"/>
  <c r="CR118" i="3"/>
  <c r="AY119" i="3"/>
  <c r="AY121" i="3" s="1"/>
  <c r="CS2" i="3"/>
  <c r="CS45" i="3" s="1"/>
  <c r="CS50" i="3" l="1" a="1"/>
  <c r="CS50" i="3" s="1"/>
  <c r="CS137" i="3" a="1"/>
  <c r="CS137" i="3" s="1"/>
  <c r="CS120" i="3"/>
  <c r="CS112" i="3"/>
  <c r="CO129" i="3"/>
  <c r="CP127" i="3"/>
  <c r="CP128" i="3" s="1"/>
  <c r="CS126" i="3"/>
  <c r="CR132" i="3"/>
  <c r="AK111" i="3"/>
  <c r="AZ122" i="3"/>
  <c r="AZ117" i="3"/>
  <c r="CS110" i="3"/>
  <c r="CS118" i="3"/>
  <c r="CT2" i="3"/>
  <c r="CT45" i="3" s="1"/>
  <c r="CT50" i="3" l="1" a="1"/>
  <c r="CT50" i="3" s="1"/>
  <c r="CT137" i="3" a="1"/>
  <c r="CT137" i="3" s="1"/>
  <c r="CT120" i="3"/>
  <c r="CT112" i="3"/>
  <c r="CP129" i="3"/>
  <c r="CQ127" i="3"/>
  <c r="CQ128" i="3" s="1"/>
  <c r="CT126" i="3"/>
  <c r="CS132" i="3"/>
  <c r="AK113" i="3"/>
  <c r="CT110" i="3"/>
  <c r="CT118" i="3"/>
  <c r="AZ119" i="3"/>
  <c r="AZ121" i="3" s="1"/>
  <c r="CU2" i="3"/>
  <c r="CU45" i="3" s="1"/>
  <c r="CU50" i="3" l="1" a="1"/>
  <c r="CU50" i="3" s="1"/>
  <c r="CU137" i="3" a="1"/>
  <c r="CU137" i="3" s="1"/>
  <c r="CU112" i="3"/>
  <c r="CU120" i="3"/>
  <c r="CQ129" i="3"/>
  <c r="CR127" i="3"/>
  <c r="CR128" i="3" s="1"/>
  <c r="AK138" i="3"/>
  <c r="AK135" i="3"/>
  <c r="CU126" i="3"/>
  <c r="CT132" i="3"/>
  <c r="AL109" i="3"/>
  <c r="AL114" i="3"/>
  <c r="BA117" i="3"/>
  <c r="BA122" i="3"/>
  <c r="CU110" i="3"/>
  <c r="CU118" i="3"/>
  <c r="CV2" i="3"/>
  <c r="CV45" i="3" s="1"/>
  <c r="CV50" i="3" s="1" a="1"/>
  <c r="CV50" i="3" s="1"/>
  <c r="CV137" i="3" l="1" a="1"/>
  <c r="CV137" i="3" s="1"/>
  <c r="CV112" i="3"/>
  <c r="CV120" i="3"/>
  <c r="CR129" i="3"/>
  <c r="CS127" i="3"/>
  <c r="CS128" i="3" s="1"/>
  <c r="CU132" i="3"/>
  <c r="CV126" i="3"/>
  <c r="AL111" i="3"/>
  <c r="CV110" i="3"/>
  <c r="CV118" i="3"/>
  <c r="BA119" i="3"/>
  <c r="BA121" i="3" s="1"/>
  <c r="CW2" i="3"/>
  <c r="CW45" i="3" s="1"/>
  <c r="CW50" i="3" s="1" a="1"/>
  <c r="CW50" i="3" s="1"/>
  <c r="CW137" i="3" l="1" a="1"/>
  <c r="CW137" i="3" s="1"/>
  <c r="CW120" i="3"/>
  <c r="CW112" i="3"/>
  <c r="CV132" i="3"/>
  <c r="CS129" i="3"/>
  <c r="CT127" i="3"/>
  <c r="CT128" i="3" s="1"/>
  <c r="CW126" i="3"/>
  <c r="AL113" i="3"/>
  <c r="BB122" i="3"/>
  <c r="BB117" i="3"/>
  <c r="CW110" i="3"/>
  <c r="CW118" i="3"/>
  <c r="CX2" i="3"/>
  <c r="CX45" i="3" s="1"/>
  <c r="CX50" i="3" s="1" a="1"/>
  <c r="CX50" i="3" s="1"/>
  <c r="CX137" i="3" l="1" a="1"/>
  <c r="CX137" i="3" s="1"/>
  <c r="CX112" i="3"/>
  <c r="CX120" i="3"/>
  <c r="CT129" i="3"/>
  <c r="CU127" i="3"/>
  <c r="CU128" i="3" s="1"/>
  <c r="AL138" i="3"/>
  <c r="AL135" i="3"/>
  <c r="CX126" i="3"/>
  <c r="CW132" i="3"/>
  <c r="AM109" i="3"/>
  <c r="AM114" i="3"/>
  <c r="BB119" i="3"/>
  <c r="BB121" i="3" s="1"/>
  <c r="CX110" i="3"/>
  <c r="CX118" i="3"/>
  <c r="CY2" i="3"/>
  <c r="CY45" i="3" s="1"/>
  <c r="CY50" i="3" l="1" a="1"/>
  <c r="CY50" i="3" s="1"/>
  <c r="CY137" i="3" a="1"/>
  <c r="CY137" i="3" s="1"/>
  <c r="CY120" i="3"/>
  <c r="CY112" i="3"/>
  <c r="CV127" i="3"/>
  <c r="CV128" i="3" s="1"/>
  <c r="CU129" i="3"/>
  <c r="CY126" i="3"/>
  <c r="CX132" i="3"/>
  <c r="AM111" i="3"/>
  <c r="BC122" i="3"/>
  <c r="BC117" i="3"/>
  <c r="CY110" i="3"/>
  <c r="CY118" i="3"/>
  <c r="CZ2" i="3"/>
  <c r="CZ45" i="3" s="1"/>
  <c r="CZ50" i="3" l="1" a="1"/>
  <c r="CZ50" i="3" s="1"/>
  <c r="CZ137" i="3" a="1"/>
  <c r="CZ137" i="3" s="1"/>
  <c r="CZ120" i="3"/>
  <c r="CZ112" i="3"/>
  <c r="CV129" i="3"/>
  <c r="CW127" i="3"/>
  <c r="CW128" i="3" s="1"/>
  <c r="CY132" i="3"/>
  <c r="CZ126" i="3"/>
  <c r="AM113" i="3"/>
  <c r="AN109" i="3" s="1"/>
  <c r="BC119" i="3"/>
  <c r="BC121" i="3" s="1"/>
  <c r="CZ110" i="3"/>
  <c r="CZ118" i="3"/>
  <c r="DA2" i="3"/>
  <c r="DA45" i="3" s="1"/>
  <c r="DA50" i="3" l="1" a="1"/>
  <c r="DA50" i="3" s="1"/>
  <c r="CZ132" i="3"/>
  <c r="DA137" i="3" a="1"/>
  <c r="DA137" i="3" s="1"/>
  <c r="DA120" i="3"/>
  <c r="DA112" i="3"/>
  <c r="CW129" i="3"/>
  <c r="CX127" i="3"/>
  <c r="CX128" i="3" s="1"/>
  <c r="AM138" i="3"/>
  <c r="AM135" i="3"/>
  <c r="DA126" i="3"/>
  <c r="AN114" i="3"/>
  <c r="BD122" i="3"/>
  <c r="BD117" i="3"/>
  <c r="DA110" i="3"/>
  <c r="DA118" i="3"/>
  <c r="DB2" i="3"/>
  <c r="DB45" i="3" s="1"/>
  <c r="DB50" i="3" l="1" a="1"/>
  <c r="DB50" i="3" s="1"/>
  <c r="DB137" i="3" a="1"/>
  <c r="DB137" i="3" s="1"/>
  <c r="DB120" i="3"/>
  <c r="DB112" i="3"/>
  <c r="CY127" i="3"/>
  <c r="CY128" i="3" s="1"/>
  <c r="CX129" i="3"/>
  <c r="DB126" i="3"/>
  <c r="AN111" i="3"/>
  <c r="DA132" i="3"/>
  <c r="DB110" i="3"/>
  <c r="DB118" i="3"/>
  <c r="BD119" i="3"/>
  <c r="BD121" i="3" s="1"/>
  <c r="DC2" i="3"/>
  <c r="DC45" i="3" s="1"/>
  <c r="DC50" i="3" l="1" a="1"/>
  <c r="DC50" i="3" s="1"/>
  <c r="AN113" i="3"/>
  <c r="AO114" i="3" s="1"/>
  <c r="DC137" i="3" a="1"/>
  <c r="DC137" i="3" s="1"/>
  <c r="DC112" i="3"/>
  <c r="DC120" i="3"/>
  <c r="CY129" i="3"/>
  <c r="CZ127" i="3"/>
  <c r="CZ128" i="3" s="1"/>
  <c r="AN138" i="3"/>
  <c r="DC126" i="3"/>
  <c r="DB132" i="3"/>
  <c r="BE117" i="3"/>
  <c r="BE122" i="3"/>
  <c r="DC110" i="3"/>
  <c r="DC118" i="3"/>
  <c r="DD2" i="3"/>
  <c r="DD45" i="3" s="1"/>
  <c r="DD50" i="3" l="1" a="1"/>
  <c r="DD50" i="3" s="1"/>
  <c r="AO109" i="3"/>
  <c r="DD137" i="3" a="1"/>
  <c r="DD137" i="3" s="1"/>
  <c r="DD120" i="3"/>
  <c r="DD112" i="3"/>
  <c r="CZ129" i="3"/>
  <c r="DA127" i="3"/>
  <c r="DA128" i="3" s="1"/>
  <c r="AN135" i="3"/>
  <c r="DC132" i="3"/>
  <c r="DD126" i="3"/>
  <c r="AO111" i="3"/>
  <c r="DD110" i="3"/>
  <c r="DD118" i="3"/>
  <c r="BE119" i="3"/>
  <c r="BE121" i="3" s="1"/>
  <c r="DE2" i="3"/>
  <c r="DE45" i="3" s="1"/>
  <c r="DE50" i="3" l="1" a="1"/>
  <c r="DE50" i="3" s="1"/>
  <c r="DE137" i="3" a="1"/>
  <c r="DE137" i="3" s="1"/>
  <c r="DE120" i="3"/>
  <c r="DE112" i="3"/>
  <c r="DA129" i="3"/>
  <c r="DB127" i="3"/>
  <c r="DB128" i="3" s="1"/>
  <c r="DE126" i="3"/>
  <c r="DD132" i="3"/>
  <c r="AO113" i="3"/>
  <c r="BF117" i="3"/>
  <c r="BF122" i="3"/>
  <c r="DE110" i="3"/>
  <c r="DE118" i="3"/>
  <c r="DF2" i="3"/>
  <c r="DF45" i="3" s="1"/>
  <c r="DF50" i="3" l="1" a="1"/>
  <c r="DF50" i="3" s="1"/>
  <c r="DF137" i="3" a="1"/>
  <c r="DF137" i="3" s="1"/>
  <c r="DF120" i="3"/>
  <c r="DF112" i="3"/>
  <c r="DB129" i="3"/>
  <c r="DC127" i="3"/>
  <c r="DC128" i="3" s="1"/>
  <c r="AO138" i="3"/>
  <c r="AO135" i="3"/>
  <c r="DE132" i="3"/>
  <c r="DF126" i="3"/>
  <c r="AP114" i="3"/>
  <c r="AP109" i="3"/>
  <c r="DF110" i="3"/>
  <c r="DF118" i="3"/>
  <c r="BF119" i="3"/>
  <c r="BF121" i="3" s="1"/>
  <c r="DG2" i="3"/>
  <c r="DG45" i="3" s="1"/>
  <c r="DG50" i="3" l="1" a="1"/>
  <c r="DG50" i="3" s="1"/>
  <c r="DG137" i="3" a="1"/>
  <c r="DG137" i="3" s="1"/>
  <c r="DG120" i="3"/>
  <c r="DG112" i="3"/>
  <c r="DC129" i="3"/>
  <c r="DD127" i="3"/>
  <c r="DD128" i="3" s="1"/>
  <c r="DG126" i="3"/>
  <c r="DF132" i="3"/>
  <c r="AP111" i="3"/>
  <c r="BG122" i="3"/>
  <c r="BG117" i="3"/>
  <c r="DG110" i="3"/>
  <c r="DG118" i="3"/>
  <c r="DH2" i="3"/>
  <c r="DH45" i="3" s="1"/>
  <c r="DH50" i="3" s="1" a="1"/>
  <c r="DH50" i="3" s="1"/>
  <c r="DH137" i="3" l="1" a="1"/>
  <c r="DH137" i="3" s="1"/>
  <c r="DH120" i="3"/>
  <c r="DH112" i="3"/>
  <c r="DE127" i="3"/>
  <c r="DE128" i="3" s="1"/>
  <c r="DD129" i="3"/>
  <c r="DH126" i="3"/>
  <c r="DG132" i="3"/>
  <c r="AP113" i="3"/>
  <c r="DH110" i="3"/>
  <c r="DH118" i="3"/>
  <c r="BG119" i="3"/>
  <c r="BG121" i="3" s="1"/>
  <c r="DI2" i="3"/>
  <c r="DI45" i="3" s="1"/>
  <c r="DI50" i="3" s="1" a="1"/>
  <c r="DI50" i="3" s="1"/>
  <c r="DI137" i="3" l="1" a="1"/>
  <c r="DI137" i="3" s="1"/>
  <c r="DI112" i="3"/>
  <c r="DI120" i="3"/>
  <c r="DE129" i="3"/>
  <c r="DF127" i="3"/>
  <c r="DF128" i="3" s="1"/>
  <c r="AP138" i="3"/>
  <c r="AP135" i="3"/>
  <c r="DI126" i="3"/>
  <c r="DH132" i="3"/>
  <c r="AQ109" i="3"/>
  <c r="AQ114" i="3"/>
  <c r="BH122" i="3"/>
  <c r="BH117" i="3"/>
  <c r="DI110" i="3"/>
  <c r="DI118" i="3"/>
  <c r="DJ2" i="3"/>
  <c r="DJ45" i="3" s="1"/>
  <c r="DJ50" i="3" l="1" a="1"/>
  <c r="DJ50" i="3" s="1"/>
  <c r="DJ137" i="3" a="1"/>
  <c r="DJ137" i="3" s="1"/>
  <c r="DJ120" i="3"/>
  <c r="DJ112" i="3"/>
  <c r="DF129" i="3"/>
  <c r="DG127" i="3"/>
  <c r="DG128" i="3" s="1"/>
  <c r="DI132" i="3"/>
  <c r="DJ126" i="3"/>
  <c r="AQ111" i="3"/>
  <c r="DJ110" i="3"/>
  <c r="DJ118" i="3"/>
  <c r="BH119" i="3"/>
  <c r="BH121" i="3" s="1"/>
  <c r="DK2" i="3"/>
  <c r="DK45" i="3" s="1"/>
  <c r="DK50" i="3" l="1" a="1"/>
  <c r="DK50" i="3" s="1"/>
  <c r="DK137" i="3" a="1"/>
  <c r="DK137" i="3" s="1"/>
  <c r="DK112" i="3"/>
  <c r="DK120" i="3"/>
  <c r="DH127" i="3"/>
  <c r="DH128" i="3" s="1"/>
  <c r="DG129" i="3"/>
  <c r="DK126" i="3"/>
  <c r="DJ132" i="3"/>
  <c r="AQ113" i="3"/>
  <c r="BI117" i="3"/>
  <c r="BI122" i="3"/>
  <c r="DK110" i="3"/>
  <c r="DK118" i="3"/>
  <c r="DL2" i="3"/>
  <c r="DL45" i="3" s="1"/>
  <c r="DL50" i="3" l="1" a="1"/>
  <c r="DL50" i="3" s="1"/>
  <c r="DL137" i="3" a="1"/>
  <c r="DL137" i="3" s="1"/>
  <c r="DL120" i="3"/>
  <c r="DL112" i="3"/>
  <c r="DH129" i="3"/>
  <c r="DI127" i="3"/>
  <c r="DI128" i="3" s="1"/>
  <c r="AQ138" i="3"/>
  <c r="AQ135" i="3"/>
  <c r="DL126" i="3"/>
  <c r="AR109" i="3"/>
  <c r="AR114" i="3"/>
  <c r="DK132" i="3"/>
  <c r="DL110" i="3"/>
  <c r="DL118" i="3"/>
  <c r="BI119" i="3"/>
  <c r="BI121" i="3" s="1"/>
  <c r="DM2" i="3"/>
  <c r="DM45" i="3" s="1"/>
  <c r="DM50" i="3" l="1" a="1"/>
  <c r="DM50" i="3" s="1"/>
  <c r="DM137" i="3" a="1"/>
  <c r="DM137" i="3" s="1"/>
  <c r="DM120" i="3"/>
  <c r="DM112" i="3"/>
  <c r="DI129" i="3"/>
  <c r="DJ127" i="3"/>
  <c r="DJ128" i="3" s="1"/>
  <c r="DM126" i="3"/>
  <c r="DL132" i="3"/>
  <c r="AR111" i="3"/>
  <c r="BJ122" i="3"/>
  <c r="BJ117" i="3"/>
  <c r="DM110" i="3"/>
  <c r="DM118" i="3"/>
  <c r="DN2" i="3"/>
  <c r="DN45" i="3" s="1"/>
  <c r="DN50" i="3" l="1" a="1"/>
  <c r="DN50" i="3" s="1"/>
  <c r="DN137" i="3" a="1"/>
  <c r="DN137" i="3" s="1"/>
  <c r="DN112" i="3"/>
  <c r="DN120" i="3"/>
  <c r="DJ129" i="3"/>
  <c r="DK127" i="3"/>
  <c r="DK128" i="3" s="1"/>
  <c r="DN126" i="3"/>
  <c r="DM132" i="3"/>
  <c r="AR113" i="3"/>
  <c r="DN110" i="3"/>
  <c r="DN118" i="3"/>
  <c r="BJ119" i="3"/>
  <c r="BJ121" i="3" s="1"/>
  <c r="DO2" i="3"/>
  <c r="DO45" i="3" s="1"/>
  <c r="DO50" i="3" l="1" a="1"/>
  <c r="DO50" i="3" s="1"/>
  <c r="DO137" i="3" a="1"/>
  <c r="DO137" i="3" s="1"/>
  <c r="DO120" i="3"/>
  <c r="DO112" i="3"/>
  <c r="DL127" i="3"/>
  <c r="DL128" i="3" s="1"/>
  <c r="DK129" i="3"/>
  <c r="AR138" i="3"/>
  <c r="AR135" i="3"/>
  <c r="DO126" i="3"/>
  <c r="DN132" i="3"/>
  <c r="AS109" i="3"/>
  <c r="AS114" i="3"/>
  <c r="BK122" i="3"/>
  <c r="BK117" i="3"/>
  <c r="DO110" i="3"/>
  <c r="DO118" i="3"/>
  <c r="DP2" i="3"/>
  <c r="DP45" i="3" s="1"/>
  <c r="DP50" i="3" l="1" a="1"/>
  <c r="DP50" i="3" s="1"/>
  <c r="DP137" i="3" a="1"/>
  <c r="DP137" i="3" s="1"/>
  <c r="DP112" i="3"/>
  <c r="DP120" i="3"/>
  <c r="DM127" i="3"/>
  <c r="DM128" i="3" s="1"/>
  <c r="DL129" i="3"/>
  <c r="DP126" i="3"/>
  <c r="DO132" i="3"/>
  <c r="AS111" i="3"/>
  <c r="BK119" i="3"/>
  <c r="BK121" i="3" s="1"/>
  <c r="DP110" i="3"/>
  <c r="DP118" i="3"/>
  <c r="DQ2" i="3"/>
  <c r="DQ45" i="3" s="1"/>
  <c r="DQ50" i="3" l="1" a="1"/>
  <c r="DQ50" i="3" s="1"/>
  <c r="DQ137" i="3" a="1"/>
  <c r="DQ137" i="3" s="1"/>
  <c r="DQ120" i="3"/>
  <c r="DQ112" i="3"/>
  <c r="DM129" i="3"/>
  <c r="DN127" i="3"/>
  <c r="DN128" i="3" s="1"/>
  <c r="DQ126" i="3"/>
  <c r="AS113" i="3"/>
  <c r="AT114" i="3" s="1"/>
  <c r="DP132" i="3"/>
  <c r="BL117" i="3"/>
  <c r="BL122" i="3"/>
  <c r="DQ110" i="3"/>
  <c r="DQ118" i="3"/>
  <c r="DR2" i="3"/>
  <c r="DR45" i="3" s="1"/>
  <c r="DR50" i="3" l="1" a="1"/>
  <c r="DR50" i="3" s="1"/>
  <c r="DR137" i="3" a="1"/>
  <c r="DR137" i="3" s="1"/>
  <c r="DR120" i="3"/>
  <c r="DR112" i="3"/>
  <c r="DN129" i="3"/>
  <c r="DO127" i="3"/>
  <c r="DO128" i="3" s="1"/>
  <c r="AS138" i="3"/>
  <c r="AS135" i="3"/>
  <c r="AT109" i="3"/>
  <c r="AT111" i="3" s="1"/>
  <c r="DR126" i="3"/>
  <c r="DQ132" i="3"/>
  <c r="DR110" i="3"/>
  <c r="DR118" i="3"/>
  <c r="BL119" i="3"/>
  <c r="BL121" i="3" s="1"/>
  <c r="DS2" i="3"/>
  <c r="DS45" i="3" s="1"/>
  <c r="DS50" i="3" l="1" a="1"/>
  <c r="DS50" i="3" s="1"/>
  <c r="DS137" i="3" a="1"/>
  <c r="DS137" i="3" s="1"/>
  <c r="DS112" i="3"/>
  <c r="DS120" i="3"/>
  <c r="DO129" i="3"/>
  <c r="DP127" i="3"/>
  <c r="DP128" i="3" s="1"/>
  <c r="DS126" i="3"/>
  <c r="AT113" i="3"/>
  <c r="DR132" i="3"/>
  <c r="BM117" i="3"/>
  <c r="BM122" i="3"/>
  <c r="DS110" i="3"/>
  <c r="DS118" i="3"/>
  <c r="DT2" i="3"/>
  <c r="DT45" i="3" s="1"/>
  <c r="DT50" i="3" s="1" a="1"/>
  <c r="DT50" i="3" s="1"/>
  <c r="DT137" i="3" l="1" a="1"/>
  <c r="DT137" i="3" s="1"/>
  <c r="DT120" i="3"/>
  <c r="DT112" i="3"/>
  <c r="DP129" i="3"/>
  <c r="DQ127" i="3"/>
  <c r="DQ128" i="3" s="1"/>
  <c r="AT138" i="3"/>
  <c r="AT135" i="3"/>
  <c r="DT126" i="3"/>
  <c r="DS132" i="3"/>
  <c r="AU114" i="3"/>
  <c r="AU109" i="3"/>
  <c r="DT110" i="3"/>
  <c r="DT118" i="3"/>
  <c r="BM119" i="3"/>
  <c r="BM121" i="3" s="1"/>
  <c r="DU2" i="3"/>
  <c r="DU45" i="3" s="1"/>
  <c r="DU50" i="3" s="1" a="1"/>
  <c r="DU50" i="3" s="1"/>
  <c r="DU137" i="3" l="1" a="1"/>
  <c r="DU137" i="3" s="1"/>
  <c r="DU120" i="3"/>
  <c r="DU112" i="3"/>
  <c r="DQ129" i="3"/>
  <c r="DR127" i="3"/>
  <c r="DR128" i="3" s="1"/>
  <c r="DT132" i="3"/>
  <c r="DU126" i="3"/>
  <c r="AU111" i="3"/>
  <c r="DU110" i="3"/>
  <c r="DU118" i="3"/>
  <c r="BN117" i="3"/>
  <c r="BN122" i="3"/>
  <c r="DV2" i="3"/>
  <c r="DV45" i="3" s="1"/>
  <c r="DV50" i="3" s="1" a="1"/>
  <c r="DV50" i="3" s="1"/>
  <c r="DV137" i="3" l="1" a="1"/>
  <c r="DV137" i="3" s="1"/>
  <c r="DV120" i="3"/>
  <c r="DV112" i="3"/>
  <c r="DR129" i="3"/>
  <c r="DS127" i="3"/>
  <c r="DS128" i="3" s="1"/>
  <c r="DV126" i="3"/>
  <c r="AU113" i="3"/>
  <c r="DV110" i="3"/>
  <c r="DV118" i="3"/>
  <c r="BN119" i="3"/>
  <c r="BN121" i="3" s="1"/>
  <c r="DW2" i="3"/>
  <c r="DW45" i="3" s="1"/>
  <c r="DW50" i="3" l="1" a="1"/>
  <c r="DW50" i="3" s="1"/>
  <c r="DW137" i="3" a="1"/>
  <c r="DW137" i="3" s="1"/>
  <c r="DW112" i="3"/>
  <c r="DW120" i="3"/>
  <c r="DS129" i="3"/>
  <c r="DT127" i="3"/>
  <c r="DT128" i="3" s="1"/>
  <c r="AU138" i="3"/>
  <c r="AU135" i="3"/>
  <c r="DW126" i="3"/>
  <c r="DV132" i="3"/>
  <c r="AV114" i="3"/>
  <c r="AV109" i="3"/>
  <c r="BO122" i="3"/>
  <c r="BO117" i="3"/>
  <c r="DW110" i="3"/>
  <c r="DW118" i="3"/>
  <c r="DX2" i="3"/>
  <c r="DX45" i="3" s="1"/>
  <c r="DX50" i="3" l="1" a="1"/>
  <c r="DX50" i="3" s="1"/>
  <c r="DX137" i="3" a="1"/>
  <c r="DX137" i="3" s="1"/>
  <c r="DX120" i="3"/>
  <c r="DX112" i="3"/>
  <c r="DU127" i="3"/>
  <c r="DU128" i="3" s="1"/>
  <c r="DT129" i="3"/>
  <c r="DX126" i="3"/>
  <c r="DW132" i="3"/>
  <c r="AV111" i="3"/>
  <c r="BO119" i="3"/>
  <c r="BO121" i="3" s="1"/>
  <c r="DX110" i="3"/>
  <c r="DX118" i="3"/>
  <c r="DY2" i="3"/>
  <c r="DY45" i="3" s="1"/>
  <c r="DY50" i="3" l="1" a="1"/>
  <c r="DY50" i="3" s="1"/>
  <c r="DY137" i="3" a="1"/>
  <c r="DY137" i="3" s="1"/>
  <c r="DY112" i="3"/>
  <c r="DY120" i="3"/>
  <c r="DU129" i="3"/>
  <c r="DV127" i="3"/>
  <c r="DV128" i="3" s="1"/>
  <c r="DY126" i="3"/>
  <c r="DX132" i="3"/>
  <c r="AV113" i="3"/>
  <c r="BP122" i="3"/>
  <c r="BP117" i="3"/>
  <c r="DY110" i="3"/>
  <c r="DY118" i="3"/>
  <c r="DZ2" i="3"/>
  <c r="DZ45" i="3" s="1"/>
  <c r="DZ50" i="3" l="1" a="1"/>
  <c r="DZ50" i="3" s="1"/>
  <c r="DZ137" i="3" a="1"/>
  <c r="DZ137" i="3" s="1"/>
  <c r="DZ120" i="3"/>
  <c r="DZ112" i="3"/>
  <c r="DV129" i="3"/>
  <c r="DW127" i="3"/>
  <c r="DW128" i="3" s="1"/>
  <c r="AV138" i="3"/>
  <c r="AV135" i="3"/>
  <c r="DZ126" i="3"/>
  <c r="DY132" i="3"/>
  <c r="AW109" i="3"/>
  <c r="AW114" i="3"/>
  <c r="BP119" i="3"/>
  <c r="BP121" i="3" s="1"/>
  <c r="DZ110" i="3"/>
  <c r="DZ118" i="3"/>
  <c r="EA2" i="3"/>
  <c r="EA45" i="3" s="1"/>
  <c r="EA50" i="3" l="1" a="1"/>
  <c r="EA50" i="3" s="1"/>
  <c r="EA137" i="3" a="1"/>
  <c r="EA137" i="3" s="1"/>
  <c r="EA112" i="3"/>
  <c r="EA120" i="3"/>
  <c r="DW129" i="3"/>
  <c r="DX127" i="3"/>
  <c r="DX128" i="3" s="1"/>
  <c r="EA126" i="3"/>
  <c r="AW111" i="3"/>
  <c r="DZ132" i="3"/>
  <c r="BQ117" i="3"/>
  <c r="BQ122" i="3"/>
  <c r="EA110" i="3"/>
  <c r="EA118" i="3"/>
  <c r="EB2" i="3"/>
  <c r="EB45" i="3" s="1"/>
  <c r="EB50" i="3" l="1" a="1"/>
  <c r="EB50" i="3" s="1"/>
  <c r="EB137" i="3" a="1"/>
  <c r="EB137" i="3" s="1"/>
  <c r="EB120" i="3"/>
  <c r="EB112" i="3"/>
  <c r="DX129" i="3"/>
  <c r="DY127" i="3"/>
  <c r="DY128" i="3" s="1"/>
  <c r="EB126" i="3"/>
  <c r="EA132" i="3"/>
  <c r="AW113" i="3"/>
  <c r="EB110" i="3"/>
  <c r="EB118" i="3"/>
  <c r="BQ119" i="3"/>
  <c r="BQ121" i="3" s="1"/>
  <c r="EC2" i="3"/>
  <c r="EC45" i="3" s="1"/>
  <c r="EC50" i="3" l="1" a="1"/>
  <c r="EC50" i="3" s="1"/>
  <c r="EC137" i="3" a="1"/>
  <c r="EC137" i="3" s="1"/>
  <c r="EC120" i="3"/>
  <c r="EC112" i="3"/>
  <c r="DY129" i="3"/>
  <c r="DZ127" i="3"/>
  <c r="DZ128" i="3" s="1"/>
  <c r="AW138" i="3"/>
  <c r="AW135" i="3"/>
  <c r="EC126" i="3"/>
  <c r="EB132" i="3"/>
  <c r="AX114" i="3"/>
  <c r="AX109" i="3"/>
  <c r="BR122" i="3"/>
  <c r="BR117" i="3"/>
  <c r="EC110" i="3"/>
  <c r="EC118" i="3"/>
  <c r="ED2" i="3"/>
  <c r="ED45" i="3" s="1"/>
  <c r="ED50" i="3" l="1" a="1"/>
  <c r="ED50" i="3" s="1"/>
  <c r="ED137" i="3" a="1"/>
  <c r="ED137" i="3" s="1"/>
  <c r="ED120" i="3"/>
  <c r="ED112" i="3"/>
  <c r="DZ129" i="3"/>
  <c r="EA127" i="3"/>
  <c r="EA128" i="3" s="1"/>
  <c r="ED126" i="3"/>
  <c r="EC132" i="3"/>
  <c r="AX111" i="3"/>
  <c r="ED110" i="3"/>
  <c r="ED118" i="3"/>
  <c r="BR119" i="3"/>
  <c r="BR121" i="3" s="1"/>
  <c r="EE2" i="3"/>
  <c r="EE45" i="3" s="1"/>
  <c r="EE50" i="3" l="1" a="1"/>
  <c r="EE50" i="3" s="1"/>
  <c r="EE137" i="3" a="1"/>
  <c r="EE137" i="3" s="1"/>
  <c r="EE120" i="3"/>
  <c r="EE112" i="3"/>
  <c r="EA129" i="3"/>
  <c r="EB127" i="3"/>
  <c r="EB128" i="3" s="1"/>
  <c r="EE126" i="3"/>
  <c r="ED132" i="3"/>
  <c r="AX113" i="3"/>
  <c r="BS122" i="3"/>
  <c r="BS117" i="3"/>
  <c r="EE110" i="3"/>
  <c r="EE118" i="3"/>
  <c r="EF2" i="3"/>
  <c r="EF45" i="3" s="1"/>
  <c r="EF50" i="3" s="1" a="1"/>
  <c r="EF50" i="3" s="1"/>
  <c r="EF137" i="3" l="1" a="1"/>
  <c r="EF137" i="3" s="1"/>
  <c r="EF120" i="3"/>
  <c r="EF112" i="3"/>
  <c r="EB129" i="3"/>
  <c r="EC127" i="3"/>
  <c r="EC128" i="3" s="1"/>
  <c r="AX138" i="3"/>
  <c r="AX135" i="3"/>
  <c r="EF126" i="3"/>
  <c r="EE132" i="3"/>
  <c r="AY114" i="3"/>
  <c r="AY109" i="3"/>
  <c r="EF110" i="3"/>
  <c r="EF118" i="3"/>
  <c r="BS119" i="3"/>
  <c r="BS121" i="3" s="1"/>
  <c r="EG2" i="3"/>
  <c r="EG45" i="3" s="1"/>
  <c r="EG50" i="3" s="1" a="1"/>
  <c r="EG50" i="3" s="1"/>
  <c r="EG137" i="3" l="1" a="1"/>
  <c r="EG137" i="3" s="1"/>
  <c r="EG120" i="3"/>
  <c r="EG112" i="3"/>
  <c r="EC129" i="3"/>
  <c r="ED127" i="3"/>
  <c r="ED128" i="3" s="1"/>
  <c r="EF132" i="3"/>
  <c r="EG126" i="3"/>
  <c r="AY111" i="3"/>
  <c r="BT117" i="3"/>
  <c r="BT122" i="3"/>
  <c r="EG110" i="3"/>
  <c r="EG118" i="3"/>
  <c r="EH2" i="3"/>
  <c r="EH45" i="3" s="1"/>
  <c r="EH50" i="3" l="1" a="1"/>
  <c r="EH50" i="3" s="1"/>
  <c r="EH137" i="3" a="1"/>
  <c r="EH137" i="3" s="1"/>
  <c r="EH120" i="3"/>
  <c r="EH112" i="3"/>
  <c r="EE127" i="3"/>
  <c r="EE128" i="3" s="1"/>
  <c r="ED129" i="3"/>
  <c r="EH126" i="3"/>
  <c r="AY113" i="3"/>
  <c r="EH110" i="3"/>
  <c r="EH118" i="3"/>
  <c r="BT119" i="3"/>
  <c r="BT121" i="3" s="1"/>
  <c r="EI2" i="3"/>
  <c r="EI45" i="3" s="1"/>
  <c r="EI50" i="3" l="1" a="1"/>
  <c r="EI50" i="3" s="1"/>
  <c r="EI137" i="3" a="1"/>
  <c r="EI137" i="3" s="1"/>
  <c r="EI120" i="3"/>
  <c r="EI112" i="3"/>
  <c r="EE129" i="3"/>
  <c r="EF127" i="3"/>
  <c r="EF128" i="3" s="1"/>
  <c r="AY138" i="3"/>
  <c r="AY135" i="3"/>
  <c r="EI126" i="3"/>
  <c r="EH132" i="3"/>
  <c r="AZ114" i="3"/>
  <c r="AZ109" i="3"/>
  <c r="BU122" i="3"/>
  <c r="BU117" i="3"/>
  <c r="EI110" i="3"/>
  <c r="EI118" i="3"/>
  <c r="EJ2" i="3"/>
  <c r="EJ45" i="3" s="1"/>
  <c r="EJ50" i="3" l="1" a="1"/>
  <c r="EJ50" i="3" s="1"/>
  <c r="EJ137" i="3" a="1"/>
  <c r="EJ137" i="3" s="1"/>
  <c r="EJ120" i="3"/>
  <c r="EJ112" i="3"/>
  <c r="EF129" i="3"/>
  <c r="EG127" i="3"/>
  <c r="EG128" i="3" s="1"/>
  <c r="EI132" i="3"/>
  <c r="EJ126" i="3"/>
  <c r="AZ111" i="3"/>
  <c r="BU119" i="3"/>
  <c r="BU121" i="3" s="1"/>
  <c r="EJ110" i="3"/>
  <c r="EJ118" i="3"/>
  <c r="EK2" i="3"/>
  <c r="EK45" i="3" s="1"/>
  <c r="EK50" i="3" l="1" a="1"/>
  <c r="EK50" i="3" s="1"/>
  <c r="EK137" i="3" a="1"/>
  <c r="EK137" i="3" s="1"/>
  <c r="EK120" i="3"/>
  <c r="EK112" i="3"/>
  <c r="EH127" i="3"/>
  <c r="EH128" i="3" s="1"/>
  <c r="EG129" i="3"/>
  <c r="EK126" i="3"/>
  <c r="EJ132" i="3"/>
  <c r="AZ113" i="3"/>
  <c r="BV122" i="3"/>
  <c r="BV117" i="3"/>
  <c r="EK110" i="3"/>
  <c r="EK118" i="3"/>
  <c r="EL2" i="3"/>
  <c r="EL45" i="3" s="1"/>
  <c r="EL50" i="3" l="1" a="1"/>
  <c r="EL50" i="3" s="1"/>
  <c r="EL137" i="3" a="1"/>
  <c r="EL137" i="3" s="1"/>
  <c r="EL112" i="3"/>
  <c r="EL120" i="3"/>
  <c r="EH129" i="3"/>
  <c r="EI127" i="3"/>
  <c r="EI128" i="3" s="1"/>
  <c r="AZ138" i="3"/>
  <c r="AZ135" i="3"/>
  <c r="EK132" i="3"/>
  <c r="EL126" i="3"/>
  <c r="BA114" i="3"/>
  <c r="BA109" i="3"/>
  <c r="EL110" i="3"/>
  <c r="EL118" i="3"/>
  <c r="BV119" i="3"/>
  <c r="BV121" i="3" s="1"/>
  <c r="EM2" i="3"/>
  <c r="EM45" i="3" s="1"/>
  <c r="EM50" i="3" l="1" a="1"/>
  <c r="EM50" i="3" s="1"/>
  <c r="EM137" i="3" a="1"/>
  <c r="EM137" i="3" s="1"/>
  <c r="EM120" i="3"/>
  <c r="EM112" i="3"/>
  <c r="EI129" i="3"/>
  <c r="EJ127" i="3"/>
  <c r="EJ128" i="3" s="1"/>
  <c r="EM126" i="3"/>
  <c r="EL132" i="3"/>
  <c r="BA111" i="3"/>
  <c r="BW122" i="3"/>
  <c r="BW117" i="3"/>
  <c r="EM110" i="3"/>
  <c r="EM118" i="3"/>
  <c r="EN2" i="3"/>
  <c r="EN45" i="3" s="1"/>
  <c r="EN50" i="3" l="1" a="1"/>
  <c r="EN50" i="3" s="1"/>
  <c r="EN137" i="3" a="1"/>
  <c r="EN137" i="3" s="1"/>
  <c r="EN120" i="3"/>
  <c r="EN112" i="3"/>
  <c r="EK127" i="3"/>
  <c r="EK128" i="3" s="1"/>
  <c r="EJ129" i="3"/>
  <c r="EM132" i="3"/>
  <c r="EN126" i="3"/>
  <c r="BA113" i="3"/>
  <c r="BW119" i="3"/>
  <c r="BW121" i="3" s="1"/>
  <c r="EN110" i="3"/>
  <c r="EN118" i="3"/>
  <c r="EO2" i="3"/>
  <c r="EO45" i="3" s="1"/>
  <c r="EO50" i="3" l="1" a="1"/>
  <c r="EO50" i="3" s="1"/>
  <c r="EO137" i="3" a="1"/>
  <c r="EO137" i="3" s="1"/>
  <c r="EO112" i="3"/>
  <c r="EO120" i="3"/>
  <c r="EK129" i="3"/>
  <c r="EL127" i="3"/>
  <c r="EL128" i="3" s="1"/>
  <c r="BA138" i="3"/>
  <c r="BA135" i="3"/>
  <c r="EO126" i="3"/>
  <c r="EN132" i="3"/>
  <c r="BB109" i="3"/>
  <c r="BB114" i="3"/>
  <c r="BX122" i="3"/>
  <c r="BX117" i="3"/>
  <c r="EO110" i="3"/>
  <c r="EO118" i="3"/>
  <c r="EP2" i="3"/>
  <c r="EP45" i="3" s="1"/>
  <c r="EP50" i="3" l="1" a="1"/>
  <c r="EP50" i="3" s="1"/>
  <c r="EP137" i="3" a="1"/>
  <c r="EP137" i="3" s="1"/>
  <c r="EP112" i="3"/>
  <c r="EP120" i="3"/>
  <c r="EL129" i="3"/>
  <c r="EM127" i="3"/>
  <c r="EM128" i="3" s="1"/>
  <c r="EO132" i="3"/>
  <c r="EP126" i="3"/>
  <c r="BB111" i="3"/>
  <c r="BX119" i="3"/>
  <c r="BX121" i="3" s="1"/>
  <c r="EP110" i="3"/>
  <c r="EP118" i="3"/>
  <c r="EQ2" i="3"/>
  <c r="EQ45" i="3" s="1"/>
  <c r="EQ50" i="3" l="1" a="1"/>
  <c r="EQ50" i="3" s="1"/>
  <c r="EP132" i="3"/>
  <c r="EQ137" i="3" a="1"/>
  <c r="EQ137" i="3" s="1"/>
  <c r="EQ112" i="3"/>
  <c r="EQ120" i="3"/>
  <c r="EM129" i="3"/>
  <c r="EN127" i="3"/>
  <c r="EN128" i="3" s="1"/>
  <c r="EQ126" i="3"/>
  <c r="BB113" i="3"/>
  <c r="BY122" i="3"/>
  <c r="BY117" i="3"/>
  <c r="EQ110" i="3"/>
  <c r="EQ118" i="3"/>
  <c r="ER2" i="3"/>
  <c r="ER45" i="3" s="1"/>
  <c r="ER50" i="3" s="1" a="1"/>
  <c r="ER50" i="3" s="1"/>
  <c r="ER137" i="3" l="1" a="1"/>
  <c r="ER137" i="3" s="1"/>
  <c r="ER120" i="3"/>
  <c r="ER112" i="3"/>
  <c r="EN129" i="3"/>
  <c r="EO127" i="3"/>
  <c r="EO128" i="3" s="1"/>
  <c r="BB138" i="3"/>
  <c r="BB135" i="3"/>
  <c r="EQ132" i="3"/>
  <c r="ER126" i="3"/>
  <c r="BC109" i="3"/>
  <c r="BC114" i="3"/>
  <c r="ER110" i="3"/>
  <c r="ER118" i="3"/>
  <c r="BY119" i="3"/>
  <c r="BY121" i="3" s="1"/>
  <c r="ES2" i="3"/>
  <c r="ES45" i="3" s="1"/>
  <c r="ES50" i="3" s="1" a="1"/>
  <c r="ES50" i="3" s="1"/>
  <c r="ES137" i="3" l="1" a="1"/>
  <c r="ES137" i="3" s="1"/>
  <c r="ES120" i="3"/>
  <c r="ES112" i="3"/>
  <c r="EO129" i="3"/>
  <c r="EP127" i="3"/>
  <c r="EP128" i="3" s="1"/>
  <c r="ER132" i="3"/>
  <c r="ES126" i="3"/>
  <c r="BC111" i="3"/>
  <c r="BZ122" i="3"/>
  <c r="BZ117" i="3"/>
  <c r="ES110" i="3"/>
  <c r="ES118" i="3"/>
  <c r="ET2" i="3"/>
  <c r="ET45" i="3" s="1"/>
  <c r="ET50" i="3" s="1" a="1"/>
  <c r="ET50" i="3" s="1"/>
  <c r="ET137" i="3" l="1" a="1"/>
  <c r="ET137" i="3" s="1"/>
  <c r="ET112" i="3"/>
  <c r="ET120" i="3"/>
  <c r="BC113" i="3"/>
  <c r="BD114" i="3" s="1"/>
  <c r="EP129" i="3"/>
  <c r="EQ127" i="3"/>
  <c r="EQ128" i="3" s="1"/>
  <c r="ET126" i="3"/>
  <c r="ET110" i="3"/>
  <c r="ET118" i="3"/>
  <c r="BZ119" i="3"/>
  <c r="BZ121" i="3" s="1"/>
  <c r="EU2" i="3"/>
  <c r="EU45" i="3" s="1"/>
  <c r="EU50" i="3" l="1" a="1"/>
  <c r="EU50" i="3" s="1"/>
  <c r="EU137" i="3" a="1"/>
  <c r="EU137" i="3" s="1"/>
  <c r="EU112" i="3"/>
  <c r="EU120" i="3"/>
  <c r="BD109" i="3"/>
  <c r="BD111" i="3" s="1"/>
  <c r="EQ129" i="3"/>
  <c r="ER127" i="3"/>
  <c r="ER128" i="3" s="1"/>
  <c r="BC138" i="3"/>
  <c r="BC135" i="3"/>
  <c r="EU126" i="3"/>
  <c r="ET132" i="3"/>
  <c r="CA122" i="3"/>
  <c r="CA117" i="3"/>
  <c r="EU110" i="3"/>
  <c r="EU118" i="3"/>
  <c r="EV2" i="3"/>
  <c r="EV45" i="3" s="1"/>
  <c r="EV50" i="3" l="1" a="1"/>
  <c r="EV50" i="3" s="1"/>
  <c r="EV137" i="3" a="1"/>
  <c r="EV137" i="3" s="1"/>
  <c r="EV120" i="3"/>
  <c r="EV112" i="3"/>
  <c r="ES127" i="3"/>
  <c r="ES128" i="3" s="1"/>
  <c r="ER129" i="3"/>
  <c r="EV126" i="3"/>
  <c r="EU132" i="3"/>
  <c r="BD113" i="3"/>
  <c r="EV110" i="3"/>
  <c r="EV118" i="3"/>
  <c r="CA119" i="3"/>
  <c r="CA121" i="3" s="1"/>
  <c r="EW2" i="3"/>
  <c r="EW45" i="3" s="1"/>
  <c r="EW50" i="3" l="1" a="1"/>
  <c r="EW50" i="3" s="1"/>
  <c r="EW137" i="3" a="1"/>
  <c r="EW137" i="3" s="1"/>
  <c r="EW120" i="3"/>
  <c r="EW112" i="3"/>
  <c r="ES129" i="3"/>
  <c r="ET127" i="3"/>
  <c r="ET128" i="3" s="1"/>
  <c r="BD138" i="3"/>
  <c r="BD135" i="3"/>
  <c r="EW126" i="3"/>
  <c r="EV132" i="3"/>
  <c r="BE109" i="3"/>
  <c r="BE114" i="3"/>
  <c r="CB122" i="3"/>
  <c r="CB117" i="3"/>
  <c r="EW110" i="3"/>
  <c r="EW118" i="3"/>
  <c r="EX2" i="3"/>
  <c r="EX45" i="3" s="1"/>
  <c r="EX50" i="3" l="1" a="1"/>
  <c r="EX50" i="3" s="1"/>
  <c r="EX137" i="3" a="1"/>
  <c r="EX137" i="3" s="1"/>
  <c r="EX120" i="3"/>
  <c r="EX112" i="3"/>
  <c r="EW132" i="3"/>
  <c r="ET129" i="3"/>
  <c r="EU127" i="3"/>
  <c r="EU128" i="3" s="1"/>
  <c r="EX126" i="3"/>
  <c r="BE111" i="3"/>
  <c r="CB119" i="3"/>
  <c r="CB121" i="3" s="1"/>
  <c r="EX110" i="3"/>
  <c r="EX118" i="3"/>
  <c r="EY2" i="3"/>
  <c r="EY45" i="3" s="1"/>
  <c r="EY50" i="3" l="1" a="1"/>
  <c r="EY50" i="3" s="1"/>
  <c r="EY137" i="3" a="1"/>
  <c r="EY137" i="3" s="1"/>
  <c r="EY112" i="3"/>
  <c r="EY120" i="3"/>
  <c r="EU129" i="3"/>
  <c r="EV127" i="3"/>
  <c r="EV128" i="3" s="1"/>
  <c r="EY126" i="3"/>
  <c r="EX132" i="3"/>
  <c r="BE113" i="3"/>
  <c r="CC122" i="3"/>
  <c r="CC117" i="3"/>
  <c r="EY110" i="3"/>
  <c r="EY118" i="3"/>
  <c r="EZ2" i="3"/>
  <c r="EZ45" i="3" s="1"/>
  <c r="EZ50" i="3" l="1" a="1"/>
  <c r="EZ50" i="3" s="1"/>
  <c r="EZ137" i="3" a="1"/>
  <c r="EZ137" i="3" s="1"/>
  <c r="EZ120" i="3"/>
  <c r="EZ112" i="3"/>
  <c r="EW127" i="3"/>
  <c r="EW128" i="3" s="1"/>
  <c r="EV129" i="3"/>
  <c r="BE138" i="3"/>
  <c r="BE135" i="3"/>
  <c r="EZ126" i="3"/>
  <c r="EY132" i="3"/>
  <c r="BF114" i="3"/>
  <c r="BF109" i="3"/>
  <c r="EZ110" i="3"/>
  <c r="EZ118" i="3"/>
  <c r="CC119" i="3"/>
  <c r="CC121" i="3" s="1"/>
  <c r="FA2" i="3"/>
  <c r="FA45" i="3" s="1"/>
  <c r="FA50" i="3" l="1" a="1"/>
  <c r="FA50" i="3" s="1"/>
  <c r="FA137" i="3" a="1"/>
  <c r="FA137" i="3" s="1"/>
  <c r="FA112" i="3"/>
  <c r="FA120" i="3"/>
  <c r="EW129" i="3"/>
  <c r="EX127" i="3"/>
  <c r="EX128" i="3" s="1"/>
  <c r="EZ132" i="3"/>
  <c r="FA126" i="3"/>
  <c r="BF111" i="3"/>
  <c r="CD117" i="3"/>
  <c r="CD122" i="3"/>
  <c r="FA110" i="3"/>
  <c r="FA118" i="3"/>
  <c r="FB2" i="3"/>
  <c r="FB45" i="3" s="1"/>
  <c r="FB50" i="3" l="1" a="1"/>
  <c r="FB50" i="3" s="1"/>
  <c r="FB137" i="3" a="1"/>
  <c r="FB137" i="3" s="1"/>
  <c r="FB120" i="3"/>
  <c r="FB112" i="3"/>
  <c r="EX129" i="3"/>
  <c r="EY127" i="3"/>
  <c r="EY128" i="3" s="1"/>
  <c r="FA132" i="3"/>
  <c r="FB126" i="3"/>
  <c r="BF113" i="3"/>
  <c r="FB110" i="3"/>
  <c r="FB118" i="3"/>
  <c r="CD119" i="3"/>
  <c r="CD121" i="3" s="1"/>
  <c r="FC2" i="3"/>
  <c r="FC45" i="3" s="1"/>
  <c r="FC50" i="3" l="1" a="1"/>
  <c r="FC50" i="3" s="1"/>
  <c r="FC137" i="3" a="1"/>
  <c r="FC137" i="3" s="1"/>
  <c r="FC112" i="3"/>
  <c r="FC120" i="3"/>
  <c r="EY129" i="3"/>
  <c r="EZ127" i="3"/>
  <c r="EZ128" i="3" s="1"/>
  <c r="BF138" i="3"/>
  <c r="BF135" i="3"/>
  <c r="FC126" i="3"/>
  <c r="FB132" i="3"/>
  <c r="BG114" i="3"/>
  <c r="BG109" i="3"/>
  <c r="CE117" i="3"/>
  <c r="CE122" i="3"/>
  <c r="FC110" i="3"/>
  <c r="FC118" i="3"/>
  <c r="FD2" i="3"/>
  <c r="FD45" i="3" s="1"/>
  <c r="FD50" i="3" s="1" a="1"/>
  <c r="FD50" i="3" s="1"/>
  <c r="FD137" i="3" l="1" a="1"/>
  <c r="FD137" i="3" s="1"/>
  <c r="FD112" i="3"/>
  <c r="FD120" i="3"/>
  <c r="FC132" i="3"/>
  <c r="FA127" i="3"/>
  <c r="FA128" i="3" s="1"/>
  <c r="EZ129" i="3"/>
  <c r="FD126" i="3"/>
  <c r="BG111" i="3"/>
  <c r="FD110" i="3"/>
  <c r="FD118" i="3"/>
  <c r="CE119" i="3"/>
  <c r="CE121" i="3" s="1"/>
  <c r="FE2" i="3"/>
  <c r="FE45" i="3" s="1"/>
  <c r="FE50" i="3" s="1" a="1"/>
  <c r="FE50" i="3" s="1"/>
  <c r="FE137" i="3" l="1" a="1"/>
  <c r="FE137" i="3" s="1"/>
  <c r="FE112" i="3"/>
  <c r="FE120" i="3"/>
  <c r="FA129" i="3"/>
  <c r="FB127" i="3"/>
  <c r="FB128" i="3" s="1"/>
  <c r="FE126" i="3"/>
  <c r="FD132" i="3"/>
  <c r="BG113" i="3"/>
  <c r="CF122" i="3"/>
  <c r="CF117" i="3"/>
  <c r="FE110" i="3"/>
  <c r="FE118" i="3"/>
  <c r="FF2" i="3"/>
  <c r="FF45" i="3" s="1"/>
  <c r="FF50" i="3" l="1" a="1"/>
  <c r="FF50" i="3" s="1"/>
  <c r="FF137" i="3" a="1"/>
  <c r="FF137" i="3" s="1"/>
  <c r="FF120" i="3"/>
  <c r="FF112" i="3"/>
  <c r="FC127" i="3"/>
  <c r="FC128" i="3" s="1"/>
  <c r="FB129" i="3"/>
  <c r="BG138" i="3"/>
  <c r="BG135" i="3"/>
  <c r="FF126" i="3"/>
  <c r="FE132" i="3"/>
  <c r="BH109" i="3"/>
  <c r="BH114" i="3"/>
  <c r="CF119" i="3"/>
  <c r="CF121" i="3" s="1"/>
  <c r="FF110" i="3"/>
  <c r="FF118" i="3"/>
  <c r="FG2" i="3"/>
  <c r="FG45" i="3" s="1"/>
  <c r="FG50" i="3" l="1" a="1"/>
  <c r="FG50" i="3" s="1"/>
  <c r="FG137" i="3" a="1"/>
  <c r="FG137" i="3" s="1"/>
  <c r="FG112" i="3"/>
  <c r="FG120" i="3"/>
  <c r="FC129" i="3"/>
  <c r="FD127" i="3"/>
  <c r="FD128" i="3" s="1"/>
  <c r="FF132" i="3"/>
  <c r="FG126" i="3"/>
  <c r="BH111" i="3"/>
  <c r="CG122" i="3"/>
  <c r="CG117" i="3"/>
  <c r="FG110" i="3"/>
  <c r="FG118" i="3"/>
  <c r="FH2" i="3"/>
  <c r="FH45" i="3" s="1"/>
  <c r="FH50" i="3" l="1" a="1"/>
  <c r="FH50" i="3" s="1"/>
  <c r="FH137" i="3" a="1"/>
  <c r="FH137" i="3" s="1"/>
  <c r="FH120" i="3"/>
  <c r="FH112" i="3"/>
  <c r="FD129" i="3"/>
  <c r="FE127" i="3"/>
  <c r="FE128" i="3" s="1"/>
  <c r="FH126" i="3"/>
  <c r="FG132" i="3"/>
  <c r="BH113" i="3"/>
  <c r="FH110" i="3"/>
  <c r="FH118" i="3"/>
  <c r="CG119" i="3"/>
  <c r="CG121" i="3" s="1"/>
  <c r="FI2" i="3"/>
  <c r="FI45" i="3" s="1"/>
  <c r="FI50" i="3" l="1" a="1"/>
  <c r="FI50" i="3" s="1"/>
  <c r="FI137" i="3" a="1"/>
  <c r="FI137" i="3" s="1"/>
  <c r="FI120" i="3"/>
  <c r="FI112" i="3"/>
  <c r="FF127" i="3"/>
  <c r="FF128" i="3" s="1"/>
  <c r="FE129" i="3"/>
  <c r="BH138" i="3"/>
  <c r="BH135" i="3"/>
  <c r="FI126" i="3"/>
  <c r="FH132" i="3"/>
  <c r="BI114" i="3"/>
  <c r="BI109" i="3"/>
  <c r="CH122" i="3"/>
  <c r="CH117" i="3"/>
  <c r="FI110" i="3"/>
  <c r="FI118" i="3"/>
  <c r="FJ2" i="3"/>
  <c r="FJ45" i="3" s="1"/>
  <c r="FJ50" i="3" l="1" a="1"/>
  <c r="FJ50" i="3" s="1"/>
  <c r="FJ137" i="3" a="1"/>
  <c r="FJ137" i="3" s="1"/>
  <c r="FJ120" i="3"/>
  <c r="FJ112" i="3"/>
  <c r="FF129" i="3"/>
  <c r="FG127" i="3"/>
  <c r="FG128" i="3" s="1"/>
  <c r="FI132" i="3"/>
  <c r="FJ126" i="3"/>
  <c r="BI111" i="3"/>
  <c r="FJ110" i="3"/>
  <c r="FJ118" i="3"/>
  <c r="CH119" i="3"/>
  <c r="CH121" i="3" s="1"/>
  <c r="FK2" i="3"/>
  <c r="FK45" i="3" s="1"/>
  <c r="FK50" i="3" l="1" a="1"/>
  <c r="FK50" i="3" s="1"/>
  <c r="FK137" i="3" a="1"/>
  <c r="FK137" i="3" s="1"/>
  <c r="FK120" i="3"/>
  <c r="FK112" i="3"/>
  <c r="FG129" i="3"/>
  <c r="FH127" i="3"/>
  <c r="FH128" i="3" s="1"/>
  <c r="FK126" i="3"/>
  <c r="FJ132" i="3"/>
  <c r="BI113" i="3"/>
  <c r="CI117" i="3"/>
  <c r="CI122" i="3"/>
  <c r="FK110" i="3"/>
  <c r="FK118" i="3"/>
  <c r="FL2" i="3"/>
  <c r="FL45" i="3" s="1"/>
  <c r="FL50" i="3" l="1" a="1"/>
  <c r="FL50" i="3" s="1"/>
  <c r="FL137" i="3" a="1"/>
  <c r="FL137" i="3" s="1"/>
  <c r="FL112" i="3"/>
  <c r="FL120" i="3"/>
  <c r="FH129" i="3"/>
  <c r="FI127" i="3"/>
  <c r="FI128" i="3" s="1"/>
  <c r="BI138" i="3"/>
  <c r="BI135" i="3"/>
  <c r="FL126" i="3"/>
  <c r="BJ109" i="3"/>
  <c r="BJ114" i="3"/>
  <c r="FK132" i="3"/>
  <c r="FL110" i="3"/>
  <c r="FL118" i="3"/>
  <c r="CI119" i="3"/>
  <c r="CI121" i="3" s="1"/>
  <c r="FM2" i="3"/>
  <c r="FM45" i="3" s="1"/>
  <c r="FM50" i="3" l="1" a="1"/>
  <c r="FM50" i="3" s="1"/>
  <c r="FM137" i="3" a="1"/>
  <c r="FM137" i="3" s="1"/>
  <c r="FM120" i="3"/>
  <c r="FM112" i="3"/>
  <c r="FI129" i="3"/>
  <c r="FJ127" i="3"/>
  <c r="FJ128" i="3" s="1"/>
  <c r="FM126" i="3"/>
  <c r="FL132" i="3"/>
  <c r="BJ111" i="3"/>
  <c r="CJ122" i="3"/>
  <c r="CJ117" i="3"/>
  <c r="FM110" i="3"/>
  <c r="FM118" i="3"/>
  <c r="FN2" i="3"/>
  <c r="FN45" i="3" s="1"/>
  <c r="FN50" i="3" l="1" a="1"/>
  <c r="FN50" i="3" s="1"/>
  <c r="FN137" i="3" a="1"/>
  <c r="FN137" i="3" s="1"/>
  <c r="FN112" i="3"/>
  <c r="FN120" i="3"/>
  <c r="FJ129" i="3"/>
  <c r="FK127" i="3"/>
  <c r="FK128" i="3" s="1"/>
  <c r="FM132" i="3"/>
  <c r="FN126" i="3"/>
  <c r="BJ113" i="3"/>
  <c r="CJ119" i="3"/>
  <c r="CJ121" i="3" s="1"/>
  <c r="FN110" i="3"/>
  <c r="FN118" i="3"/>
  <c r="FO2" i="3"/>
  <c r="FO45" i="3" s="1"/>
  <c r="FO50" i="3" l="1" a="1"/>
  <c r="FO50" i="3" s="1"/>
  <c r="FO137" i="3" a="1"/>
  <c r="FO137" i="3" s="1"/>
  <c r="FO112" i="3"/>
  <c r="FO120" i="3"/>
  <c r="FK129" i="3"/>
  <c r="FL127" i="3"/>
  <c r="FL128" i="3" s="1"/>
  <c r="BJ138" i="3"/>
  <c r="BJ135" i="3"/>
  <c r="FO126" i="3"/>
  <c r="FN132" i="3"/>
  <c r="BK114" i="3"/>
  <c r="BK109" i="3"/>
  <c r="CK122" i="3"/>
  <c r="CK117" i="3"/>
  <c r="FO110" i="3"/>
  <c r="FO118" i="3"/>
  <c r="FP2" i="3"/>
  <c r="FP45" i="3" s="1"/>
  <c r="FP50" i="3" s="1" a="1"/>
  <c r="FP50" i="3" s="1"/>
  <c r="FP137" i="3" l="1" a="1"/>
  <c r="FP137" i="3" s="1"/>
  <c r="FP120" i="3"/>
  <c r="FP112" i="3"/>
  <c r="FL129" i="3"/>
  <c r="FM127" i="3"/>
  <c r="FM128" i="3" s="1"/>
  <c r="FO132" i="3"/>
  <c r="FP126" i="3"/>
  <c r="BK111" i="3"/>
  <c r="FP110" i="3"/>
  <c r="FP118" i="3"/>
  <c r="CK119" i="3"/>
  <c r="CK121" i="3" s="1"/>
  <c r="FQ2" i="3"/>
  <c r="FQ45" i="3" s="1"/>
  <c r="FQ50" i="3" s="1" a="1"/>
  <c r="FQ50" i="3" s="1"/>
  <c r="FQ137" i="3" l="1" a="1"/>
  <c r="FQ137" i="3" s="1"/>
  <c r="FQ120" i="3"/>
  <c r="FQ112" i="3"/>
  <c r="FN127" i="3"/>
  <c r="FN128" i="3" s="1"/>
  <c r="FM129" i="3"/>
  <c r="FQ126" i="3"/>
  <c r="FP132" i="3"/>
  <c r="BK113" i="3"/>
  <c r="CL122" i="3"/>
  <c r="CL117" i="3"/>
  <c r="FQ110" i="3"/>
  <c r="FQ118" i="3"/>
  <c r="FR2" i="3"/>
  <c r="FR45" i="3" s="1"/>
  <c r="FR50" i="3" s="1" a="1"/>
  <c r="FR50" i="3" s="1"/>
  <c r="FR137" i="3" l="1" a="1"/>
  <c r="FR137" i="3" s="1"/>
  <c r="FR120" i="3"/>
  <c r="FR112" i="3"/>
  <c r="FN129" i="3"/>
  <c r="FO127" i="3"/>
  <c r="FO128" i="3" s="1"/>
  <c r="BK138" i="3"/>
  <c r="BK135" i="3"/>
  <c r="FR126" i="3"/>
  <c r="FQ132" i="3"/>
  <c r="BL109" i="3"/>
  <c r="BL114" i="3"/>
  <c r="FR110" i="3"/>
  <c r="FR118" i="3"/>
  <c r="CL119" i="3"/>
  <c r="CL121" i="3" s="1"/>
  <c r="FS2" i="3"/>
  <c r="FS45" i="3" s="1"/>
  <c r="FS50" i="3" l="1" a="1"/>
  <c r="FS50" i="3" s="1"/>
  <c r="FS137" i="3" a="1"/>
  <c r="FS137" i="3" s="1"/>
  <c r="FS120" i="3"/>
  <c r="FS112" i="3"/>
  <c r="FO129" i="3"/>
  <c r="FP127" i="3"/>
  <c r="FP128" i="3" s="1"/>
  <c r="FS126" i="3"/>
  <c r="FR132" i="3"/>
  <c r="BL111" i="3"/>
  <c r="CM122" i="3"/>
  <c r="CM117" i="3"/>
  <c r="FS110" i="3"/>
  <c r="FS118" i="3"/>
  <c r="FT2" i="3"/>
  <c r="FT45" i="3" s="1"/>
  <c r="FT50" i="3" l="1" a="1"/>
  <c r="FT50" i="3" s="1"/>
  <c r="FT137" i="3" a="1"/>
  <c r="FT137" i="3" s="1"/>
  <c r="FT120" i="3"/>
  <c r="FT112" i="3"/>
  <c r="FQ127" i="3"/>
  <c r="FQ128" i="3" s="1"/>
  <c r="FP129" i="3"/>
  <c r="FT126" i="3"/>
  <c r="FS132" i="3"/>
  <c r="BL113" i="3"/>
  <c r="CM119" i="3"/>
  <c r="CM121" i="3" s="1"/>
  <c r="FT110" i="3"/>
  <c r="FT118" i="3"/>
  <c r="FU2" i="3"/>
  <c r="FU45" i="3" s="1"/>
  <c r="FU50" i="3" l="1" a="1"/>
  <c r="FU50" i="3" s="1"/>
  <c r="FU137" i="3" a="1"/>
  <c r="FU137" i="3" s="1"/>
  <c r="FU120" i="3"/>
  <c r="FU112" i="3"/>
  <c r="FR127" i="3"/>
  <c r="FR128" i="3" s="1"/>
  <c r="FQ129" i="3"/>
  <c r="BL138" i="3"/>
  <c r="BL135" i="3"/>
  <c r="FU126" i="3"/>
  <c r="FT132" i="3"/>
  <c r="BM114" i="3"/>
  <c r="BM109" i="3"/>
  <c r="FU110" i="3"/>
  <c r="FU118" i="3"/>
  <c r="CN122" i="3"/>
  <c r="CN117" i="3"/>
  <c r="FV2" i="3"/>
  <c r="FV45" i="3" s="1"/>
  <c r="FV50" i="3" l="1" a="1"/>
  <c r="FV50" i="3" s="1"/>
  <c r="FV137" i="3" a="1"/>
  <c r="FV137" i="3" s="1"/>
  <c r="FV120" i="3"/>
  <c r="FV112" i="3"/>
  <c r="FR129" i="3"/>
  <c r="FS127" i="3"/>
  <c r="FS128" i="3" s="1"/>
  <c r="FV126" i="3"/>
  <c r="FU132" i="3"/>
  <c r="BM111" i="3"/>
  <c r="CN119" i="3"/>
  <c r="CN121" i="3" s="1"/>
  <c r="FV110" i="3"/>
  <c r="FV118" i="3"/>
  <c r="FW2" i="3"/>
  <c r="FW45" i="3" s="1"/>
  <c r="FW50" i="3" l="1" a="1"/>
  <c r="FW50" i="3" s="1"/>
  <c r="BM112" i="3"/>
  <c r="FW137" i="3" a="1"/>
  <c r="FW137" i="3" s="1"/>
  <c r="FW112" i="3"/>
  <c r="FW120" i="3"/>
  <c r="FS129" i="3"/>
  <c r="FT127" i="3"/>
  <c r="FT128" i="3" s="1"/>
  <c r="FW126" i="3"/>
  <c r="FV132" i="3"/>
  <c r="CO122" i="3"/>
  <c r="CO117" i="3"/>
  <c r="FW110" i="3"/>
  <c r="FW118" i="3"/>
  <c r="FX2" i="3"/>
  <c r="FX45" i="3" s="1"/>
  <c r="FX50" i="3" l="1" a="1"/>
  <c r="FX50" i="3" s="1"/>
  <c r="FX137" i="3" a="1"/>
  <c r="FX137" i="3" s="1"/>
  <c r="FX120" i="3"/>
  <c r="FX112" i="3"/>
  <c r="BM132" i="3"/>
  <c r="FT129" i="3"/>
  <c r="FU127" i="3"/>
  <c r="FU128" i="3" s="1"/>
  <c r="BM138" i="3"/>
  <c r="BM135" i="3"/>
  <c r="FX126" i="3"/>
  <c r="FW132" i="3"/>
  <c r="BM113" i="3"/>
  <c r="BN109" i="3" s="1"/>
  <c r="CO119" i="3"/>
  <c r="CO121" i="3" s="1"/>
  <c r="FX110" i="3"/>
  <c r="FX118" i="3"/>
  <c r="FY2" i="3"/>
  <c r="FY45" i="3" s="1"/>
  <c r="FY50" i="3" l="1" a="1"/>
  <c r="FY50" i="3" s="1"/>
  <c r="FY137" i="3" a="1"/>
  <c r="FY137" i="3" s="1"/>
  <c r="FY120" i="3"/>
  <c r="FY112" i="3"/>
  <c r="FU129" i="3"/>
  <c r="FV127" i="3"/>
  <c r="FV128" i="3" s="1"/>
  <c r="BN114" i="3"/>
  <c r="FX132" i="3"/>
  <c r="FY126" i="3"/>
  <c r="CP122" i="3"/>
  <c r="CP117" i="3"/>
  <c r="FY110" i="3"/>
  <c r="FY118" i="3"/>
  <c r="FZ2" i="3"/>
  <c r="FZ45" i="3" s="1"/>
  <c r="FZ50" i="3" l="1" a="1"/>
  <c r="FZ50" i="3" s="1"/>
  <c r="BN111" i="3"/>
  <c r="BN113" i="3" s="1"/>
  <c r="FZ137" i="3" a="1"/>
  <c r="FZ137" i="3" s="1"/>
  <c r="FZ120" i="3"/>
  <c r="FZ112" i="3"/>
  <c r="FV129" i="3"/>
  <c r="FW127" i="3"/>
  <c r="FW128" i="3" s="1"/>
  <c r="FZ126" i="3"/>
  <c r="FY132" i="3"/>
  <c r="CP119" i="3"/>
  <c r="CP121" i="3" s="1"/>
  <c r="FZ110" i="3"/>
  <c r="FZ118" i="3"/>
  <c r="GA2" i="3"/>
  <c r="GA45" i="3" s="1"/>
  <c r="GA50" i="3" l="1" a="1"/>
  <c r="GA50" i="3" s="1"/>
  <c r="FZ132" i="3"/>
  <c r="GA137" i="3" a="1"/>
  <c r="GA137" i="3" s="1"/>
  <c r="GA112" i="3"/>
  <c r="GA120" i="3"/>
  <c r="FX127" i="3"/>
  <c r="FX128" i="3" s="1"/>
  <c r="FW129" i="3"/>
  <c r="BN138" i="3"/>
  <c r="BN135" i="3"/>
  <c r="GA126" i="3"/>
  <c r="BO109" i="3"/>
  <c r="BO114" i="3"/>
  <c r="CQ122" i="3"/>
  <c r="CQ117" i="3"/>
  <c r="GA110" i="3"/>
  <c r="GA118" i="3"/>
  <c r="GB2" i="3"/>
  <c r="GB45" i="3" s="1"/>
  <c r="GB50" i="3" s="1" a="1"/>
  <c r="GB50" i="3" s="1"/>
  <c r="GB137" i="3" l="1" a="1"/>
  <c r="GB137" i="3" s="1"/>
  <c r="GB120" i="3"/>
  <c r="GB112" i="3"/>
  <c r="FX129" i="3"/>
  <c r="FY127" i="3"/>
  <c r="FY128" i="3" s="1"/>
  <c r="GB126" i="3"/>
  <c r="GA132" i="3"/>
  <c r="BO111" i="3"/>
  <c r="CQ119" i="3"/>
  <c r="CQ121" i="3" s="1"/>
  <c r="GB110" i="3"/>
  <c r="GB118" i="3"/>
  <c r="GC2" i="3"/>
  <c r="GC45" i="3" s="1"/>
  <c r="GC50" i="3" s="1" a="1"/>
  <c r="GC50" i="3" s="1"/>
  <c r="GC137" i="3" l="1" a="1"/>
  <c r="GC137" i="3" s="1"/>
  <c r="FZ127" i="3"/>
  <c r="FZ128" i="3" s="1"/>
  <c r="FY129" i="3"/>
  <c r="GC126" i="3"/>
  <c r="BO113" i="3"/>
  <c r="BP114" i="3" s="1"/>
  <c r="GB132" i="3"/>
  <c r="CR122" i="3"/>
  <c r="CR117" i="3"/>
  <c r="GC110" i="3"/>
  <c r="GC118" i="3"/>
  <c r="GD2" i="3"/>
  <c r="GD45" i="3" s="1"/>
  <c r="GD50" i="3" l="1" a="1"/>
  <c r="GD50" i="3" s="1"/>
  <c r="GD137" i="3" a="1"/>
  <c r="GD137" i="3" s="1"/>
  <c r="GD120" i="3"/>
  <c r="GD112" i="3"/>
  <c r="FZ129" i="3"/>
  <c r="GA127" i="3"/>
  <c r="GA128" i="3" s="1"/>
  <c r="BO138" i="3"/>
  <c r="BO135" i="3"/>
  <c r="BP109" i="3"/>
  <c r="BP111" i="3" s="1"/>
  <c r="GD126" i="3"/>
  <c r="CR119" i="3"/>
  <c r="CR121" i="3" s="1"/>
  <c r="GD110" i="3"/>
  <c r="GD118" i="3"/>
  <c r="GE2" i="3"/>
  <c r="GE45" i="3" s="1"/>
  <c r="GE50" i="3" l="1" a="1"/>
  <c r="GE50" i="3" s="1"/>
  <c r="GE137" i="3" a="1"/>
  <c r="GE137" i="3" s="1"/>
  <c r="GE112" i="3"/>
  <c r="GE120" i="3"/>
  <c r="GA129" i="3"/>
  <c r="GB127" i="3"/>
  <c r="GB128" i="3" s="1"/>
  <c r="GE126" i="3"/>
  <c r="GD132" i="3"/>
  <c r="BP113" i="3"/>
  <c r="GE110" i="3"/>
  <c r="GE118" i="3"/>
  <c r="CS117" i="3"/>
  <c r="CS122" i="3"/>
  <c r="GF2" i="3"/>
  <c r="GF45" i="3" s="1"/>
  <c r="GF50" i="3" l="1" a="1"/>
  <c r="GF50" i="3" s="1"/>
  <c r="GF137" i="3" a="1"/>
  <c r="GF137" i="3" s="1"/>
  <c r="GF112" i="3"/>
  <c r="GF120" i="3"/>
  <c r="GE132" i="3"/>
  <c r="GC127" i="3"/>
  <c r="GC128" i="3" s="1"/>
  <c r="GB129" i="3"/>
  <c r="BP138" i="3"/>
  <c r="BP135" i="3"/>
  <c r="GF126" i="3"/>
  <c r="BQ114" i="3"/>
  <c r="BQ109" i="3"/>
  <c r="CS119" i="3"/>
  <c r="CS121" i="3" s="1"/>
  <c r="GF110" i="3"/>
  <c r="GF118" i="3"/>
  <c r="GG2" i="3"/>
  <c r="GG45" i="3" s="1"/>
  <c r="GG50" i="3" l="1" a="1"/>
  <c r="GG50" i="3" s="1"/>
  <c r="GG137" i="3" a="1"/>
  <c r="GG137" i="3" s="1"/>
  <c r="GG120" i="3"/>
  <c r="GG112" i="3"/>
  <c r="GC129" i="3"/>
  <c r="GD127" i="3"/>
  <c r="GD128" i="3" s="1"/>
  <c r="GG126" i="3"/>
  <c r="GF132" i="3"/>
  <c r="BQ111" i="3"/>
  <c r="CT122" i="3"/>
  <c r="CT117" i="3"/>
  <c r="GG110" i="3"/>
  <c r="GG118" i="3"/>
  <c r="GH2" i="3"/>
  <c r="GH45" i="3" s="1"/>
  <c r="GH50" i="3" l="1" a="1"/>
  <c r="GH50" i="3" s="1"/>
  <c r="GH137" i="3" a="1"/>
  <c r="GH137" i="3" s="1"/>
  <c r="GH120" i="3"/>
  <c r="GH112" i="3"/>
  <c r="GD129" i="3"/>
  <c r="GE127" i="3"/>
  <c r="GE128" i="3" s="1"/>
  <c r="GH126" i="3"/>
  <c r="GG132" i="3"/>
  <c r="BQ113" i="3"/>
  <c r="CT119" i="3"/>
  <c r="CT121" i="3" s="1"/>
  <c r="GH110" i="3"/>
  <c r="GH118" i="3"/>
  <c r="GI2" i="3"/>
  <c r="GI45" i="3" s="1"/>
  <c r="GI50" i="3" l="1" a="1"/>
  <c r="GI50" i="3" s="1"/>
  <c r="GI137" i="3" a="1"/>
  <c r="GI137" i="3" s="1"/>
  <c r="GI120" i="3"/>
  <c r="GI112" i="3"/>
  <c r="GE129" i="3"/>
  <c r="GF127" i="3"/>
  <c r="GF128" i="3" s="1"/>
  <c r="BQ138" i="3"/>
  <c r="BQ135" i="3"/>
  <c r="GI126" i="3"/>
  <c r="GH132" i="3"/>
  <c r="BR114" i="3"/>
  <c r="BR109" i="3"/>
  <c r="CU122" i="3"/>
  <c r="CU117" i="3"/>
  <c r="GI110" i="3"/>
  <c r="GI118" i="3"/>
  <c r="GJ2" i="3"/>
  <c r="GJ45" i="3" s="1"/>
  <c r="GJ50" i="3" l="1" a="1"/>
  <c r="GJ50" i="3" s="1"/>
  <c r="GJ137" i="3" a="1"/>
  <c r="GJ137" i="3" s="1"/>
  <c r="GJ112" i="3"/>
  <c r="GJ120" i="3"/>
  <c r="GG127" i="3"/>
  <c r="GG128" i="3" s="1"/>
  <c r="GF129" i="3"/>
  <c r="GJ126" i="3"/>
  <c r="GI132" i="3"/>
  <c r="BR111" i="3"/>
  <c r="CU119" i="3"/>
  <c r="CU121" i="3" s="1"/>
  <c r="GJ110" i="3"/>
  <c r="GJ118" i="3"/>
  <c r="GK2" i="3"/>
  <c r="GK45" i="3" s="1"/>
  <c r="GK50" i="3" l="1" a="1"/>
  <c r="GK50" i="3" s="1"/>
  <c r="GK137" i="3" a="1"/>
  <c r="GK137" i="3" s="1"/>
  <c r="GK112" i="3"/>
  <c r="GK120" i="3"/>
  <c r="GG129" i="3"/>
  <c r="GH127" i="3"/>
  <c r="GH128" i="3" s="1"/>
  <c r="GK126" i="3"/>
  <c r="GJ132" i="3"/>
  <c r="BR113" i="3"/>
  <c r="CV122" i="3"/>
  <c r="CV117" i="3"/>
  <c r="GK110" i="3"/>
  <c r="GK118" i="3"/>
  <c r="GL2" i="3"/>
  <c r="GL45" i="3" s="1"/>
  <c r="GL50" i="3" l="1" a="1"/>
  <c r="GL50" i="3" s="1"/>
  <c r="GL137" i="3" a="1"/>
  <c r="GL137" i="3" s="1"/>
  <c r="GL120" i="3"/>
  <c r="GL112" i="3"/>
  <c r="GH129" i="3"/>
  <c r="GI127" i="3"/>
  <c r="GI128" i="3" s="1"/>
  <c r="BR138" i="3"/>
  <c r="BR135" i="3"/>
  <c r="GL126" i="3"/>
  <c r="GK132" i="3"/>
  <c r="BS109" i="3"/>
  <c r="BS114" i="3"/>
  <c r="GL110" i="3"/>
  <c r="GL118" i="3"/>
  <c r="CV119" i="3"/>
  <c r="CV121" i="3" s="1"/>
  <c r="GM2" i="3"/>
  <c r="GM45" i="3" s="1"/>
  <c r="GM50" i="3" l="1" a="1"/>
  <c r="GM50" i="3" s="1"/>
  <c r="GM137" i="3" a="1"/>
  <c r="GM137" i="3" s="1"/>
  <c r="GM120" i="3"/>
  <c r="GM112" i="3"/>
  <c r="GI129" i="3"/>
  <c r="GJ127" i="3"/>
  <c r="GJ128" i="3" s="1"/>
  <c r="GM126" i="3"/>
  <c r="GL132" i="3"/>
  <c r="BS111" i="3"/>
  <c r="CW122" i="3"/>
  <c r="CW117" i="3"/>
  <c r="GM110" i="3"/>
  <c r="GM118" i="3"/>
  <c r="GN2" i="3"/>
  <c r="GN45" i="3" s="1"/>
  <c r="GN50" i="3" s="1" a="1"/>
  <c r="GN50" i="3" s="1"/>
  <c r="GN137" i="3" l="1" a="1"/>
  <c r="GN137" i="3" s="1"/>
  <c r="GN112" i="3"/>
  <c r="GN120" i="3"/>
  <c r="GJ129" i="3"/>
  <c r="GK127" i="3"/>
  <c r="GK128" i="3" s="1"/>
  <c r="GN126" i="3"/>
  <c r="GM132" i="3"/>
  <c r="BS113" i="3"/>
  <c r="GN110" i="3"/>
  <c r="GN118" i="3"/>
  <c r="CW119" i="3"/>
  <c r="CW121" i="3" s="1"/>
  <c r="GO2" i="3"/>
  <c r="GO45" i="3" s="1"/>
  <c r="GO50" i="3" s="1" a="1"/>
  <c r="GO50" i="3" s="1"/>
  <c r="GO137" i="3" l="1" a="1"/>
  <c r="GO137" i="3" s="1"/>
  <c r="GO120" i="3"/>
  <c r="GO112" i="3"/>
  <c r="GN132" i="3"/>
  <c r="GL127" i="3"/>
  <c r="GL128" i="3" s="1"/>
  <c r="GK129" i="3"/>
  <c r="BS138" i="3"/>
  <c r="BS135" i="3"/>
  <c r="GO126" i="3"/>
  <c r="BT109" i="3"/>
  <c r="BT114" i="3"/>
  <c r="CX122" i="3"/>
  <c r="CX117" i="3"/>
  <c r="GO110" i="3"/>
  <c r="GO118" i="3"/>
  <c r="GP2" i="3"/>
  <c r="GP45" i="3" s="1"/>
  <c r="GP50" i="3" s="1" a="1"/>
  <c r="GP50" i="3" s="1"/>
  <c r="GP137" i="3" l="1" a="1"/>
  <c r="GP137" i="3" s="1"/>
  <c r="GP112" i="3"/>
  <c r="GP120" i="3"/>
  <c r="GM127" i="3"/>
  <c r="GM128" i="3" s="1"/>
  <c r="GL129" i="3"/>
  <c r="GP126" i="3"/>
  <c r="GO132" i="3"/>
  <c r="BT111" i="3"/>
  <c r="GP110" i="3"/>
  <c r="GP118" i="3"/>
  <c r="CX119" i="3"/>
  <c r="CX121" i="3" s="1"/>
  <c r="GQ2" i="3"/>
  <c r="GQ45" i="3" s="1"/>
  <c r="GQ50" i="3" l="1" a="1"/>
  <c r="GQ50" i="3" s="1"/>
  <c r="GQ137" i="3" a="1"/>
  <c r="GQ137" i="3" s="1"/>
  <c r="GQ120" i="3"/>
  <c r="GQ112" i="3"/>
  <c r="GM129" i="3"/>
  <c r="GN127" i="3"/>
  <c r="GN128" i="3" s="1"/>
  <c r="GQ126" i="3"/>
  <c r="GP132" i="3"/>
  <c r="BT113" i="3"/>
  <c r="CY122" i="3"/>
  <c r="CY117" i="3"/>
  <c r="GQ110" i="3"/>
  <c r="GQ118" i="3"/>
  <c r="GR2" i="3"/>
  <c r="GR45" i="3" s="1"/>
  <c r="GR50" i="3" l="1" a="1"/>
  <c r="GR50" i="3" s="1"/>
  <c r="GR137" i="3" a="1"/>
  <c r="GR137" i="3" s="1"/>
  <c r="GR120" i="3"/>
  <c r="GR112" i="3"/>
  <c r="GN129" i="3"/>
  <c r="GO127" i="3"/>
  <c r="GO128" i="3" s="1"/>
  <c r="BT138" i="3"/>
  <c r="BT135" i="3"/>
  <c r="GQ132" i="3"/>
  <c r="GR126" i="3"/>
  <c r="BU114" i="3"/>
  <c r="BU109" i="3"/>
  <c r="GR110" i="3"/>
  <c r="GR118" i="3"/>
  <c r="CY119" i="3"/>
  <c r="CY121" i="3" s="1"/>
  <c r="GS2" i="3"/>
  <c r="GS45" i="3" s="1"/>
  <c r="GS50" i="3" l="1" a="1"/>
  <c r="GS50" i="3" s="1"/>
  <c r="GS137" i="3" a="1"/>
  <c r="GS137" i="3" s="1"/>
  <c r="GS120" i="3"/>
  <c r="GS112" i="3"/>
  <c r="GO129" i="3"/>
  <c r="GP127" i="3"/>
  <c r="GP128" i="3" s="1"/>
  <c r="GS126" i="3"/>
  <c r="GR132" i="3"/>
  <c r="BU111" i="3"/>
  <c r="GS110" i="3"/>
  <c r="GS118" i="3"/>
  <c r="CZ122" i="3"/>
  <c r="CZ117" i="3"/>
  <c r="GT2" i="3"/>
  <c r="GT45" i="3" s="1"/>
  <c r="GT50" i="3" l="1" a="1"/>
  <c r="GT50" i="3" s="1"/>
  <c r="GT137" i="3" a="1"/>
  <c r="GT137" i="3" s="1"/>
  <c r="GT120" i="3"/>
  <c r="GT112" i="3"/>
  <c r="GQ127" i="3"/>
  <c r="GQ128" i="3" s="1"/>
  <c r="GP129" i="3"/>
  <c r="GT126" i="3"/>
  <c r="GS132" i="3"/>
  <c r="BU113" i="3"/>
  <c r="GT110" i="3"/>
  <c r="GT118" i="3"/>
  <c r="CZ119" i="3"/>
  <c r="CZ121" i="3" s="1"/>
  <c r="GU2" i="3"/>
  <c r="GU45" i="3" s="1"/>
  <c r="GU50" i="3" l="1" a="1"/>
  <c r="GU50" i="3" s="1"/>
  <c r="GU137" i="3" a="1"/>
  <c r="GU137" i="3" s="1"/>
  <c r="GU112" i="3"/>
  <c r="GU120" i="3"/>
  <c r="GQ129" i="3"/>
  <c r="GR127" i="3"/>
  <c r="GR128" i="3" s="1"/>
  <c r="BU138" i="3"/>
  <c r="BU135" i="3"/>
  <c r="GU126" i="3"/>
  <c r="GT132" i="3"/>
  <c r="BV114" i="3"/>
  <c r="BV109" i="3"/>
  <c r="GU110" i="3"/>
  <c r="GU118" i="3"/>
  <c r="DA122" i="3"/>
  <c r="DA117" i="3"/>
  <c r="GV2" i="3"/>
  <c r="GV45" i="3" s="1"/>
  <c r="GV50" i="3" l="1" a="1"/>
  <c r="GV50" i="3" s="1"/>
  <c r="GV137" i="3" a="1"/>
  <c r="GV137" i="3" s="1"/>
  <c r="GV120" i="3"/>
  <c r="GV112" i="3"/>
  <c r="GU132" i="3"/>
  <c r="GR129" i="3"/>
  <c r="GS127" i="3"/>
  <c r="GS128" i="3" s="1"/>
  <c r="GV126" i="3"/>
  <c r="BV111" i="3"/>
  <c r="DA119" i="3"/>
  <c r="DA121" i="3" s="1"/>
  <c r="GV110" i="3"/>
  <c r="GV118" i="3"/>
  <c r="GW2" i="3"/>
  <c r="GW45" i="3" s="1"/>
  <c r="GW50" i="3" l="1" a="1"/>
  <c r="GW50" i="3" s="1"/>
  <c r="GW137" i="3" a="1"/>
  <c r="GW137" i="3" s="1"/>
  <c r="GW120" i="3"/>
  <c r="GW112" i="3"/>
  <c r="GS129" i="3"/>
  <c r="GT127" i="3"/>
  <c r="GT128" i="3" s="1"/>
  <c r="GW126" i="3"/>
  <c r="GV132" i="3"/>
  <c r="BV113" i="3"/>
  <c r="DB117" i="3"/>
  <c r="DB122" i="3"/>
  <c r="GW110" i="3"/>
  <c r="GW118" i="3"/>
  <c r="GX2" i="3"/>
  <c r="GX45" i="3" s="1"/>
  <c r="GX50" i="3" l="1" a="1"/>
  <c r="GX50" i="3" s="1"/>
  <c r="GX137" i="3" a="1"/>
  <c r="GX137" i="3" s="1"/>
  <c r="GX112" i="3"/>
  <c r="GX120" i="3"/>
  <c r="GW132" i="3"/>
  <c r="GT129" i="3"/>
  <c r="GU127" i="3"/>
  <c r="GU128" i="3" s="1"/>
  <c r="BV138" i="3"/>
  <c r="BV135" i="3"/>
  <c r="GX126" i="3"/>
  <c r="BW114" i="3"/>
  <c r="BW109" i="3"/>
  <c r="GX110" i="3"/>
  <c r="GX118" i="3"/>
  <c r="DB119" i="3"/>
  <c r="DB121" i="3" s="1"/>
  <c r="GY2" i="3"/>
  <c r="GY45" i="3" s="1"/>
  <c r="GY50" i="3" l="1" a="1"/>
  <c r="GY50" i="3" s="1"/>
  <c r="GY137" i="3" a="1"/>
  <c r="GY137" i="3" s="1"/>
  <c r="GY120" i="3"/>
  <c r="GY112" i="3"/>
  <c r="GU129" i="3"/>
  <c r="GV127" i="3"/>
  <c r="GV128" i="3" s="1"/>
  <c r="GY126" i="3"/>
  <c r="GX132" i="3"/>
  <c r="BW111" i="3"/>
  <c r="GY110" i="3"/>
  <c r="GY118" i="3"/>
  <c r="DC122" i="3"/>
  <c r="DC117" i="3"/>
  <c r="GZ2" i="3"/>
  <c r="GZ45" i="3" s="1"/>
  <c r="GZ50" i="3" s="1" a="1"/>
  <c r="GZ50" i="3" s="1"/>
  <c r="GZ137" i="3" l="1" a="1"/>
  <c r="GZ137" i="3" s="1"/>
  <c r="GZ120" i="3"/>
  <c r="GZ112" i="3"/>
  <c r="GV129" i="3"/>
  <c r="GW127" i="3"/>
  <c r="GW128" i="3" s="1"/>
  <c r="GZ126" i="3"/>
  <c r="GY132" i="3"/>
  <c r="BW113" i="3"/>
  <c r="DC119" i="3"/>
  <c r="DC121" i="3" s="1"/>
  <c r="GZ110" i="3"/>
  <c r="GZ118" i="3"/>
  <c r="HA2" i="3"/>
  <c r="HA45" i="3" s="1"/>
  <c r="HA50" i="3" s="1" a="1"/>
  <c r="HA50" i="3" s="1"/>
  <c r="HA137" i="3" l="1" a="1"/>
  <c r="HA137" i="3" s="1"/>
  <c r="HA120" i="3"/>
  <c r="HA112" i="3"/>
  <c r="GW129" i="3"/>
  <c r="GX127" i="3"/>
  <c r="GX128" i="3" s="1"/>
  <c r="BW138" i="3"/>
  <c r="BW135" i="3"/>
  <c r="HA126" i="3"/>
  <c r="GZ132" i="3"/>
  <c r="BX109" i="3"/>
  <c r="BX114" i="3"/>
  <c r="DD117" i="3"/>
  <c r="DD122" i="3"/>
  <c r="HA110" i="3"/>
  <c r="HA118" i="3"/>
  <c r="HB2" i="3"/>
  <c r="HB45" i="3" s="1"/>
  <c r="HB50" i="3" l="1" a="1"/>
  <c r="HB50" i="3" s="1"/>
  <c r="HB137" i="3" a="1"/>
  <c r="HB137" i="3" s="1"/>
  <c r="HB120" i="3"/>
  <c r="HB112" i="3"/>
  <c r="HA132" i="3"/>
  <c r="GX129" i="3"/>
  <c r="GY127" i="3"/>
  <c r="GY128" i="3" s="1"/>
  <c r="HB126" i="3"/>
  <c r="BX111" i="3"/>
  <c r="HB110" i="3"/>
  <c r="HB118" i="3"/>
  <c r="DD119" i="3"/>
  <c r="DD121" i="3" s="1"/>
  <c r="HC2" i="3"/>
  <c r="HC45" i="3" s="1"/>
  <c r="HC50" i="3" l="1" a="1"/>
  <c r="HC50" i="3" s="1"/>
  <c r="HC137" i="3" a="1"/>
  <c r="HC137" i="3" s="1"/>
  <c r="HC112" i="3"/>
  <c r="HC120" i="3"/>
  <c r="GY129" i="3"/>
  <c r="GZ127" i="3"/>
  <c r="GZ128" i="3" s="1"/>
  <c r="HC126" i="3"/>
  <c r="HB132" i="3"/>
  <c r="BX113" i="3"/>
  <c r="HC110" i="3"/>
  <c r="HC118" i="3"/>
  <c r="DE122" i="3"/>
  <c r="DE117" i="3"/>
  <c r="HD2" i="3"/>
  <c r="HD45" i="3" s="1"/>
  <c r="HD50" i="3" l="1" a="1"/>
  <c r="HD50" i="3" s="1"/>
  <c r="HD137" i="3" a="1"/>
  <c r="HD137" i="3" s="1"/>
  <c r="HD112" i="3"/>
  <c r="HD120" i="3"/>
  <c r="HA127" i="3"/>
  <c r="HA128" i="3" s="1"/>
  <c r="GZ129" i="3"/>
  <c r="BX138" i="3"/>
  <c r="BX135" i="3"/>
  <c r="HC132" i="3"/>
  <c r="HD126" i="3"/>
  <c r="BY109" i="3"/>
  <c r="BY114" i="3"/>
  <c r="HD110" i="3"/>
  <c r="HD118" i="3"/>
  <c r="DE119" i="3"/>
  <c r="DE121" i="3" s="1"/>
  <c r="HE2" i="3"/>
  <c r="HE45" i="3" s="1"/>
  <c r="HE50" i="3" l="1" a="1"/>
  <c r="HE50" i="3" s="1"/>
  <c r="HE137" i="3" a="1"/>
  <c r="HE137" i="3" s="1"/>
  <c r="HE120" i="3"/>
  <c r="HE112" i="3"/>
  <c r="HD132" i="3"/>
  <c r="HA129" i="3"/>
  <c r="HB127" i="3"/>
  <c r="HB128" i="3" s="1"/>
  <c r="HE126" i="3"/>
  <c r="BY111" i="3"/>
  <c r="HE110" i="3"/>
  <c r="HE118" i="3"/>
  <c r="DF122" i="3"/>
  <c r="DF117" i="3"/>
  <c r="HF2" i="3"/>
  <c r="HF45" i="3" s="1"/>
  <c r="HF50" i="3" l="1" a="1"/>
  <c r="HF50" i="3" s="1"/>
  <c r="HF137" i="3" a="1"/>
  <c r="HF137" i="3" s="1"/>
  <c r="HF120" i="3"/>
  <c r="HF112" i="3"/>
  <c r="HB129" i="3"/>
  <c r="HC127" i="3"/>
  <c r="HC128" i="3" s="1"/>
  <c r="HF126" i="3"/>
  <c r="HE132" i="3"/>
  <c r="BY113" i="3"/>
  <c r="HF110" i="3"/>
  <c r="HF118" i="3"/>
  <c r="DF119" i="3"/>
  <c r="DF121" i="3" s="1"/>
  <c r="HG2" i="3"/>
  <c r="HG45" i="3" s="1"/>
  <c r="HG50" i="3" l="1" a="1"/>
  <c r="HG50" i="3" s="1"/>
  <c r="HF132" i="3"/>
  <c r="HG137" i="3" a="1"/>
  <c r="HG137" i="3" s="1"/>
  <c r="HG120" i="3"/>
  <c r="HG112" i="3"/>
  <c r="HC129" i="3"/>
  <c r="HD127" i="3"/>
  <c r="HD128" i="3" s="1"/>
  <c r="BY138" i="3"/>
  <c r="BY135" i="3"/>
  <c r="HG126" i="3"/>
  <c r="BZ109" i="3"/>
  <c r="BZ114" i="3"/>
  <c r="HG110" i="3"/>
  <c r="HG118" i="3"/>
  <c r="DG122" i="3"/>
  <c r="DG117" i="3"/>
  <c r="HH2" i="3"/>
  <c r="HH45" i="3" s="1"/>
  <c r="HH50" i="3" l="1" a="1"/>
  <c r="HH50" i="3" s="1"/>
  <c r="HH137" i="3" a="1"/>
  <c r="HH137" i="3" s="1"/>
  <c r="HH120" i="3"/>
  <c r="HH112" i="3"/>
  <c r="HD129" i="3"/>
  <c r="HE127" i="3"/>
  <c r="HE128" i="3" s="1"/>
  <c r="HG132" i="3"/>
  <c r="HH126" i="3"/>
  <c r="BZ111" i="3"/>
  <c r="HH110" i="3"/>
  <c r="HH118" i="3"/>
  <c r="DG119" i="3"/>
  <c r="DG121" i="3" s="1"/>
  <c r="HI2" i="3"/>
  <c r="HI45" i="3" s="1"/>
  <c r="HI50" i="3" l="1" a="1"/>
  <c r="HI50" i="3" s="1"/>
  <c r="HI137" i="3" a="1"/>
  <c r="HI137" i="3" s="1"/>
  <c r="HI120" i="3"/>
  <c r="HI112" i="3"/>
  <c r="HF127" i="3"/>
  <c r="HF128" i="3" s="1"/>
  <c r="HE129" i="3"/>
  <c r="HI126" i="3"/>
  <c r="HH132" i="3"/>
  <c r="BZ113" i="3"/>
  <c r="HI110" i="3"/>
  <c r="HI118" i="3"/>
  <c r="DH117" i="3"/>
  <c r="DH122" i="3"/>
  <c r="HJ2" i="3"/>
  <c r="HJ45" i="3" s="1"/>
  <c r="HJ50" i="3" l="1" a="1"/>
  <c r="HJ50" i="3" s="1"/>
  <c r="HJ137" i="3" a="1"/>
  <c r="HJ137" i="3" s="1"/>
  <c r="HJ120" i="3"/>
  <c r="HJ112" i="3"/>
  <c r="HG127" i="3"/>
  <c r="HG128" i="3" s="1"/>
  <c r="HF129" i="3"/>
  <c r="BZ138" i="3"/>
  <c r="BZ135" i="3"/>
  <c r="HJ126" i="3"/>
  <c r="HI132" i="3"/>
  <c r="CA109" i="3"/>
  <c r="CA114" i="3"/>
  <c r="DH119" i="3"/>
  <c r="DH121" i="3" s="1"/>
  <c r="HJ110" i="3"/>
  <c r="HJ118" i="3"/>
  <c r="HK2" i="3"/>
  <c r="HK45" i="3" s="1"/>
  <c r="HK50" i="3" l="1" a="1"/>
  <c r="HK50" i="3" s="1"/>
  <c r="HK137" i="3" a="1"/>
  <c r="HK137" i="3" s="1"/>
  <c r="HK120" i="3"/>
  <c r="HK112" i="3"/>
  <c r="HG129" i="3"/>
  <c r="HH127" i="3"/>
  <c r="HH128" i="3" s="1"/>
  <c r="HK126" i="3"/>
  <c r="HJ132" i="3"/>
  <c r="CA111" i="3"/>
  <c r="DI117" i="3"/>
  <c r="DI122" i="3"/>
  <c r="HK110" i="3"/>
  <c r="HK118" i="3"/>
  <c r="HL2" i="3"/>
  <c r="HL45" i="3" s="1"/>
  <c r="HL50" i="3" s="1" a="1"/>
  <c r="HL50" i="3" s="1"/>
  <c r="HL137" i="3" l="1" a="1"/>
  <c r="HL137" i="3" s="1"/>
  <c r="HL112" i="3"/>
  <c r="HL120" i="3"/>
  <c r="HI127" i="3"/>
  <c r="HI128" i="3" s="1"/>
  <c r="HH129" i="3"/>
  <c r="CA113" i="3"/>
  <c r="CB114" i="3" s="1"/>
  <c r="HL126" i="3"/>
  <c r="HK132" i="3"/>
  <c r="DI119" i="3"/>
  <c r="DI121" i="3" s="1"/>
  <c r="HL110" i="3"/>
  <c r="HL118" i="3"/>
  <c r="HM2" i="3"/>
  <c r="HM45" i="3" s="1"/>
  <c r="HM50" i="3" s="1" a="1"/>
  <c r="HM50" i="3" s="1"/>
  <c r="HM137" i="3" l="1" a="1"/>
  <c r="HM137" i="3" s="1"/>
  <c r="HM120" i="3"/>
  <c r="HM112" i="3"/>
  <c r="HL132" i="3"/>
  <c r="HI129" i="3"/>
  <c r="HJ127" i="3"/>
  <c r="HJ128" i="3" s="1"/>
  <c r="CA138" i="3"/>
  <c r="CA135" i="3"/>
  <c r="CB109" i="3"/>
  <c r="CB111" i="3" s="1"/>
  <c r="HM126" i="3"/>
  <c r="DJ122" i="3"/>
  <c r="DJ117" i="3"/>
  <c r="HM110" i="3"/>
  <c r="HM118" i="3"/>
  <c r="HN2" i="3"/>
  <c r="HN45" i="3" s="1"/>
  <c r="HN50" i="3" s="1" a="1"/>
  <c r="HN50" i="3" s="1"/>
  <c r="HN137" i="3" l="1" a="1"/>
  <c r="HN137" i="3" s="1"/>
  <c r="HN120" i="3"/>
  <c r="HN112" i="3"/>
  <c r="HJ129" i="3"/>
  <c r="HK127" i="3"/>
  <c r="HK128" i="3" s="1"/>
  <c r="HN126" i="3"/>
  <c r="HM132" i="3"/>
  <c r="CB113" i="3"/>
  <c r="HN110" i="3"/>
  <c r="HN118" i="3"/>
  <c r="DJ119" i="3"/>
  <c r="DJ121" i="3" s="1"/>
  <c r="HO2" i="3"/>
  <c r="HO45" i="3" s="1"/>
  <c r="HO50" i="3" l="1" a="1"/>
  <c r="HO50" i="3" s="1"/>
  <c r="HO137" i="3" a="1"/>
  <c r="HO137" i="3" s="1"/>
  <c r="HO120" i="3"/>
  <c r="HO112" i="3"/>
  <c r="HK129" i="3"/>
  <c r="HL127" i="3"/>
  <c r="HL128" i="3" s="1"/>
  <c r="CB138" i="3"/>
  <c r="CB135" i="3"/>
  <c r="HO126" i="3"/>
  <c r="HN132" i="3"/>
  <c r="CC114" i="3"/>
  <c r="CC109" i="3"/>
  <c r="DK117" i="3"/>
  <c r="DK122" i="3"/>
  <c r="HO110" i="3"/>
  <c r="HO118" i="3"/>
  <c r="HP2" i="3"/>
  <c r="HP45" i="3" s="1"/>
  <c r="HP50" i="3" l="1" a="1"/>
  <c r="HP50" i="3" s="1"/>
  <c r="HP137" i="3" a="1"/>
  <c r="HP137" i="3" s="1"/>
  <c r="HP112" i="3"/>
  <c r="HP120" i="3"/>
  <c r="HM127" i="3"/>
  <c r="HM128" i="3" s="1"/>
  <c r="HL129" i="3"/>
  <c r="HO132" i="3"/>
  <c r="HP126" i="3"/>
  <c r="CC111" i="3"/>
  <c r="HP110" i="3"/>
  <c r="HP118" i="3"/>
  <c r="DK119" i="3"/>
  <c r="DK121" i="3" s="1"/>
  <c r="HQ2" i="3"/>
  <c r="HQ45" i="3" s="1"/>
  <c r="HQ50" i="3" l="1" a="1"/>
  <c r="HQ50" i="3" s="1"/>
  <c r="HQ137" i="3" a="1"/>
  <c r="HQ137" i="3" s="1"/>
  <c r="HQ112" i="3"/>
  <c r="HQ120" i="3"/>
  <c r="HM129" i="3"/>
  <c r="HN127" i="3"/>
  <c r="HN128" i="3" s="1"/>
  <c r="HQ126" i="3"/>
  <c r="HP132" i="3"/>
  <c r="CC113" i="3"/>
  <c r="DL122" i="3"/>
  <c r="DL117" i="3"/>
  <c r="HQ110" i="3"/>
  <c r="HQ118" i="3"/>
  <c r="HR2" i="3"/>
  <c r="HR45" i="3" s="1"/>
  <c r="HR50" i="3" l="1" a="1"/>
  <c r="HR50" i="3" s="1"/>
  <c r="HR137" i="3" a="1"/>
  <c r="HR137" i="3" s="1"/>
  <c r="HR120" i="3"/>
  <c r="HR112" i="3"/>
  <c r="HN129" i="3"/>
  <c r="HO127" i="3"/>
  <c r="HO128" i="3" s="1"/>
  <c r="CC138" i="3"/>
  <c r="CC135" i="3"/>
  <c r="HQ132" i="3"/>
  <c r="HR126" i="3"/>
  <c r="CD109" i="3"/>
  <c r="CD114" i="3"/>
  <c r="HR110" i="3"/>
  <c r="HR118" i="3"/>
  <c r="DL119" i="3"/>
  <c r="DL121" i="3" s="1"/>
  <c r="HS2" i="3"/>
  <c r="HS45" i="3" s="1"/>
  <c r="HS50" i="3" l="1" a="1"/>
  <c r="HS50" i="3" s="1"/>
  <c r="HS137" i="3" a="1"/>
  <c r="HS137" i="3" s="1"/>
  <c r="HS120" i="3"/>
  <c r="HS112" i="3"/>
  <c r="HR132" i="3"/>
  <c r="HO129" i="3"/>
  <c r="HP127" i="3"/>
  <c r="HP128" i="3" s="1"/>
  <c r="HS126" i="3"/>
  <c r="CD111" i="3"/>
  <c r="DM122" i="3"/>
  <c r="DM117" i="3"/>
  <c r="HS110" i="3"/>
  <c r="HS118" i="3"/>
  <c r="HT2" i="3"/>
  <c r="HT45" i="3" s="1"/>
  <c r="HT50" i="3" l="1" a="1"/>
  <c r="HT50" i="3" s="1"/>
  <c r="HT137" i="3" a="1"/>
  <c r="HT137" i="3" s="1"/>
  <c r="HT112" i="3"/>
  <c r="HT120" i="3"/>
  <c r="HP129" i="3"/>
  <c r="HQ127" i="3"/>
  <c r="HQ128" i="3" s="1"/>
  <c r="HS132" i="3"/>
  <c r="HT126" i="3"/>
  <c r="CD113" i="3"/>
  <c r="HT110" i="3"/>
  <c r="HT118" i="3"/>
  <c r="DM119" i="3"/>
  <c r="DM121" i="3" s="1"/>
  <c r="HU2" i="3"/>
  <c r="HU45" i="3" s="1"/>
  <c r="HU50" i="3" l="1" a="1"/>
  <c r="HU50" i="3" s="1"/>
  <c r="HU137" i="3" a="1"/>
  <c r="HU137" i="3" s="1"/>
  <c r="HU120" i="3"/>
  <c r="HU112" i="3"/>
  <c r="HQ129" i="3"/>
  <c r="HR127" i="3"/>
  <c r="HR128" i="3" s="1"/>
  <c r="CD138" i="3"/>
  <c r="CD135" i="3"/>
  <c r="HU126" i="3"/>
  <c r="CE109" i="3"/>
  <c r="CE114" i="3"/>
  <c r="HT132" i="3"/>
  <c r="HU110" i="3"/>
  <c r="HU118" i="3"/>
  <c r="DN122" i="3"/>
  <c r="DN117" i="3"/>
  <c r="HV2" i="3"/>
  <c r="HV45" i="3" s="1"/>
  <c r="HV50" i="3" l="1" a="1"/>
  <c r="HV50" i="3" s="1"/>
  <c r="HV137" i="3" a="1"/>
  <c r="HV137" i="3" s="1"/>
  <c r="HV120" i="3"/>
  <c r="HV112" i="3"/>
  <c r="HS127" i="3"/>
  <c r="HS128" i="3" s="1"/>
  <c r="HR129" i="3"/>
  <c r="HV126" i="3"/>
  <c r="HU132" i="3"/>
  <c r="CE111" i="3"/>
  <c r="HV110" i="3"/>
  <c r="HV118" i="3"/>
  <c r="DN119" i="3"/>
  <c r="DN121" i="3" s="1"/>
  <c r="HW2" i="3"/>
  <c r="HW45" i="3" s="1"/>
  <c r="HW50" i="3" l="1" a="1"/>
  <c r="HW50" i="3" s="1"/>
  <c r="HW137" i="3" a="1"/>
  <c r="HW137" i="3" s="1"/>
  <c r="HW112" i="3"/>
  <c r="HW120" i="3"/>
  <c r="HS129" i="3"/>
  <c r="HT127" i="3"/>
  <c r="HT128" i="3" s="1"/>
  <c r="HW126" i="3"/>
  <c r="HV132" i="3"/>
  <c r="CE113" i="3"/>
  <c r="DO122" i="3"/>
  <c r="DO117" i="3"/>
  <c r="HW110" i="3"/>
  <c r="HW118" i="3"/>
  <c r="HX2" i="3"/>
  <c r="HX45" i="3" s="1"/>
  <c r="HX50" i="3" s="1" a="1"/>
  <c r="HX50" i="3" s="1"/>
  <c r="HX137" i="3" l="1" a="1"/>
  <c r="HX137" i="3" s="1"/>
  <c r="HX120" i="3"/>
  <c r="HX112" i="3"/>
  <c r="HT129" i="3"/>
  <c r="HU127" i="3"/>
  <c r="HU128" i="3" s="1"/>
  <c r="CE138" i="3"/>
  <c r="CE135" i="3"/>
  <c r="HX126" i="3"/>
  <c r="CF114" i="3"/>
  <c r="CF109" i="3"/>
  <c r="HW132" i="3"/>
  <c r="DO119" i="3"/>
  <c r="DO121" i="3" s="1"/>
  <c r="HX110" i="3"/>
  <c r="HX118" i="3"/>
  <c r="HY2" i="3"/>
  <c r="HY45" i="3" s="1"/>
  <c r="HY50" i="3" s="1" a="1"/>
  <c r="HY50" i="3" s="1"/>
  <c r="HY137" i="3" l="1" a="1"/>
  <c r="HY137" i="3" s="1"/>
  <c r="HY112" i="3"/>
  <c r="HY120" i="3"/>
  <c r="HU129" i="3"/>
  <c r="HV127" i="3"/>
  <c r="HV128" i="3" s="1"/>
  <c r="HY126" i="3"/>
  <c r="HX132" i="3"/>
  <c r="CF111" i="3"/>
  <c r="DP117" i="3"/>
  <c r="DP122" i="3"/>
  <c r="HY110" i="3"/>
  <c r="HY118" i="3"/>
  <c r="HZ2" i="3"/>
  <c r="HZ45" i="3" s="1"/>
  <c r="HZ50" i="3" l="1" a="1"/>
  <c r="HZ50" i="3" s="1"/>
  <c r="HZ137" i="3" a="1"/>
  <c r="HZ137" i="3" s="1"/>
  <c r="HZ112" i="3"/>
  <c r="HZ120" i="3"/>
  <c r="HV129" i="3"/>
  <c r="HW127" i="3"/>
  <c r="HW128" i="3" s="1"/>
  <c r="HZ126" i="3"/>
  <c r="HY132" i="3"/>
  <c r="CF113" i="3"/>
  <c r="HZ110" i="3"/>
  <c r="HZ118" i="3"/>
  <c r="DP119" i="3"/>
  <c r="DP121" i="3" s="1"/>
  <c r="IA2" i="3"/>
  <c r="IA45" i="3" s="1"/>
  <c r="IA50" i="3" l="1" a="1"/>
  <c r="IA50" i="3" s="1"/>
  <c r="IA137" i="3" a="1"/>
  <c r="IA137" i="3" s="1"/>
  <c r="IA112" i="3"/>
  <c r="IA120" i="3"/>
  <c r="HW129" i="3"/>
  <c r="HX127" i="3"/>
  <c r="HX128" i="3" s="1"/>
  <c r="CF138" i="3"/>
  <c r="CF135" i="3"/>
  <c r="IA126" i="3"/>
  <c r="HZ132" i="3"/>
  <c r="CG114" i="3"/>
  <c r="CG109" i="3"/>
  <c r="IA110" i="3"/>
  <c r="IA118" i="3"/>
  <c r="DQ122" i="3"/>
  <c r="DQ117" i="3"/>
  <c r="IB2" i="3"/>
  <c r="IB45" i="3" s="1"/>
  <c r="IB50" i="3" l="1" a="1"/>
  <c r="IB50" i="3" s="1"/>
  <c r="IB137" i="3" a="1"/>
  <c r="IB137" i="3" s="1"/>
  <c r="IB112" i="3"/>
  <c r="IB120" i="3"/>
  <c r="HX129" i="3"/>
  <c r="HY127" i="3"/>
  <c r="HY128" i="3" s="1"/>
  <c r="IB126" i="3"/>
  <c r="IA132" i="3"/>
  <c r="CG111" i="3"/>
  <c r="IB110" i="3"/>
  <c r="IB118" i="3"/>
  <c r="DQ119" i="3"/>
  <c r="DQ121" i="3" s="1"/>
  <c r="IC2" i="3"/>
  <c r="IC45" i="3" s="1"/>
  <c r="IC50" i="3" l="1" a="1"/>
  <c r="IC50" i="3" s="1"/>
  <c r="IC137" i="3" a="1"/>
  <c r="IC137" i="3" s="1"/>
  <c r="IC120" i="3"/>
  <c r="IC112" i="3"/>
  <c r="HY129" i="3"/>
  <c r="HZ127" i="3"/>
  <c r="HZ128" i="3" s="1"/>
  <c r="IC126" i="3"/>
  <c r="IB132" i="3"/>
  <c r="CG113" i="3"/>
  <c r="DR117" i="3"/>
  <c r="DR122" i="3"/>
  <c r="IC110" i="3"/>
  <c r="IC118" i="3"/>
  <c r="ID2" i="3"/>
  <c r="ID45" i="3" s="1"/>
  <c r="ID50" i="3" l="1" a="1"/>
  <c r="ID50" i="3" s="1"/>
  <c r="ID137" i="3" a="1"/>
  <c r="ID137" i="3" s="1"/>
  <c r="ID120" i="3"/>
  <c r="ID112" i="3"/>
  <c r="HZ129" i="3"/>
  <c r="IA127" i="3"/>
  <c r="IA128" i="3" s="1"/>
  <c r="CG138" i="3"/>
  <c r="CG135" i="3"/>
  <c r="ID126" i="3"/>
  <c r="IC132" i="3"/>
  <c r="CH114" i="3"/>
  <c r="CH109" i="3"/>
  <c r="ID110" i="3"/>
  <c r="ID118" i="3"/>
  <c r="DR119" i="3"/>
  <c r="DR121" i="3" s="1"/>
  <c r="IE2" i="3"/>
  <c r="IE45" i="3" s="1"/>
  <c r="IE50" i="3" l="1" a="1"/>
  <c r="IE50" i="3" s="1"/>
  <c r="IE137" i="3" a="1"/>
  <c r="IE137" i="3" s="1"/>
  <c r="IE120" i="3"/>
  <c r="IE112" i="3"/>
  <c r="IA129" i="3"/>
  <c r="IB127" i="3"/>
  <c r="IB128" i="3" s="1"/>
  <c r="IE126" i="3"/>
  <c r="ID132" i="3"/>
  <c r="CH111" i="3"/>
  <c r="DS122" i="3"/>
  <c r="DS117" i="3"/>
  <c r="IE110" i="3"/>
  <c r="IE118" i="3"/>
  <c r="IF2" i="3"/>
  <c r="IF45" i="3" s="1"/>
  <c r="IF50" i="3" l="1" a="1"/>
  <c r="IF50" i="3" s="1"/>
  <c r="IF137" i="3" a="1"/>
  <c r="IF137" i="3" s="1"/>
  <c r="IF112" i="3"/>
  <c r="IF120" i="3"/>
  <c r="IB129" i="3"/>
  <c r="IC127" i="3"/>
  <c r="IC128" i="3" s="1"/>
  <c r="IF126" i="3"/>
  <c r="IE132" i="3"/>
  <c r="CH113" i="3"/>
  <c r="IF110" i="3"/>
  <c r="IF118" i="3"/>
  <c r="DS119" i="3"/>
  <c r="DS121" i="3" s="1"/>
  <c r="IG2" i="3"/>
  <c r="IG45" i="3" s="1"/>
  <c r="IG50" i="3" l="1" a="1"/>
  <c r="IG50" i="3" s="1"/>
  <c r="IG137" i="3" a="1"/>
  <c r="IG137" i="3" s="1"/>
  <c r="IG120" i="3"/>
  <c r="IG112" i="3"/>
  <c r="IC129" i="3"/>
  <c r="ID127" i="3"/>
  <c r="ID128" i="3" s="1"/>
  <c r="CH138" i="3"/>
  <c r="CH135" i="3"/>
  <c r="IG126" i="3"/>
  <c r="IF132" i="3"/>
  <c r="CI109" i="3"/>
  <c r="CI114" i="3"/>
  <c r="DT122" i="3"/>
  <c r="DT117" i="3"/>
  <c r="IG110" i="3"/>
  <c r="IG118" i="3"/>
  <c r="IH2" i="3"/>
  <c r="IH45" i="3" s="1"/>
  <c r="IH50" i="3" l="1" a="1"/>
  <c r="IH50" i="3" s="1"/>
  <c r="IH137" i="3" a="1"/>
  <c r="IH137" i="3" s="1"/>
  <c r="IH112" i="3"/>
  <c r="IH120" i="3"/>
  <c r="ID129" i="3"/>
  <c r="IE127" i="3"/>
  <c r="IE128" i="3" s="1"/>
  <c r="IH126" i="3"/>
  <c r="IG132" i="3"/>
  <c r="CI111" i="3"/>
  <c r="IH110" i="3"/>
  <c r="IH118" i="3"/>
  <c r="DT119" i="3"/>
  <c r="DT121" i="3" s="1"/>
  <c r="II2" i="3"/>
  <c r="II45" i="3" s="1"/>
  <c r="II50" i="3" l="1" a="1"/>
  <c r="II50" i="3" s="1"/>
  <c r="II137" i="3" a="1"/>
  <c r="II137" i="3" s="1"/>
  <c r="II120" i="3"/>
  <c r="II112" i="3"/>
  <c r="IE129" i="3"/>
  <c r="IF127" i="3"/>
  <c r="IF128" i="3" s="1"/>
  <c r="CI113" i="3"/>
  <c r="CJ114" i="3" s="1"/>
  <c r="II126" i="3"/>
  <c r="IH132" i="3"/>
  <c r="DU122" i="3"/>
  <c r="DU117" i="3"/>
  <c r="II110" i="3"/>
  <c r="II118" i="3"/>
  <c r="IJ2" i="3"/>
  <c r="IJ45" i="3" s="1"/>
  <c r="IJ50" i="3" s="1" a="1"/>
  <c r="IJ50" i="3" s="1"/>
  <c r="IJ137" i="3" l="1" a="1"/>
  <c r="IJ137" i="3" s="1"/>
  <c r="IJ112" i="3"/>
  <c r="IJ120" i="3"/>
  <c r="IG127" i="3"/>
  <c r="IG128" i="3" s="1"/>
  <c r="IF129" i="3"/>
  <c r="CI138" i="3"/>
  <c r="CI135" i="3"/>
  <c r="CJ109" i="3"/>
  <c r="CJ111" i="3" s="1"/>
  <c r="IJ126" i="3"/>
  <c r="II132" i="3"/>
  <c r="IJ110" i="3"/>
  <c r="IJ118" i="3"/>
  <c r="DU119" i="3"/>
  <c r="IK2" i="3"/>
  <c r="IK45" i="3" s="1"/>
  <c r="IK50" i="3" s="1" a="1"/>
  <c r="IK50" i="3" s="1"/>
  <c r="IK137" i="3" l="1" a="1"/>
  <c r="IK137" i="3" s="1"/>
  <c r="IK120" i="3"/>
  <c r="IK112" i="3"/>
  <c r="IH127" i="3"/>
  <c r="IH128" i="3" s="1"/>
  <c r="IG129" i="3"/>
  <c r="IK126" i="3"/>
  <c r="DU121" i="3"/>
  <c r="IJ132" i="3"/>
  <c r="CJ113" i="3"/>
  <c r="IK110" i="3"/>
  <c r="IK118" i="3"/>
  <c r="IL2" i="3"/>
  <c r="IL45" i="3" s="1"/>
  <c r="IL50" i="3" s="1" a="1"/>
  <c r="IL50" i="3" s="1"/>
  <c r="IL137" i="3" l="1" a="1"/>
  <c r="IL137" i="3" s="1"/>
  <c r="IL120" i="3"/>
  <c r="IL112" i="3"/>
  <c r="IH129" i="3"/>
  <c r="II127" i="3"/>
  <c r="II128" i="3" s="1"/>
  <c r="CJ138" i="3"/>
  <c r="CJ135" i="3"/>
  <c r="IL126" i="3"/>
  <c r="DV122" i="3"/>
  <c r="DV117" i="3"/>
  <c r="CK114" i="3"/>
  <c r="CK109" i="3"/>
  <c r="IL110" i="3"/>
  <c r="IL118" i="3"/>
  <c r="IM2" i="3"/>
  <c r="IM45" i="3" s="1"/>
  <c r="IM50" i="3" l="1" a="1"/>
  <c r="IM50" i="3" s="1"/>
  <c r="IM137" i="3" a="1"/>
  <c r="IM137" i="3" s="1"/>
  <c r="IM120" i="3"/>
  <c r="IM112" i="3"/>
  <c r="DV119" i="3"/>
  <c r="DV121" i="3" s="1"/>
  <c r="II129" i="3"/>
  <c r="IJ127" i="3"/>
  <c r="IJ128" i="3" s="1"/>
  <c r="IM126" i="3"/>
  <c r="IL132" i="3"/>
  <c r="CK111" i="3"/>
  <c r="IM110" i="3"/>
  <c r="IM118" i="3"/>
  <c r="IN2" i="3"/>
  <c r="IN45" i="3" s="1"/>
  <c r="IN50" i="3" l="1" a="1"/>
  <c r="IN50" i="3" s="1"/>
  <c r="IN137" i="3" a="1"/>
  <c r="IN137" i="3" s="1"/>
  <c r="IN120" i="3"/>
  <c r="IN112" i="3"/>
  <c r="DW117" i="3"/>
  <c r="DW119" i="3" s="1"/>
  <c r="DW121" i="3" s="1"/>
  <c r="DW122" i="3"/>
  <c r="IJ129" i="3"/>
  <c r="IK127" i="3"/>
  <c r="IK128" i="3" s="1"/>
  <c r="IN126" i="3"/>
  <c r="IM132" i="3"/>
  <c r="CK113" i="3"/>
  <c r="IN110" i="3"/>
  <c r="IN118" i="3"/>
  <c r="IO2" i="3"/>
  <c r="IO45" i="3" s="1"/>
  <c r="IO50" i="3" l="1" a="1"/>
  <c r="IO50" i="3" s="1"/>
  <c r="IO137" i="3" a="1"/>
  <c r="IO137" i="3" s="1"/>
  <c r="IO120" i="3"/>
  <c r="IO112" i="3"/>
  <c r="IK129" i="3"/>
  <c r="IL127" i="3"/>
  <c r="IL128" i="3" s="1"/>
  <c r="CK138" i="3"/>
  <c r="CK135" i="3"/>
  <c r="IO126" i="3"/>
  <c r="IN132" i="3"/>
  <c r="CL109" i="3"/>
  <c r="CL114" i="3"/>
  <c r="DX122" i="3"/>
  <c r="DX117" i="3"/>
  <c r="IO110" i="3"/>
  <c r="IO118" i="3"/>
  <c r="IP2" i="3"/>
  <c r="IP45" i="3" s="1"/>
  <c r="IP50" i="3" l="1" a="1"/>
  <c r="IP50" i="3" s="1"/>
  <c r="IP137" i="3" a="1"/>
  <c r="IP137" i="3" s="1"/>
  <c r="IP120" i="3"/>
  <c r="IP112" i="3"/>
  <c r="IM127" i="3"/>
  <c r="IM128" i="3" s="1"/>
  <c r="IL129" i="3"/>
  <c r="IP126" i="3"/>
  <c r="IO132" i="3"/>
  <c r="CL111" i="3"/>
  <c r="IP110" i="3"/>
  <c r="IP118" i="3"/>
  <c r="DX119" i="3"/>
  <c r="DX121" i="3" s="1"/>
  <c r="IQ2" i="3"/>
  <c r="IQ45" i="3" s="1"/>
  <c r="IQ50" i="3" l="1" a="1"/>
  <c r="IQ50" i="3" s="1"/>
  <c r="IQ137" i="3" a="1"/>
  <c r="IQ137" i="3" s="1"/>
  <c r="IQ120" i="3"/>
  <c r="IQ112" i="3"/>
  <c r="IM129" i="3"/>
  <c r="IN127" i="3"/>
  <c r="IN128" i="3" s="1"/>
  <c r="IQ126" i="3"/>
  <c r="IP132" i="3"/>
  <c r="CL113" i="3"/>
  <c r="DY122" i="3"/>
  <c r="DY117" i="3"/>
  <c r="IQ110" i="3"/>
  <c r="IQ118" i="3"/>
  <c r="IR2" i="3"/>
  <c r="IR45" i="3" s="1"/>
  <c r="IR50" i="3" l="1" a="1"/>
  <c r="IR50" i="3" s="1"/>
  <c r="IR137" i="3" a="1"/>
  <c r="IR137" i="3" s="1"/>
  <c r="IR112" i="3"/>
  <c r="IR120" i="3"/>
  <c r="IN129" i="3"/>
  <c r="IO127" i="3"/>
  <c r="IO128" i="3" s="1"/>
  <c r="CL138" i="3"/>
  <c r="CL135" i="3"/>
  <c r="IQ132" i="3"/>
  <c r="IR126" i="3"/>
  <c r="CM109" i="3"/>
  <c r="CM114" i="3"/>
  <c r="IR110" i="3"/>
  <c r="IR118" i="3"/>
  <c r="DY119" i="3"/>
  <c r="DY121" i="3" s="1"/>
  <c r="IS2" i="3"/>
  <c r="IS45" i="3" s="1"/>
  <c r="IS50" i="3" l="1" a="1"/>
  <c r="IS50" i="3" s="1"/>
  <c r="IS137" i="3" a="1"/>
  <c r="IS137" i="3" s="1"/>
  <c r="IS120" i="3"/>
  <c r="IS112" i="3"/>
  <c r="IO129" i="3"/>
  <c r="IP127" i="3"/>
  <c r="IP128" i="3" s="1"/>
  <c r="IS126" i="3"/>
  <c r="IR132" i="3"/>
  <c r="CM111" i="3"/>
  <c r="DZ122" i="3"/>
  <c r="DZ117" i="3"/>
  <c r="IS110" i="3"/>
  <c r="IS118" i="3"/>
  <c r="IT2" i="3"/>
  <c r="IT45" i="3" s="1"/>
  <c r="IT50" i="3" l="1" a="1"/>
  <c r="IT50" i="3" s="1"/>
  <c r="IT137" i="3" a="1"/>
  <c r="IT137" i="3" s="1"/>
  <c r="IT112" i="3"/>
  <c r="IT120" i="3"/>
  <c r="IP129" i="3"/>
  <c r="IQ127" i="3"/>
  <c r="IQ128" i="3" s="1"/>
  <c r="IS132" i="3"/>
  <c r="IT126" i="3"/>
  <c r="CM113" i="3"/>
  <c r="IT110" i="3"/>
  <c r="IT118" i="3"/>
  <c r="DZ119" i="3"/>
  <c r="DZ121" i="3" s="1"/>
  <c r="IU2" i="3"/>
  <c r="IU45" i="3" s="1"/>
  <c r="IU50" i="3" l="1" a="1"/>
  <c r="IU50" i="3" s="1"/>
  <c r="IU137" i="3" a="1"/>
  <c r="IU137" i="3" s="1"/>
  <c r="IU120" i="3"/>
  <c r="IU112" i="3"/>
  <c r="IQ129" i="3"/>
  <c r="IR127" i="3"/>
  <c r="IR128" i="3" s="1"/>
  <c r="CM138" i="3"/>
  <c r="CM135" i="3"/>
  <c r="IU126" i="3"/>
  <c r="CN114" i="3"/>
  <c r="CN109" i="3"/>
  <c r="IT132" i="3"/>
  <c r="EA122" i="3"/>
  <c r="EA117" i="3"/>
  <c r="IU110" i="3"/>
  <c r="IU118" i="3"/>
  <c r="IV2" i="3"/>
  <c r="IV45" i="3" s="1"/>
  <c r="IV50" i="3" s="1" a="1"/>
  <c r="IV50" i="3" s="1"/>
  <c r="IV137" i="3" l="1" a="1"/>
  <c r="IV137" i="3" s="1"/>
  <c r="IV112" i="3"/>
  <c r="IV120" i="3"/>
  <c r="IS127" i="3"/>
  <c r="IS128" i="3" s="1"/>
  <c r="IR129" i="3"/>
  <c r="IV126" i="3"/>
  <c r="IU132" i="3"/>
  <c r="CN111" i="3"/>
  <c r="IV110" i="3"/>
  <c r="IV118" i="3"/>
  <c r="EA119" i="3"/>
  <c r="EA121" i="3" s="1"/>
  <c r="IW2" i="3"/>
  <c r="IW45" i="3" s="1"/>
  <c r="IW50" i="3" s="1" a="1"/>
  <c r="IW50" i="3" s="1"/>
  <c r="IW137" i="3" l="1" a="1"/>
  <c r="IW137" i="3" s="1"/>
  <c r="IW120" i="3"/>
  <c r="IW112" i="3"/>
  <c r="IS129" i="3"/>
  <c r="IT127" i="3"/>
  <c r="IT128" i="3" s="1"/>
  <c r="IW126" i="3"/>
  <c r="IV132" i="3"/>
  <c r="CN113" i="3"/>
  <c r="EB122" i="3"/>
  <c r="EB117" i="3"/>
  <c r="IW110" i="3"/>
  <c r="IW118" i="3"/>
  <c r="IX2" i="3"/>
  <c r="IX45" i="3" s="1"/>
  <c r="IX50" i="3" l="1" a="1"/>
  <c r="IX50" i="3" s="1"/>
  <c r="IX137" i="3" a="1"/>
  <c r="IX137" i="3" s="1"/>
  <c r="IX120" i="3"/>
  <c r="IX112" i="3"/>
  <c r="IT129" i="3"/>
  <c r="IU127" i="3"/>
  <c r="IU128" i="3" s="1"/>
  <c r="CN138" i="3"/>
  <c r="CN135" i="3"/>
  <c r="IW132" i="3"/>
  <c r="IX126" i="3"/>
  <c r="CO109" i="3"/>
  <c r="CO114" i="3"/>
  <c r="IX110" i="3"/>
  <c r="IX118" i="3"/>
  <c r="EB119" i="3"/>
  <c r="EB121" i="3" s="1"/>
  <c r="IY2" i="3"/>
  <c r="IY45" i="3" s="1"/>
  <c r="IY50" i="3" l="1" a="1"/>
  <c r="IY50" i="3" s="1"/>
  <c r="IY137" i="3" a="1"/>
  <c r="IY137" i="3" s="1"/>
  <c r="IY120" i="3"/>
  <c r="IY112" i="3"/>
  <c r="IV127" i="3"/>
  <c r="IV128" i="3" s="1"/>
  <c r="IU129" i="3"/>
  <c r="IY126" i="3"/>
  <c r="IX132" i="3"/>
  <c r="CO111" i="3"/>
  <c r="EC117" i="3"/>
  <c r="EC122" i="3"/>
  <c r="IY110" i="3"/>
  <c r="IY118" i="3"/>
  <c r="IZ2" i="3"/>
  <c r="IZ45" i="3" s="1"/>
  <c r="IZ50" i="3" l="1" a="1"/>
  <c r="IZ50" i="3" s="1"/>
  <c r="IZ137" i="3" a="1"/>
  <c r="IZ137" i="3" s="1"/>
  <c r="IZ112" i="3"/>
  <c r="IZ120" i="3"/>
  <c r="IV129" i="3"/>
  <c r="IW127" i="3"/>
  <c r="IW128" i="3" s="1"/>
  <c r="CO113" i="3"/>
  <c r="CP109" i="3" s="1"/>
  <c r="IZ126" i="3"/>
  <c r="IY132" i="3"/>
  <c r="IZ110" i="3"/>
  <c r="IZ118" i="3"/>
  <c r="EC119" i="3"/>
  <c r="EC121" i="3" s="1"/>
  <c r="JA2" i="3"/>
  <c r="JA45" i="3" s="1"/>
  <c r="JA50" i="3" l="1" a="1"/>
  <c r="JA50" i="3" s="1"/>
  <c r="JA137" i="3" a="1"/>
  <c r="JA137" i="3" s="1"/>
  <c r="JA120" i="3"/>
  <c r="JA112" i="3"/>
  <c r="IW129" i="3"/>
  <c r="IX127" i="3"/>
  <c r="IX128" i="3" s="1"/>
  <c r="CP114" i="3"/>
  <c r="CO138" i="3"/>
  <c r="CO135" i="3"/>
  <c r="JA126" i="3"/>
  <c r="IZ132" i="3"/>
  <c r="ED117" i="3"/>
  <c r="ED122" i="3"/>
  <c r="JA110" i="3"/>
  <c r="JA118" i="3"/>
  <c r="JB2" i="3"/>
  <c r="JB45" i="3" s="1"/>
  <c r="JB50" i="3" l="1" a="1"/>
  <c r="JB50" i="3" s="1"/>
  <c r="JB137" i="3" a="1"/>
  <c r="JB137" i="3" s="1"/>
  <c r="JB120" i="3"/>
  <c r="JB112" i="3"/>
  <c r="CP111" i="3"/>
  <c r="IX129" i="3"/>
  <c r="IY127" i="3"/>
  <c r="IY128" i="3" s="1"/>
  <c r="JA132" i="3"/>
  <c r="JB126" i="3"/>
  <c r="JB110" i="3"/>
  <c r="JB118" i="3"/>
  <c r="ED119" i="3"/>
  <c r="ED121" i="3" s="1"/>
  <c r="JC2" i="3"/>
  <c r="JC45" i="3" s="1"/>
  <c r="JC50" i="3" l="1" a="1"/>
  <c r="JC50" i="3" s="1"/>
  <c r="CP113" i="3"/>
  <c r="CQ109" i="3" s="1"/>
  <c r="JC137" i="3" a="1"/>
  <c r="JC137" i="3" s="1"/>
  <c r="JC120" i="3"/>
  <c r="JC112" i="3"/>
  <c r="IY129" i="3"/>
  <c r="IZ127" i="3"/>
  <c r="IZ128" i="3" s="1"/>
  <c r="CP138" i="3"/>
  <c r="JC126" i="3"/>
  <c r="JB132" i="3"/>
  <c r="EE117" i="3"/>
  <c r="EE122" i="3"/>
  <c r="JC110" i="3"/>
  <c r="JC118" i="3"/>
  <c r="JD2" i="3"/>
  <c r="JD45" i="3" s="1"/>
  <c r="JD50" i="3" l="1" a="1"/>
  <c r="JD50" i="3" s="1"/>
  <c r="CQ114" i="3"/>
  <c r="CQ111" i="3" s="1"/>
  <c r="JD137" i="3" a="1"/>
  <c r="JD137" i="3" s="1"/>
  <c r="JD120" i="3"/>
  <c r="JD112" i="3"/>
  <c r="CP135" i="3"/>
  <c r="IZ129" i="3"/>
  <c r="JA127" i="3"/>
  <c r="JA128" i="3" s="1"/>
  <c r="JC132" i="3"/>
  <c r="JD126" i="3"/>
  <c r="JD110" i="3"/>
  <c r="JD118" i="3"/>
  <c r="EE119" i="3"/>
  <c r="EE121" i="3" s="1"/>
  <c r="JE2" i="3"/>
  <c r="JE45" i="3" s="1"/>
  <c r="JE50" i="3" l="1" a="1"/>
  <c r="JE50" i="3" s="1"/>
  <c r="JE137" i="3" a="1"/>
  <c r="JE137" i="3" s="1"/>
  <c r="JE120" i="3"/>
  <c r="JE112" i="3"/>
  <c r="JA129" i="3"/>
  <c r="JB127" i="3"/>
  <c r="JB128" i="3" s="1"/>
  <c r="JE126" i="3"/>
  <c r="JD132" i="3"/>
  <c r="CQ113" i="3"/>
  <c r="EF122" i="3"/>
  <c r="EF117" i="3"/>
  <c r="JE110" i="3"/>
  <c r="JE118" i="3"/>
  <c r="JF2" i="3"/>
  <c r="JF45" i="3" s="1"/>
  <c r="JF50" i="3" l="1" a="1"/>
  <c r="JF50" i="3" s="1"/>
  <c r="JF137" i="3" a="1"/>
  <c r="JF137" i="3" s="1"/>
  <c r="JF120" i="3"/>
  <c r="JF112" i="3"/>
  <c r="JB129" i="3"/>
  <c r="JC127" i="3"/>
  <c r="JC128" i="3" s="1"/>
  <c r="CQ138" i="3"/>
  <c r="CQ135" i="3"/>
  <c r="JF126" i="3"/>
  <c r="JE132" i="3"/>
  <c r="CR114" i="3"/>
  <c r="CR109" i="3"/>
  <c r="JF110" i="3"/>
  <c r="JF118" i="3"/>
  <c r="EF119" i="3"/>
  <c r="EF121" i="3" s="1"/>
  <c r="JG2" i="3"/>
  <c r="JG45" i="3" s="1"/>
  <c r="JG50" i="3" l="1" a="1"/>
  <c r="JG50" i="3" s="1"/>
  <c r="JG137" i="3" a="1"/>
  <c r="JG137" i="3" s="1"/>
  <c r="JG120" i="3"/>
  <c r="JG112" i="3"/>
  <c r="JD127" i="3"/>
  <c r="JD128" i="3" s="1"/>
  <c r="JC129" i="3"/>
  <c r="JF132" i="3"/>
  <c r="JG126" i="3"/>
  <c r="CR111" i="3"/>
  <c r="EG122" i="3"/>
  <c r="EG117" i="3"/>
  <c r="JG110" i="3"/>
  <c r="JG118" i="3"/>
  <c r="JH2" i="3"/>
  <c r="JH45" i="3" s="1"/>
  <c r="JH50" i="3" s="1" a="1"/>
  <c r="JH50" i="3" s="1"/>
  <c r="JH137" i="3" l="1" a="1"/>
  <c r="JH137" i="3" s="1"/>
  <c r="JH120" i="3"/>
  <c r="JH112" i="3"/>
  <c r="JG132" i="3"/>
  <c r="JD129" i="3"/>
  <c r="JE127" i="3"/>
  <c r="JE128" i="3" s="1"/>
  <c r="CR113" i="3"/>
  <c r="CS114" i="3" s="1"/>
  <c r="JH126" i="3"/>
  <c r="JH110" i="3"/>
  <c r="JH118" i="3"/>
  <c r="EG119" i="3"/>
  <c r="JI2" i="3"/>
  <c r="JI45" i="3" s="1"/>
  <c r="JI50" i="3" s="1" a="1"/>
  <c r="JI50" i="3" s="1"/>
  <c r="JI137" i="3" l="1" a="1"/>
  <c r="JI137" i="3" s="1"/>
  <c r="JI120" i="3"/>
  <c r="JI112" i="3"/>
  <c r="EG121" i="3"/>
  <c r="JE129" i="3"/>
  <c r="JF127" i="3"/>
  <c r="JF128" i="3" s="1"/>
  <c r="CR138" i="3"/>
  <c r="CR135" i="3"/>
  <c r="CS109" i="3"/>
  <c r="CS111" i="3" s="1"/>
  <c r="JI126" i="3"/>
  <c r="JH132" i="3"/>
  <c r="JI110" i="3"/>
  <c r="JI118" i="3"/>
  <c r="JJ2" i="3"/>
  <c r="JJ45" i="3" s="1"/>
  <c r="JJ50" i="3" s="1" a="1"/>
  <c r="JJ50" i="3" s="1"/>
  <c r="JJ137" i="3" l="1" a="1"/>
  <c r="JJ137" i="3" s="1"/>
  <c r="JJ112" i="3"/>
  <c r="JJ120" i="3"/>
  <c r="EH117" i="3"/>
  <c r="EH119" i="3" s="1"/>
  <c r="EH121" i="3" s="1"/>
  <c r="EH122" i="3"/>
  <c r="JF129" i="3"/>
  <c r="JG127" i="3"/>
  <c r="JG128" i="3" s="1"/>
  <c r="JI132" i="3"/>
  <c r="JJ126" i="3"/>
  <c r="CS113" i="3"/>
  <c r="JJ110" i="3"/>
  <c r="JJ118" i="3"/>
  <c r="JK2" i="3"/>
  <c r="JK45" i="3" s="1"/>
  <c r="JK50" i="3" l="1" a="1"/>
  <c r="JK50" i="3" s="1"/>
  <c r="JK137" i="3" a="1"/>
  <c r="JK137" i="3" s="1"/>
  <c r="JK112" i="3"/>
  <c r="JK120" i="3"/>
  <c r="JG129" i="3"/>
  <c r="JH127" i="3"/>
  <c r="JH128" i="3" s="1"/>
  <c r="CS138" i="3"/>
  <c r="CS135" i="3"/>
  <c r="JK126" i="3"/>
  <c r="JJ132" i="3"/>
  <c r="CT114" i="3"/>
  <c r="CT109" i="3"/>
  <c r="EI122" i="3"/>
  <c r="EI117" i="3"/>
  <c r="JK110" i="3"/>
  <c r="JK118" i="3"/>
  <c r="JL2" i="3"/>
  <c r="JL45" i="3" s="1"/>
  <c r="JL50" i="3" l="1" a="1"/>
  <c r="JL50" i="3" s="1"/>
  <c r="JL137" i="3" a="1"/>
  <c r="JL137" i="3" s="1"/>
  <c r="JL112" i="3"/>
  <c r="JL120" i="3"/>
  <c r="JH129" i="3"/>
  <c r="JI127" i="3"/>
  <c r="JI128" i="3" s="1"/>
  <c r="JL126" i="3"/>
  <c r="JK132" i="3"/>
  <c r="CT111" i="3"/>
  <c r="JL110" i="3"/>
  <c r="JL118" i="3"/>
  <c r="EI119" i="3"/>
  <c r="EI121" i="3" s="1"/>
  <c r="JM2" i="3"/>
  <c r="JM45" i="3" s="1"/>
  <c r="JM50" i="3" l="1" a="1"/>
  <c r="JM50" i="3" s="1"/>
  <c r="JM137" i="3" a="1"/>
  <c r="JM137" i="3" s="1"/>
  <c r="JM120" i="3"/>
  <c r="JM112" i="3"/>
  <c r="JI129" i="3"/>
  <c r="JJ127" i="3"/>
  <c r="JJ128" i="3" s="1"/>
  <c r="JM126" i="3"/>
  <c r="JL132" i="3"/>
  <c r="CT113" i="3"/>
  <c r="EJ122" i="3"/>
  <c r="EJ117" i="3"/>
  <c r="JM110" i="3"/>
  <c r="JM118" i="3"/>
  <c r="JN2" i="3"/>
  <c r="JN45" i="3" s="1"/>
  <c r="JN50" i="3" l="1" a="1"/>
  <c r="JN50" i="3" s="1"/>
  <c r="JN137" i="3" a="1"/>
  <c r="JN137" i="3" s="1"/>
  <c r="JN120" i="3"/>
  <c r="JN112" i="3"/>
  <c r="JJ129" i="3"/>
  <c r="JK127" i="3"/>
  <c r="JK128" i="3" s="1"/>
  <c r="CT138" i="3"/>
  <c r="CT135" i="3"/>
  <c r="JN126" i="3"/>
  <c r="JM132" i="3"/>
  <c r="CU114" i="3"/>
  <c r="CU109" i="3"/>
  <c r="JN110" i="3"/>
  <c r="JN118" i="3"/>
  <c r="EJ119" i="3"/>
  <c r="EJ121" i="3" s="1"/>
  <c r="JO2" i="3"/>
  <c r="JO45" i="3" s="1"/>
  <c r="JO50" i="3" l="1" a="1"/>
  <c r="JO50" i="3" s="1"/>
  <c r="JO137" i="3" a="1"/>
  <c r="JO137" i="3" s="1"/>
  <c r="JO120" i="3"/>
  <c r="JO112" i="3"/>
  <c r="JK129" i="3"/>
  <c r="JL127" i="3"/>
  <c r="JL128" i="3" s="1"/>
  <c r="JO126" i="3"/>
  <c r="JN132" i="3"/>
  <c r="CU111" i="3"/>
  <c r="EK117" i="3"/>
  <c r="EK122" i="3"/>
  <c r="JO110" i="3"/>
  <c r="JO118" i="3"/>
  <c r="JP2" i="3"/>
  <c r="JP45" i="3" s="1"/>
  <c r="JP50" i="3" l="1" a="1"/>
  <c r="JP50" i="3" s="1"/>
  <c r="JP137" i="3" a="1"/>
  <c r="JP137" i="3" s="1"/>
  <c r="JP112" i="3"/>
  <c r="JP120" i="3"/>
  <c r="JL129" i="3"/>
  <c r="JM127" i="3"/>
  <c r="JM128" i="3" s="1"/>
  <c r="JP126" i="3"/>
  <c r="JO132" i="3"/>
  <c r="CU113" i="3"/>
  <c r="JP110" i="3"/>
  <c r="JP118" i="3"/>
  <c r="EK119" i="3"/>
  <c r="EK121" i="3" s="1"/>
  <c r="JQ2" i="3"/>
  <c r="JQ45" i="3" s="1"/>
  <c r="JQ50" i="3" l="1" a="1"/>
  <c r="JQ50" i="3" s="1"/>
  <c r="JP132" i="3"/>
  <c r="JQ137" i="3" a="1"/>
  <c r="JQ137" i="3" s="1"/>
  <c r="JQ120" i="3"/>
  <c r="JQ112" i="3"/>
  <c r="JM129" i="3"/>
  <c r="JN127" i="3"/>
  <c r="JN128" i="3" s="1"/>
  <c r="CU138" i="3"/>
  <c r="CU135" i="3"/>
  <c r="JQ126" i="3"/>
  <c r="CV109" i="3"/>
  <c r="CV114" i="3"/>
  <c r="JQ110" i="3"/>
  <c r="JQ118" i="3"/>
  <c r="EL117" i="3"/>
  <c r="EL122" i="3"/>
  <c r="JR2" i="3"/>
  <c r="JR45" i="3" s="1"/>
  <c r="JR50" i="3" l="1" a="1"/>
  <c r="JR50" i="3" s="1"/>
  <c r="JR137" i="3" a="1"/>
  <c r="JR137" i="3" s="1"/>
  <c r="JR120" i="3"/>
  <c r="JR112" i="3"/>
  <c r="JN129" i="3"/>
  <c r="JO127" i="3"/>
  <c r="JO128" i="3" s="1"/>
  <c r="JR126" i="3"/>
  <c r="JQ132" i="3"/>
  <c r="CV111" i="3"/>
  <c r="JR110" i="3"/>
  <c r="JR118" i="3"/>
  <c r="EL119" i="3"/>
  <c r="EL121" i="3" s="1"/>
  <c r="JS2" i="3"/>
  <c r="JS45" i="3" s="1"/>
  <c r="JS50" i="3" l="1" a="1"/>
  <c r="JS50" i="3" s="1"/>
  <c r="JR132" i="3"/>
  <c r="JS137" i="3" a="1"/>
  <c r="JS137" i="3" s="1"/>
  <c r="JS112" i="3"/>
  <c r="JS120" i="3"/>
  <c r="JO129" i="3"/>
  <c r="JP127" i="3"/>
  <c r="JP128" i="3" s="1"/>
  <c r="JS126" i="3"/>
  <c r="CV113" i="3"/>
  <c r="EM117" i="3"/>
  <c r="EM122" i="3"/>
  <c r="JS110" i="3"/>
  <c r="JS118" i="3"/>
  <c r="JT2" i="3"/>
  <c r="JT45" i="3" s="1"/>
  <c r="JT50" i="3" s="1" a="1"/>
  <c r="JT50" i="3" s="1"/>
  <c r="JT137" i="3" l="1" a="1"/>
  <c r="JT137" i="3" s="1"/>
  <c r="JT120" i="3"/>
  <c r="JT112" i="3"/>
  <c r="JP129" i="3"/>
  <c r="JQ127" i="3"/>
  <c r="JQ128" i="3" s="1"/>
  <c r="CV138" i="3"/>
  <c r="CV135" i="3"/>
  <c r="JT126" i="3"/>
  <c r="CW114" i="3"/>
  <c r="CW109" i="3"/>
  <c r="JS132" i="3"/>
  <c r="JT110" i="3"/>
  <c r="JT118" i="3"/>
  <c r="EM119" i="3"/>
  <c r="EM121" i="3" s="1"/>
  <c r="JU2" i="3"/>
  <c r="JU45" i="3" s="1"/>
  <c r="JU50" i="3" s="1" a="1"/>
  <c r="JU50" i="3" s="1"/>
  <c r="JU137" i="3" l="1" a="1"/>
  <c r="JU137" i="3" s="1"/>
  <c r="JU112" i="3"/>
  <c r="JU120" i="3"/>
  <c r="JQ129" i="3"/>
  <c r="JR127" i="3"/>
  <c r="JR128" i="3" s="1"/>
  <c r="JU126" i="3"/>
  <c r="JT132" i="3"/>
  <c r="CW111" i="3"/>
  <c r="EN117" i="3"/>
  <c r="EN122" i="3"/>
  <c r="JU110" i="3"/>
  <c r="JU118" i="3"/>
  <c r="JV2" i="3"/>
  <c r="JV45" i="3" s="1"/>
  <c r="JV50" i="3" l="1" a="1"/>
  <c r="JV50" i="3" s="1"/>
  <c r="JU132" i="3"/>
  <c r="JV137" i="3" a="1"/>
  <c r="JV137" i="3" s="1"/>
  <c r="JV120" i="3"/>
  <c r="JV112" i="3"/>
  <c r="JR129" i="3"/>
  <c r="JS127" i="3"/>
  <c r="JS128" i="3" s="1"/>
  <c r="JV126" i="3"/>
  <c r="CW113" i="3"/>
  <c r="JV110" i="3"/>
  <c r="JV118" i="3"/>
  <c r="EN119" i="3"/>
  <c r="EN121" i="3" s="1"/>
  <c r="JW2" i="3"/>
  <c r="JW45" i="3" s="1"/>
  <c r="JW50" i="3" l="1" a="1"/>
  <c r="JW50" i="3" s="1"/>
  <c r="JW137" i="3" a="1"/>
  <c r="JW137" i="3" s="1"/>
  <c r="JW112" i="3"/>
  <c r="JW120" i="3"/>
  <c r="JS129" i="3"/>
  <c r="JT127" i="3"/>
  <c r="JT128" i="3" s="1"/>
  <c r="CW138" i="3"/>
  <c r="CW135" i="3"/>
  <c r="JW126" i="3"/>
  <c r="JV132" i="3"/>
  <c r="CX114" i="3"/>
  <c r="CX109" i="3"/>
  <c r="EO117" i="3"/>
  <c r="EO122" i="3"/>
  <c r="JW110" i="3"/>
  <c r="JW118" i="3"/>
  <c r="JX2" i="3"/>
  <c r="JX45" i="3" s="1"/>
  <c r="JX50" i="3" l="1" a="1"/>
  <c r="JX50" i="3" s="1"/>
  <c r="JX137" i="3" a="1"/>
  <c r="JX137" i="3" s="1"/>
  <c r="JX112" i="3"/>
  <c r="JX120" i="3"/>
  <c r="JT129" i="3"/>
  <c r="JU127" i="3"/>
  <c r="JU128" i="3" s="1"/>
  <c r="JW132" i="3"/>
  <c r="JX126" i="3"/>
  <c r="CX111" i="3"/>
  <c r="JX110" i="3"/>
  <c r="JX118" i="3"/>
  <c r="EO119" i="3"/>
  <c r="EO121" i="3" s="1"/>
  <c r="JY2" i="3"/>
  <c r="JY45" i="3" s="1"/>
  <c r="JY50" i="3" l="1" a="1"/>
  <c r="JY50" i="3" s="1"/>
  <c r="JY137" i="3" a="1"/>
  <c r="JY137" i="3" s="1"/>
  <c r="JY120" i="3"/>
  <c r="JY112" i="3"/>
  <c r="JU129" i="3"/>
  <c r="JV127" i="3"/>
  <c r="JV128" i="3" s="1"/>
  <c r="JX132" i="3"/>
  <c r="JY126" i="3"/>
  <c r="CX113" i="3"/>
  <c r="EP122" i="3"/>
  <c r="EP117" i="3"/>
  <c r="JY110" i="3"/>
  <c r="JY118" i="3"/>
  <c r="JZ2" i="3"/>
  <c r="JZ45" i="3" s="1"/>
  <c r="JZ50" i="3" l="1" a="1"/>
  <c r="JZ50" i="3" s="1"/>
  <c r="JZ137" i="3" a="1"/>
  <c r="JZ137" i="3" s="1"/>
  <c r="JZ112" i="3"/>
  <c r="JZ120" i="3"/>
  <c r="JV129" i="3"/>
  <c r="JW127" i="3"/>
  <c r="JW128" i="3" s="1"/>
  <c r="CX138" i="3"/>
  <c r="CX135" i="3"/>
  <c r="JY132" i="3"/>
  <c r="JZ126" i="3"/>
  <c r="CY109" i="3"/>
  <c r="CY114" i="3"/>
  <c r="JZ110" i="3"/>
  <c r="JZ118" i="3"/>
  <c r="EP119" i="3"/>
  <c r="EP121" i="3" s="1"/>
  <c r="KA2" i="3"/>
  <c r="KA45" i="3" s="1"/>
  <c r="KA50" i="3" l="1" a="1"/>
  <c r="KA50" i="3" s="1"/>
  <c r="KA137" i="3" a="1"/>
  <c r="KA137" i="3" s="1"/>
  <c r="KA120" i="3"/>
  <c r="KA112" i="3"/>
  <c r="JW129" i="3"/>
  <c r="JX127" i="3"/>
  <c r="JX128" i="3" s="1"/>
  <c r="KA126" i="3"/>
  <c r="JZ132" i="3"/>
  <c r="CY111" i="3"/>
  <c r="EQ117" i="3"/>
  <c r="EQ122" i="3"/>
  <c r="KA110" i="3"/>
  <c r="KA118" i="3"/>
  <c r="KB2" i="3"/>
  <c r="KB45" i="3" s="1"/>
  <c r="KB50" i="3" l="1" a="1"/>
  <c r="KB50" i="3" s="1"/>
  <c r="KB137" i="3" a="1"/>
  <c r="KB137" i="3" s="1"/>
  <c r="KB120" i="3"/>
  <c r="KB112" i="3"/>
  <c r="JX129" i="3"/>
  <c r="JY127" i="3"/>
  <c r="JY128" i="3" s="1"/>
  <c r="KB126" i="3"/>
  <c r="KA132" i="3"/>
  <c r="CY113" i="3"/>
  <c r="CZ109" i="3" s="1"/>
  <c r="KB110" i="3"/>
  <c r="KB118" i="3"/>
  <c r="EQ119" i="3"/>
  <c r="EQ121" i="3" s="1"/>
  <c r="KC2" i="3"/>
  <c r="KC45" i="3" s="1"/>
  <c r="KC50" i="3" l="1" a="1"/>
  <c r="KC50" i="3" s="1"/>
  <c r="KC137" i="3" a="1"/>
  <c r="KC137" i="3" s="1"/>
  <c r="KC120" i="3"/>
  <c r="KC112" i="3"/>
  <c r="JY129" i="3"/>
  <c r="JZ127" i="3"/>
  <c r="JZ128" i="3" s="1"/>
  <c r="CY138" i="3"/>
  <c r="CY135" i="3"/>
  <c r="CZ114" i="3"/>
  <c r="KC126" i="3"/>
  <c r="KB132" i="3"/>
  <c r="ER122" i="3"/>
  <c r="ER117" i="3"/>
  <c r="KC110" i="3"/>
  <c r="KC118" i="3"/>
  <c r="KD2" i="3"/>
  <c r="KD45" i="3" s="1"/>
  <c r="KD50" i="3" l="1" a="1"/>
  <c r="KD50" i="3" s="1"/>
  <c r="CZ111" i="3"/>
  <c r="KD137" i="3" a="1"/>
  <c r="KD137" i="3" s="1"/>
  <c r="KD120" i="3"/>
  <c r="KD112" i="3"/>
  <c r="JZ129" i="3"/>
  <c r="KA127" i="3"/>
  <c r="KA128" i="3" s="1"/>
  <c r="KD126" i="3"/>
  <c r="KC132" i="3"/>
  <c r="KD110" i="3"/>
  <c r="KD118" i="3"/>
  <c r="ER119" i="3"/>
  <c r="ER121" i="3" s="1"/>
  <c r="KE2" i="3"/>
  <c r="KE45" i="3" s="1"/>
  <c r="KE50" i="3" l="1" a="1"/>
  <c r="KE50" i="3" s="1"/>
  <c r="CZ113" i="3"/>
  <c r="DA109" i="3" s="1"/>
  <c r="KE137" i="3" a="1"/>
  <c r="KE137" i="3" s="1"/>
  <c r="KE120" i="3"/>
  <c r="KE112" i="3"/>
  <c r="KA129" i="3"/>
  <c r="KB127" i="3"/>
  <c r="KB128" i="3" s="1"/>
  <c r="CZ138" i="3"/>
  <c r="CZ135" i="3"/>
  <c r="KE126" i="3"/>
  <c r="KD132" i="3"/>
  <c r="ES122" i="3"/>
  <c r="ES117" i="3"/>
  <c r="KE110" i="3"/>
  <c r="KE118" i="3"/>
  <c r="KF2" i="3"/>
  <c r="KF45" i="3" s="1"/>
  <c r="KF50" i="3" s="1" a="1"/>
  <c r="KF50" i="3" s="1"/>
  <c r="DA114" i="3" l="1"/>
  <c r="DA111" i="3" s="1"/>
  <c r="KF137" i="3" a="1"/>
  <c r="KF137" i="3" s="1"/>
  <c r="KF112" i="3"/>
  <c r="KF120" i="3"/>
  <c r="KB129" i="3"/>
  <c r="KC127" i="3"/>
  <c r="KC128" i="3" s="1"/>
  <c r="KE132" i="3"/>
  <c r="KF126" i="3"/>
  <c r="KF110" i="3"/>
  <c r="KF118" i="3"/>
  <c r="ES119" i="3"/>
  <c r="KG2" i="3"/>
  <c r="KG45" i="3" s="1"/>
  <c r="KG50" i="3" s="1" a="1"/>
  <c r="KG50" i="3" s="1"/>
  <c r="KG137" i="3" l="1" a="1"/>
  <c r="KG137" i="3" s="1"/>
  <c r="KG120" i="3"/>
  <c r="KG112" i="3"/>
  <c r="ES121" i="3"/>
  <c r="DA113" i="3"/>
  <c r="DB109" i="3" s="1"/>
  <c r="KC129" i="3"/>
  <c r="KD127" i="3"/>
  <c r="KD128" i="3" s="1"/>
  <c r="DA138" i="3"/>
  <c r="DA135" i="3"/>
  <c r="KG126" i="3"/>
  <c r="KF132" i="3"/>
  <c r="KG110" i="3"/>
  <c r="KG118" i="3"/>
  <c r="KH2" i="3"/>
  <c r="KH45" i="3" s="1"/>
  <c r="KH50" i="3" s="1" a="1"/>
  <c r="KH50" i="3" s="1"/>
  <c r="KH137" i="3" l="1" a="1"/>
  <c r="KH137" i="3" s="1"/>
  <c r="KH120" i="3"/>
  <c r="KH112" i="3"/>
  <c r="ET122" i="3"/>
  <c r="ET117" i="3"/>
  <c r="ET119" i="3" s="1"/>
  <c r="ET121" i="3" s="1"/>
  <c r="DB114" i="3"/>
  <c r="KD129" i="3"/>
  <c r="KE127" i="3"/>
  <c r="KE128" i="3" s="1"/>
  <c r="KH126" i="3"/>
  <c r="KG132" i="3"/>
  <c r="KH110" i="3"/>
  <c r="KH118" i="3"/>
  <c r="KI2" i="3"/>
  <c r="KI45" i="3" s="1"/>
  <c r="KI50" i="3" l="1" a="1"/>
  <c r="KI50" i="3" s="1"/>
  <c r="KI137" i="3" a="1"/>
  <c r="KI137" i="3" s="1"/>
  <c r="KI112" i="3"/>
  <c r="KI120" i="3"/>
  <c r="DB111" i="3"/>
  <c r="KE129" i="3"/>
  <c r="KF127" i="3"/>
  <c r="KF128" i="3" s="1"/>
  <c r="KI126" i="3"/>
  <c r="KH132" i="3"/>
  <c r="EU122" i="3"/>
  <c r="EU117" i="3"/>
  <c r="KI110" i="3"/>
  <c r="KI118" i="3"/>
  <c r="KJ2" i="3"/>
  <c r="KJ45" i="3" s="1"/>
  <c r="KJ50" i="3" l="1" a="1"/>
  <c r="KJ50" i="3" s="1"/>
  <c r="DB113" i="3"/>
  <c r="DC114" i="3" s="1"/>
  <c r="KJ137" i="3" a="1"/>
  <c r="KJ137" i="3" s="1"/>
  <c r="KJ120" i="3"/>
  <c r="KJ112" i="3"/>
  <c r="KF129" i="3"/>
  <c r="KG127" i="3"/>
  <c r="KG128" i="3" s="1"/>
  <c r="KJ126" i="3"/>
  <c r="KI132" i="3"/>
  <c r="KJ110" i="3"/>
  <c r="KJ118" i="3"/>
  <c r="EU119" i="3"/>
  <c r="EU121" i="3" s="1"/>
  <c r="KK2" i="3"/>
  <c r="KK45" i="3" s="1"/>
  <c r="KK50" i="3" l="1" a="1"/>
  <c r="KK50" i="3" s="1"/>
  <c r="DC109" i="3"/>
  <c r="KK137" i="3" a="1"/>
  <c r="KK137" i="3" s="1"/>
  <c r="DB138" i="3"/>
  <c r="KK112" i="3"/>
  <c r="KK120" i="3"/>
  <c r="DB135" i="3"/>
  <c r="KG129" i="3"/>
  <c r="KH127" i="3"/>
  <c r="KH128" i="3" s="1"/>
  <c r="KJ132" i="3"/>
  <c r="KK126" i="3"/>
  <c r="DC111" i="3"/>
  <c r="EV117" i="3"/>
  <c r="EV122" i="3"/>
  <c r="KK110" i="3"/>
  <c r="KK118" i="3"/>
  <c r="KL2" i="3"/>
  <c r="KL45" i="3" s="1"/>
  <c r="KL50" i="3" l="1" a="1"/>
  <c r="KL50" i="3" s="1"/>
  <c r="KK132" i="3"/>
  <c r="KL137" i="3" a="1"/>
  <c r="KL137" i="3" s="1"/>
  <c r="KL112" i="3"/>
  <c r="KL120" i="3"/>
  <c r="KH129" i="3"/>
  <c r="KI127" i="3"/>
  <c r="KI128" i="3" s="1"/>
  <c r="KL126" i="3"/>
  <c r="DC113" i="3"/>
  <c r="KL110" i="3"/>
  <c r="KL118" i="3"/>
  <c r="EV119" i="3"/>
  <c r="EV121" i="3" s="1"/>
  <c r="KM2" i="3"/>
  <c r="KM45" i="3" s="1"/>
  <c r="KM50" i="3" l="1" a="1"/>
  <c r="KM50" i="3" s="1"/>
  <c r="KM137" i="3" a="1"/>
  <c r="KM137" i="3" s="1"/>
  <c r="KM120" i="3"/>
  <c r="KM112" i="3"/>
  <c r="KI129" i="3"/>
  <c r="KJ127" i="3"/>
  <c r="KJ128" i="3" s="1"/>
  <c r="DC138" i="3"/>
  <c r="DC135" i="3"/>
  <c r="KM126" i="3"/>
  <c r="KL132" i="3"/>
  <c r="DD114" i="3"/>
  <c r="DD109" i="3"/>
  <c r="EW122" i="3"/>
  <c r="EW117" i="3"/>
  <c r="KM110" i="3"/>
  <c r="KM118" i="3"/>
  <c r="KN2" i="3"/>
  <c r="KN45" i="3" s="1"/>
  <c r="KN50" i="3" l="1" a="1"/>
  <c r="KN50" i="3" s="1"/>
  <c r="KN137" i="3" a="1"/>
  <c r="KN137" i="3" s="1"/>
  <c r="KN112" i="3"/>
  <c r="KN120" i="3"/>
  <c r="KJ129" i="3"/>
  <c r="KK127" i="3"/>
  <c r="KK128" i="3" s="1"/>
  <c r="KM132" i="3"/>
  <c r="KN126" i="3"/>
  <c r="DD111" i="3"/>
  <c r="KN110" i="3"/>
  <c r="KN118" i="3"/>
  <c r="EW119" i="3"/>
  <c r="EW121" i="3" s="1"/>
  <c r="KO2" i="3"/>
  <c r="KO45" i="3" s="1"/>
  <c r="KO50" i="3" l="1" a="1"/>
  <c r="KO50" i="3" s="1"/>
  <c r="KO137" i="3" a="1"/>
  <c r="KO137" i="3" s="1"/>
  <c r="KO120" i="3"/>
  <c r="KO112" i="3"/>
  <c r="KL127" i="3"/>
  <c r="KL128" i="3" s="1"/>
  <c r="KK129" i="3"/>
  <c r="KO126" i="3"/>
  <c r="KN132" i="3"/>
  <c r="DD113" i="3"/>
  <c r="EX122" i="3"/>
  <c r="EX117" i="3"/>
  <c r="KO110" i="3"/>
  <c r="KO118" i="3"/>
  <c r="KP2" i="3"/>
  <c r="KP45" i="3" s="1"/>
  <c r="KP50" i="3" l="1" a="1"/>
  <c r="KP50" i="3" s="1"/>
  <c r="KP137" i="3" a="1"/>
  <c r="KP137" i="3" s="1"/>
  <c r="KP112" i="3"/>
  <c r="KP120" i="3"/>
  <c r="KM127" i="3"/>
  <c r="KM128" i="3" s="1"/>
  <c r="KL129" i="3"/>
  <c r="DD138" i="3"/>
  <c r="DD135" i="3"/>
  <c r="KP126" i="3"/>
  <c r="KO132" i="3"/>
  <c r="DE109" i="3"/>
  <c r="DE114" i="3"/>
  <c r="KP110" i="3"/>
  <c r="KP118" i="3"/>
  <c r="EX119" i="3"/>
  <c r="EX121" i="3" s="1"/>
  <c r="KQ2" i="3"/>
  <c r="KQ45" i="3" s="1"/>
  <c r="KQ50" i="3" l="1" a="1"/>
  <c r="KQ50" i="3" s="1"/>
  <c r="KQ137" i="3" a="1"/>
  <c r="KQ137" i="3" s="1"/>
  <c r="KQ120" i="3"/>
  <c r="KQ112" i="3"/>
  <c r="KM129" i="3"/>
  <c r="KN127" i="3"/>
  <c r="KN128" i="3" s="1"/>
  <c r="KQ126" i="3"/>
  <c r="KP132" i="3"/>
  <c r="DE111" i="3"/>
  <c r="EY122" i="3"/>
  <c r="EY117" i="3"/>
  <c r="KQ110" i="3"/>
  <c r="KQ118" i="3"/>
  <c r="KR2" i="3"/>
  <c r="KR45" i="3" s="1"/>
  <c r="KR50" i="3" s="1" a="1"/>
  <c r="KR50" i="3" s="1"/>
  <c r="KR137" i="3" l="1" a="1"/>
  <c r="KR137" i="3" s="1"/>
  <c r="KR120" i="3"/>
  <c r="KR112" i="3"/>
  <c r="KN129" i="3"/>
  <c r="KO127" i="3"/>
  <c r="KO128" i="3" s="1"/>
  <c r="KR126" i="3"/>
  <c r="DE113" i="3"/>
  <c r="DF109" i="3" s="1"/>
  <c r="KQ132" i="3"/>
  <c r="EY119" i="3"/>
  <c r="EY121" i="3" s="1"/>
  <c r="KR110" i="3"/>
  <c r="KR118" i="3"/>
  <c r="KS2" i="3"/>
  <c r="KS45" i="3" s="1"/>
  <c r="KS50" i="3" s="1" a="1"/>
  <c r="KS50" i="3" s="1"/>
  <c r="KR132" i="3" l="1"/>
  <c r="KS137" i="3" a="1"/>
  <c r="KS137" i="3" s="1"/>
  <c r="KS120" i="3"/>
  <c r="KS112" i="3"/>
  <c r="KO129" i="3"/>
  <c r="KP127" i="3"/>
  <c r="KP128" i="3" s="1"/>
  <c r="DE138" i="3"/>
  <c r="DE135" i="3"/>
  <c r="DF114" i="3"/>
  <c r="KS126" i="3"/>
  <c r="EZ122" i="3"/>
  <c r="EZ117" i="3"/>
  <c r="KS110" i="3"/>
  <c r="KS118" i="3"/>
  <c r="DF111" i="3" l="1"/>
  <c r="KP129" i="3"/>
  <c r="KQ127" i="3"/>
  <c r="KQ128" i="3" s="1"/>
  <c r="DF113" i="3"/>
  <c r="EZ119" i="3"/>
  <c r="EZ121" i="3" s="1"/>
  <c r="KQ129" i="3" l="1"/>
  <c r="KR127" i="3"/>
  <c r="KR128" i="3" s="1"/>
  <c r="DF138" i="3"/>
  <c r="DF135" i="3"/>
  <c r="DG109" i="3"/>
  <c r="DG114" i="3"/>
  <c r="FA122" i="3"/>
  <c r="FA117" i="3"/>
  <c r="KR129" i="3" l="1"/>
  <c r="KS127" i="3"/>
  <c r="KS128" i="3" s="1"/>
  <c r="DG111" i="3"/>
  <c r="FA119" i="3"/>
  <c r="FA121" i="3" s="1"/>
  <c r="DG113" i="3" l="1"/>
  <c r="DH109" i="3" s="1"/>
  <c r="KS129" i="3"/>
  <c r="FB122" i="3"/>
  <c r="FB117" i="3"/>
  <c r="DH114" i="3" l="1"/>
  <c r="DG138" i="3"/>
  <c r="DG135" i="3"/>
  <c r="FB119" i="3"/>
  <c r="FB121" i="3" s="1"/>
  <c r="DH111" i="3" l="1"/>
  <c r="FC122" i="3"/>
  <c r="FC117" i="3"/>
  <c r="DH113" i="3" l="1"/>
  <c r="DI114" i="3" s="1"/>
  <c r="DH138" i="3"/>
  <c r="FC119" i="3"/>
  <c r="FC121" i="3" s="1"/>
  <c r="DI109" i="3" l="1"/>
  <c r="DI111" i="3" s="1"/>
  <c r="DH135" i="3"/>
  <c r="FD122" i="3"/>
  <c r="FD117" i="3"/>
  <c r="DI113" i="3" l="1"/>
  <c r="FD119" i="3"/>
  <c r="FD121" i="3" s="1"/>
  <c r="DI138" i="3" l="1"/>
  <c r="DI135" i="3"/>
  <c r="DJ114" i="3"/>
  <c r="DJ109" i="3"/>
  <c r="FE122" i="3"/>
  <c r="FE117" i="3"/>
  <c r="DJ111" i="3" l="1"/>
  <c r="FE119" i="3"/>
  <c r="FE121" i="3" s="1"/>
  <c r="DJ113" i="3" l="1"/>
  <c r="FF122" i="3"/>
  <c r="FF117" i="3"/>
  <c r="DJ138" i="3" l="1"/>
  <c r="DJ135" i="3"/>
  <c r="DK114" i="3"/>
  <c r="DK109" i="3"/>
  <c r="FF119" i="3"/>
  <c r="FF121" i="3" s="1"/>
  <c r="DK111" i="3" l="1"/>
  <c r="FG122" i="3"/>
  <c r="FG117" i="3"/>
  <c r="DK113" i="3" l="1"/>
  <c r="FG119" i="3"/>
  <c r="FG121" i="3" s="1"/>
  <c r="DK138" i="3" l="1"/>
  <c r="DK135" i="3"/>
  <c r="DL114" i="3"/>
  <c r="DL109" i="3"/>
  <c r="FH122" i="3"/>
  <c r="FH117" i="3"/>
  <c r="DL111" i="3" l="1"/>
  <c r="FH119" i="3"/>
  <c r="FH121" i="3" s="1"/>
  <c r="DL113" i="3" l="1"/>
  <c r="FI122" i="3"/>
  <c r="FI117" i="3"/>
  <c r="DL138" i="3" l="1"/>
  <c r="DL135" i="3"/>
  <c r="DM114" i="3"/>
  <c r="DM109" i="3"/>
  <c r="FI119" i="3"/>
  <c r="FI121" i="3" s="1"/>
  <c r="DM111" i="3" l="1"/>
  <c r="FJ122" i="3"/>
  <c r="FJ117" i="3"/>
  <c r="DM113" i="3" l="1"/>
  <c r="FJ119" i="3"/>
  <c r="FJ121" i="3" s="1"/>
  <c r="DM138" i="3" l="1"/>
  <c r="DM135" i="3"/>
  <c r="DN114" i="3"/>
  <c r="DN109" i="3"/>
  <c r="FK122" i="3"/>
  <c r="FK117" i="3"/>
  <c r="DN111" i="3" l="1"/>
  <c r="FK119" i="3"/>
  <c r="FK121" i="3" s="1"/>
  <c r="DN113" i="3" l="1"/>
  <c r="FL122" i="3"/>
  <c r="FL117" i="3"/>
  <c r="DN138" i="3" l="1"/>
  <c r="DN135" i="3"/>
  <c r="DO114" i="3"/>
  <c r="DO109" i="3"/>
  <c r="FL119" i="3"/>
  <c r="FL121" i="3" s="1"/>
  <c r="DO111" i="3" l="1"/>
  <c r="FM122" i="3"/>
  <c r="FM117" i="3"/>
  <c r="DO113" i="3" l="1"/>
  <c r="FM119" i="3"/>
  <c r="FM121" i="3" s="1"/>
  <c r="DO138" i="3" l="1"/>
  <c r="DO135" i="3"/>
  <c r="DP114" i="3"/>
  <c r="DP109" i="3"/>
  <c r="FN122" i="3"/>
  <c r="FN117" i="3"/>
  <c r="DP111" i="3" l="1"/>
  <c r="FN119" i="3"/>
  <c r="FN121" i="3" s="1"/>
  <c r="DP113" i="3" l="1"/>
  <c r="DQ114" i="3" s="1"/>
  <c r="FO122" i="3"/>
  <c r="FO117" i="3"/>
  <c r="DP138" i="3" l="1"/>
  <c r="DP135" i="3"/>
  <c r="DQ109" i="3"/>
  <c r="DQ111" i="3" s="1"/>
  <c r="FO119" i="3"/>
  <c r="FO121" i="3" s="1"/>
  <c r="DQ113" i="3" l="1"/>
  <c r="FP122" i="3"/>
  <c r="FP117" i="3"/>
  <c r="DQ138" i="3" l="1"/>
  <c r="DQ135" i="3"/>
  <c r="DR109" i="3"/>
  <c r="DR114" i="3"/>
  <c r="FP119" i="3"/>
  <c r="FP121" i="3" s="1"/>
  <c r="DR111" i="3" l="1"/>
  <c r="FQ122" i="3"/>
  <c r="FQ117" i="3"/>
  <c r="DR113" i="3" l="1"/>
  <c r="FQ119" i="3"/>
  <c r="FQ121" i="3" s="1"/>
  <c r="DR138" i="3" l="1"/>
  <c r="DR135" i="3"/>
  <c r="DS109" i="3"/>
  <c r="DS114" i="3"/>
  <c r="FR122" i="3"/>
  <c r="FR117" i="3"/>
  <c r="DS111" i="3" l="1"/>
  <c r="FR119" i="3"/>
  <c r="FR121" i="3" s="1"/>
  <c r="DS113" i="3" l="1"/>
  <c r="FS122" i="3"/>
  <c r="FS117" i="3"/>
  <c r="DS138" i="3" l="1"/>
  <c r="DS135" i="3"/>
  <c r="DT109" i="3"/>
  <c r="DT114" i="3"/>
  <c r="FS119" i="3"/>
  <c r="FS121" i="3" s="1"/>
  <c r="DT111" i="3" l="1"/>
  <c r="FT122" i="3"/>
  <c r="FT117" i="3"/>
  <c r="DT113" i="3" l="1"/>
  <c r="FT119" i="3"/>
  <c r="FT121" i="3" s="1"/>
  <c r="DT138" i="3" l="1"/>
  <c r="DT135" i="3"/>
  <c r="DU114" i="3"/>
  <c r="DU109" i="3"/>
  <c r="FU122" i="3"/>
  <c r="FU117" i="3"/>
  <c r="DU111" i="3" l="1"/>
  <c r="FU119" i="3"/>
  <c r="FU121" i="3" s="1"/>
  <c r="DU132" i="3" l="1"/>
  <c r="DU113" i="3"/>
  <c r="FV122" i="3"/>
  <c r="FV117" i="3"/>
  <c r="DU138" i="3" l="1"/>
  <c r="DU135" i="3"/>
  <c r="DV109" i="3"/>
  <c r="DV114" i="3"/>
  <c r="FV119" i="3"/>
  <c r="FV121" i="3" s="1"/>
  <c r="DV111" i="3" l="1"/>
  <c r="FW122" i="3"/>
  <c r="FW117" i="3"/>
  <c r="DV113" i="3" l="1"/>
  <c r="FW119" i="3"/>
  <c r="FW121" i="3" s="1"/>
  <c r="DV138" i="3" l="1"/>
  <c r="DV135" i="3"/>
  <c r="DW114" i="3"/>
  <c r="DW109" i="3"/>
  <c r="FX122" i="3"/>
  <c r="FX117" i="3"/>
  <c r="DW111" i="3" l="1"/>
  <c r="FX119" i="3"/>
  <c r="FX121" i="3" s="1"/>
  <c r="DW113" i="3" l="1"/>
  <c r="FY122" i="3"/>
  <c r="FY117" i="3"/>
  <c r="DW138" i="3" l="1"/>
  <c r="DW135" i="3"/>
  <c r="DX114" i="3"/>
  <c r="DX109" i="3"/>
  <c r="FY119" i="3"/>
  <c r="FY121" i="3" s="1"/>
  <c r="DX111" i="3" l="1"/>
  <c r="FZ122" i="3"/>
  <c r="FZ117" i="3"/>
  <c r="DX113" i="3" l="1"/>
  <c r="FZ119" i="3"/>
  <c r="FZ121" i="3" s="1"/>
  <c r="DX138" i="3" l="1"/>
  <c r="DX135" i="3"/>
  <c r="DY114" i="3"/>
  <c r="DY109" i="3"/>
  <c r="GA122" i="3"/>
  <c r="GA117" i="3"/>
  <c r="DY111" i="3" l="1"/>
  <c r="GA119" i="3"/>
  <c r="GA121" i="3" s="1"/>
  <c r="DY113" i="3" l="1"/>
  <c r="GB122" i="3"/>
  <c r="GB117" i="3"/>
  <c r="DY138" i="3" l="1"/>
  <c r="DY135" i="3"/>
  <c r="DZ109" i="3"/>
  <c r="DZ114" i="3"/>
  <c r="GB119" i="3"/>
  <c r="GB121" i="3" s="1"/>
  <c r="DZ111" i="3" l="1"/>
  <c r="GC122" i="3"/>
  <c r="GC117" i="3"/>
  <c r="DZ113" i="3" l="1"/>
  <c r="EA109" i="3" s="1"/>
  <c r="GC119" i="3"/>
  <c r="GC120" i="3" s="1"/>
  <c r="GC121" i="3" l="1"/>
  <c r="DZ138" i="3"/>
  <c r="DZ135" i="3"/>
  <c r="EA114" i="3"/>
  <c r="EA111" i="3" l="1"/>
  <c r="EA113" i="3" s="1"/>
  <c r="GD122" i="3"/>
  <c r="GD117" i="3"/>
  <c r="GD119" i="3" s="1"/>
  <c r="GD121" i="3" s="1"/>
  <c r="EA138" i="3" l="1"/>
  <c r="EA135" i="3"/>
  <c r="EB109" i="3"/>
  <c r="EB114" i="3"/>
  <c r="GE122" i="3"/>
  <c r="GE117" i="3"/>
  <c r="EB111" i="3" l="1"/>
  <c r="GE119" i="3"/>
  <c r="GE121" i="3" s="1"/>
  <c r="EB113" i="3" l="1"/>
  <c r="GF117" i="3"/>
  <c r="GF122" i="3"/>
  <c r="EB138" i="3" l="1"/>
  <c r="EB135" i="3"/>
  <c r="EC114" i="3"/>
  <c r="EC109" i="3"/>
  <c r="GF119" i="3"/>
  <c r="GF121" i="3" s="1"/>
  <c r="EC111" i="3" l="1"/>
  <c r="GG122" i="3"/>
  <c r="GG117" i="3"/>
  <c r="EC113" i="3" l="1"/>
  <c r="GG119" i="3"/>
  <c r="GG121" i="3" s="1"/>
  <c r="EC138" i="3" l="1"/>
  <c r="EC135" i="3"/>
  <c r="ED109" i="3"/>
  <c r="ED114" i="3"/>
  <c r="GH117" i="3"/>
  <c r="GH122" i="3"/>
  <c r="ED111" i="3" l="1"/>
  <c r="GH119" i="3"/>
  <c r="GH121" i="3" s="1"/>
  <c r="ED113" i="3" l="1"/>
  <c r="GI117" i="3"/>
  <c r="GI122" i="3"/>
  <c r="ED138" i="3" l="1"/>
  <c r="ED135" i="3"/>
  <c r="EE114" i="3"/>
  <c r="EE109" i="3"/>
  <c r="GI119" i="3"/>
  <c r="GI121" i="3" s="1"/>
  <c r="EE111" i="3" l="1"/>
  <c r="GJ122" i="3"/>
  <c r="GJ117" i="3"/>
  <c r="EE113" i="3" l="1"/>
  <c r="GJ119" i="3"/>
  <c r="GJ121" i="3" s="1"/>
  <c r="EE138" i="3" l="1"/>
  <c r="EE135" i="3"/>
  <c r="EF114" i="3"/>
  <c r="EF109" i="3"/>
  <c r="GK122" i="3"/>
  <c r="GK117" i="3"/>
  <c r="EF111" i="3" l="1"/>
  <c r="GK119" i="3"/>
  <c r="GK121" i="3" s="1"/>
  <c r="EF113" i="3" l="1"/>
  <c r="GL122" i="3"/>
  <c r="GL117" i="3"/>
  <c r="EF138" i="3" l="1"/>
  <c r="EF135" i="3"/>
  <c r="EG109" i="3"/>
  <c r="EG114" i="3"/>
  <c r="GL119" i="3"/>
  <c r="GL121" i="3" s="1"/>
  <c r="EG111" i="3" l="1"/>
  <c r="GM117" i="3"/>
  <c r="GM122" i="3"/>
  <c r="GM119" i="3" l="1"/>
  <c r="GM121" i="3" s="1"/>
  <c r="EG132" i="3" l="1"/>
  <c r="EG113" i="3"/>
  <c r="EH109" i="3" s="1"/>
  <c r="EG138" i="3"/>
  <c r="EG135" i="3"/>
  <c r="GN122" i="3"/>
  <c r="GN117" i="3"/>
  <c r="EH114" i="3" l="1"/>
  <c r="GN119" i="3"/>
  <c r="GN121" i="3" s="1"/>
  <c r="EH111" i="3" l="1"/>
  <c r="GO122" i="3"/>
  <c r="GO117" i="3"/>
  <c r="EH113" i="3" l="1"/>
  <c r="EI114" i="3" s="1"/>
  <c r="EH138" i="3"/>
  <c r="EH135" i="3"/>
  <c r="GO119" i="3"/>
  <c r="GO121" i="3" s="1"/>
  <c r="EI109" i="3" l="1"/>
  <c r="EI111" i="3" s="1"/>
  <c r="GP122" i="3"/>
  <c r="GP117" i="3"/>
  <c r="EI113" i="3" l="1"/>
  <c r="EJ109" i="3" s="1"/>
  <c r="EI138" i="3"/>
  <c r="GP119" i="3"/>
  <c r="GP121" i="3" s="1"/>
  <c r="EJ114" i="3" l="1"/>
  <c r="EJ111" i="3" s="1"/>
  <c r="EI135" i="3"/>
  <c r="GQ122" i="3"/>
  <c r="GQ117" i="3"/>
  <c r="EJ113" i="3" l="1"/>
  <c r="GQ119" i="3"/>
  <c r="GQ121" i="3" s="1"/>
  <c r="EJ138" i="3" l="1"/>
  <c r="EJ135" i="3"/>
  <c r="EK114" i="3"/>
  <c r="EK109" i="3"/>
  <c r="GR122" i="3"/>
  <c r="GR117" i="3"/>
  <c r="EK111" i="3" l="1"/>
  <c r="GR119" i="3"/>
  <c r="GR121" i="3" s="1"/>
  <c r="EK113" i="3" l="1"/>
  <c r="GS122" i="3"/>
  <c r="GS117" i="3"/>
  <c r="EK138" i="3" l="1"/>
  <c r="EK135" i="3"/>
  <c r="EL114" i="3"/>
  <c r="EL109" i="3"/>
  <c r="GS119" i="3"/>
  <c r="GS121" i="3" s="1"/>
  <c r="EL111" i="3" l="1"/>
  <c r="GT122" i="3"/>
  <c r="GT117" i="3"/>
  <c r="EL113" i="3" l="1"/>
  <c r="GT119" i="3"/>
  <c r="GT121" i="3" s="1"/>
  <c r="EL138" i="3" l="1"/>
  <c r="EL135" i="3"/>
  <c r="EM114" i="3"/>
  <c r="EM109" i="3"/>
  <c r="GU117" i="3"/>
  <c r="GU122" i="3"/>
  <c r="EM111" i="3" l="1"/>
  <c r="GU119" i="3"/>
  <c r="GU121" i="3" s="1"/>
  <c r="EM113" i="3" l="1"/>
  <c r="GV117" i="3"/>
  <c r="GV122" i="3"/>
  <c r="EM138" i="3" l="1"/>
  <c r="EM135" i="3"/>
  <c r="EN114" i="3"/>
  <c r="EN109" i="3"/>
  <c r="GV119" i="3"/>
  <c r="GV121" i="3" s="1"/>
  <c r="EN111" i="3" l="1"/>
  <c r="GW122" i="3"/>
  <c r="GW117" i="3"/>
  <c r="EN113" i="3" l="1"/>
  <c r="GW119" i="3"/>
  <c r="GW121" i="3" s="1"/>
  <c r="EN138" i="3" l="1"/>
  <c r="EN135" i="3"/>
  <c r="EO114" i="3"/>
  <c r="EO109" i="3"/>
  <c r="GX122" i="3"/>
  <c r="GX117" i="3"/>
  <c r="EO111" i="3" l="1"/>
  <c r="GX119" i="3"/>
  <c r="GX121" i="3" s="1"/>
  <c r="EO113" i="3" l="1"/>
  <c r="GY122" i="3"/>
  <c r="GY117" i="3"/>
  <c r="EO138" i="3" l="1"/>
  <c r="EO135" i="3"/>
  <c r="EP109" i="3"/>
  <c r="EP114" i="3"/>
  <c r="GY119" i="3"/>
  <c r="GY121" i="3" s="1"/>
  <c r="EP111" i="3" l="1"/>
  <c r="GZ122" i="3"/>
  <c r="GZ117" i="3"/>
  <c r="EP113" i="3" l="1"/>
  <c r="GZ119" i="3"/>
  <c r="GZ121" i="3" s="1"/>
  <c r="EP138" i="3" l="1"/>
  <c r="EP135" i="3"/>
  <c r="EQ109" i="3"/>
  <c r="EQ114" i="3"/>
  <c r="HA117" i="3"/>
  <c r="HA122" i="3"/>
  <c r="EQ111" i="3" l="1"/>
  <c r="HA119" i="3"/>
  <c r="HA121" i="3" s="1"/>
  <c r="EQ113" i="3" l="1"/>
  <c r="HB122" i="3"/>
  <c r="HB117" i="3"/>
  <c r="EQ138" i="3" l="1"/>
  <c r="EQ135" i="3"/>
  <c r="ER109" i="3"/>
  <c r="ER114" i="3"/>
  <c r="HB119" i="3"/>
  <c r="HB121" i="3" s="1"/>
  <c r="ER111" i="3" l="1"/>
  <c r="HC122" i="3"/>
  <c r="HC117" i="3"/>
  <c r="ER113" i="3" l="1"/>
  <c r="ES109" i="3" s="1"/>
  <c r="HC119" i="3"/>
  <c r="HC121" i="3" s="1"/>
  <c r="ER138" i="3" l="1"/>
  <c r="ER135" i="3"/>
  <c r="ES114" i="3"/>
  <c r="HD122" i="3"/>
  <c r="HD117" i="3"/>
  <c r="ES111" i="3" l="1"/>
  <c r="HD119" i="3"/>
  <c r="HD121" i="3" s="1"/>
  <c r="ES135" i="3" l="1"/>
  <c r="ES138" i="3"/>
  <c r="HE122" i="3"/>
  <c r="HE117" i="3"/>
  <c r="ES132" i="3" l="1"/>
  <c r="ES113" i="3"/>
  <c r="ET114" i="3" s="1"/>
  <c r="HE119" i="3"/>
  <c r="HE121" i="3" s="1"/>
  <c r="ET109" i="3" l="1"/>
  <c r="ET111" i="3" s="1"/>
  <c r="HF122" i="3"/>
  <c r="HF117" i="3"/>
  <c r="ET113" i="3" l="1"/>
  <c r="EU109" i="3" s="1"/>
  <c r="ET138" i="3"/>
  <c r="ET135" i="3"/>
  <c r="HF119" i="3"/>
  <c r="HF121" i="3" s="1"/>
  <c r="EU114" i="3" l="1"/>
  <c r="HG117" i="3"/>
  <c r="HG122" i="3"/>
  <c r="EU111" i="3" l="1"/>
  <c r="HG119" i="3"/>
  <c r="HG121" i="3" s="1"/>
  <c r="EU113" i="3" l="1"/>
  <c r="EV109" i="3" s="1"/>
  <c r="EU138" i="3"/>
  <c r="HH122" i="3"/>
  <c r="HH117" i="3"/>
  <c r="EV114" i="3" l="1"/>
  <c r="EV111" i="3" s="1"/>
  <c r="EU135" i="3"/>
  <c r="HH119" i="3"/>
  <c r="HH121" i="3" s="1"/>
  <c r="EV113" i="3" l="1"/>
  <c r="HI122" i="3"/>
  <c r="HI117" i="3"/>
  <c r="EV138" i="3" l="1"/>
  <c r="EV135" i="3"/>
  <c r="EW109" i="3"/>
  <c r="EW114" i="3"/>
  <c r="HI119" i="3"/>
  <c r="HI121" i="3" s="1"/>
  <c r="EW111" i="3" l="1"/>
  <c r="HJ122" i="3"/>
  <c r="HJ117" i="3"/>
  <c r="EW113" i="3" l="1"/>
  <c r="HJ119" i="3"/>
  <c r="HJ121" i="3" s="1"/>
  <c r="EW138" i="3" l="1"/>
  <c r="EW135" i="3"/>
  <c r="EX114" i="3"/>
  <c r="EX109" i="3"/>
  <c r="HK122" i="3"/>
  <c r="HK117" i="3"/>
  <c r="EX111" i="3" l="1"/>
  <c r="HK119" i="3"/>
  <c r="HK121" i="3" s="1"/>
  <c r="EX113" i="3" l="1"/>
  <c r="HL122" i="3"/>
  <c r="HL117" i="3"/>
  <c r="EX138" i="3" l="1"/>
  <c r="EX135" i="3"/>
  <c r="EY114" i="3"/>
  <c r="EY109" i="3"/>
  <c r="HL119" i="3"/>
  <c r="HL121" i="3" s="1"/>
  <c r="EY111" i="3" l="1"/>
  <c r="HM122" i="3"/>
  <c r="HM117" i="3"/>
  <c r="EY113" i="3" l="1"/>
  <c r="HM119" i="3"/>
  <c r="HM121" i="3" s="1"/>
  <c r="EY138" i="3" l="1"/>
  <c r="EY135" i="3"/>
  <c r="EZ109" i="3"/>
  <c r="EZ114" i="3"/>
  <c r="HN122" i="3"/>
  <c r="HN117" i="3"/>
  <c r="EZ111" i="3" l="1"/>
  <c r="HN119" i="3"/>
  <c r="HN121" i="3" s="1"/>
  <c r="EZ113" i="3" l="1"/>
  <c r="HO122" i="3"/>
  <c r="HO117" i="3"/>
  <c r="EZ138" i="3" l="1"/>
  <c r="EZ135" i="3"/>
  <c r="FA109" i="3"/>
  <c r="FA114" i="3"/>
  <c r="HO119" i="3"/>
  <c r="HO121" i="3" s="1"/>
  <c r="FA111" i="3" l="1"/>
  <c r="HP122" i="3"/>
  <c r="HP117" i="3"/>
  <c r="FA113" i="3" l="1"/>
  <c r="HP119" i="3"/>
  <c r="HP121" i="3" s="1"/>
  <c r="FA138" i="3" l="1"/>
  <c r="FA135" i="3"/>
  <c r="FB109" i="3"/>
  <c r="FB114" i="3"/>
  <c r="HQ122" i="3"/>
  <c r="HQ117" i="3"/>
  <c r="FB111" i="3" l="1"/>
  <c r="HQ119" i="3"/>
  <c r="HQ121" i="3" s="1"/>
  <c r="FB113" i="3" l="1"/>
  <c r="HR122" i="3"/>
  <c r="HR117" i="3"/>
  <c r="FB138" i="3" l="1"/>
  <c r="FB135" i="3"/>
  <c r="FC114" i="3"/>
  <c r="FC109" i="3"/>
  <c r="HR119" i="3"/>
  <c r="HR121" i="3" s="1"/>
  <c r="FC111" i="3" l="1"/>
  <c r="HS122" i="3"/>
  <c r="HS117" i="3"/>
  <c r="FC113" i="3" l="1"/>
  <c r="HS119" i="3"/>
  <c r="HS121" i="3" s="1"/>
  <c r="FC138" i="3" l="1"/>
  <c r="FC135" i="3"/>
  <c r="FD114" i="3"/>
  <c r="FD109" i="3"/>
  <c r="HT122" i="3"/>
  <c r="HT117" i="3"/>
  <c r="FD111" i="3" l="1"/>
  <c r="HT119" i="3"/>
  <c r="HT121" i="3" s="1"/>
  <c r="FD113" i="3" l="1"/>
  <c r="HU122" i="3"/>
  <c r="HU117" i="3"/>
  <c r="FD138" i="3" l="1"/>
  <c r="FD135" i="3"/>
  <c r="FE109" i="3"/>
  <c r="FE114" i="3"/>
  <c r="HU119" i="3"/>
  <c r="HU121" i="3" s="1"/>
  <c r="FE111" i="3" l="1"/>
  <c r="HV122" i="3"/>
  <c r="HV117" i="3"/>
  <c r="FE113" i="3" l="1"/>
  <c r="FF109" i="3" s="1"/>
  <c r="HV119" i="3"/>
  <c r="HV121" i="3" s="1"/>
  <c r="FF114" i="3" l="1"/>
  <c r="FE138" i="3"/>
  <c r="FE135" i="3"/>
  <c r="HW122" i="3"/>
  <c r="HW117" i="3"/>
  <c r="FF111" i="3" l="1"/>
  <c r="HW119" i="3"/>
  <c r="HW121" i="3" s="1"/>
  <c r="FF113" i="3" l="1"/>
  <c r="FG114" i="3" s="1"/>
  <c r="FF138" i="3"/>
  <c r="FF135" i="3"/>
  <c r="HX122" i="3"/>
  <c r="HX117" i="3"/>
  <c r="FG109" i="3" l="1"/>
  <c r="FG111" i="3" s="1"/>
  <c r="HX119" i="3"/>
  <c r="HX121" i="3" s="1"/>
  <c r="FG113" i="3" l="1"/>
  <c r="FH114" i="3" s="1"/>
  <c r="HY122" i="3"/>
  <c r="HY117" i="3"/>
  <c r="FH109" i="3" l="1"/>
  <c r="FG138" i="3"/>
  <c r="FG135" i="3"/>
  <c r="FH111" i="3"/>
  <c r="HY119" i="3"/>
  <c r="HY121" i="3" s="1"/>
  <c r="FH113" i="3" l="1"/>
  <c r="HZ122" i="3"/>
  <c r="HZ117" i="3"/>
  <c r="FH138" i="3" l="1"/>
  <c r="FH135" i="3"/>
  <c r="FI114" i="3"/>
  <c r="FI109" i="3"/>
  <c r="HZ119" i="3"/>
  <c r="HZ121" i="3" s="1"/>
  <c r="FI111" i="3" l="1"/>
  <c r="IA122" i="3"/>
  <c r="IA117" i="3"/>
  <c r="FI113" i="3" l="1"/>
  <c r="IA119" i="3"/>
  <c r="IA121" i="3" s="1"/>
  <c r="FI138" i="3" l="1"/>
  <c r="FI135" i="3"/>
  <c r="FJ114" i="3"/>
  <c r="FJ109" i="3"/>
  <c r="IB122" i="3"/>
  <c r="IB117" i="3"/>
  <c r="FJ111" i="3" l="1"/>
  <c r="IB119" i="3"/>
  <c r="IB121" i="3" s="1"/>
  <c r="FJ113" i="3" l="1"/>
  <c r="IC122" i="3"/>
  <c r="IC117" i="3"/>
  <c r="FJ138" i="3" l="1"/>
  <c r="FJ135" i="3"/>
  <c r="FK114" i="3"/>
  <c r="FK109" i="3"/>
  <c r="IC119" i="3"/>
  <c r="IC121" i="3" s="1"/>
  <c r="FK111" i="3" l="1"/>
  <c r="ID122" i="3"/>
  <c r="ID117" i="3"/>
  <c r="FK113" i="3" l="1"/>
  <c r="ID119" i="3"/>
  <c r="ID121" i="3" s="1"/>
  <c r="FK138" i="3" l="1"/>
  <c r="FK135" i="3"/>
  <c r="FL114" i="3"/>
  <c r="FL109" i="3"/>
  <c r="IE122" i="3"/>
  <c r="IE117" i="3"/>
  <c r="FL111" i="3" l="1"/>
  <c r="IE119" i="3"/>
  <c r="IE121" i="3" s="1"/>
  <c r="FL113" i="3" l="1"/>
  <c r="IF122" i="3"/>
  <c r="IF117" i="3"/>
  <c r="FL138" i="3" l="1"/>
  <c r="FL135" i="3"/>
  <c r="FM109" i="3"/>
  <c r="FM114" i="3"/>
  <c r="IF119" i="3"/>
  <c r="IF121" i="3" s="1"/>
  <c r="FM111" i="3" l="1"/>
  <c r="IG122" i="3"/>
  <c r="IG117" i="3"/>
  <c r="FM113" i="3" l="1"/>
  <c r="IG119" i="3"/>
  <c r="IG121" i="3" s="1"/>
  <c r="FM138" i="3" l="1"/>
  <c r="FM135" i="3"/>
  <c r="FN109" i="3"/>
  <c r="FN114" i="3"/>
  <c r="IH122" i="3"/>
  <c r="IH117" i="3"/>
  <c r="FN111" i="3" l="1"/>
  <c r="IH119" i="3"/>
  <c r="IH121" i="3" s="1"/>
  <c r="FN113" i="3" l="1"/>
  <c r="FO109" i="3" s="1"/>
  <c r="II122" i="3"/>
  <c r="II117" i="3"/>
  <c r="FN138" i="3" l="1"/>
  <c r="FN135" i="3"/>
  <c r="FO114" i="3"/>
  <c r="II119" i="3"/>
  <c r="II121" i="3" s="1"/>
  <c r="FO111" i="3" l="1"/>
  <c r="IJ122" i="3"/>
  <c r="IJ117" i="3"/>
  <c r="FO138" i="3" l="1"/>
  <c r="FO135" i="3"/>
  <c r="FO113" i="3"/>
  <c r="FP114" i="3" s="1"/>
  <c r="IJ119" i="3"/>
  <c r="IJ121" i="3" s="1"/>
  <c r="FP109" i="3" l="1"/>
  <c r="FP111" i="3" s="1"/>
  <c r="IK122" i="3"/>
  <c r="IK117" i="3"/>
  <c r="FP113" i="3" l="1"/>
  <c r="IK119" i="3"/>
  <c r="IK121" i="3" l="1"/>
  <c r="FP138" i="3"/>
  <c r="FP135" i="3"/>
  <c r="FQ114" i="3"/>
  <c r="FQ109" i="3"/>
  <c r="IL122" i="3" l="1"/>
  <c r="IL117" i="3"/>
  <c r="IL119" i="3" s="1"/>
  <c r="IL121" i="3" s="1"/>
  <c r="FQ111" i="3"/>
  <c r="FQ113" i="3" l="1"/>
  <c r="IM122" i="3"/>
  <c r="IM117" i="3"/>
  <c r="FQ138" i="3" l="1"/>
  <c r="FQ135" i="3"/>
  <c r="FR114" i="3"/>
  <c r="FR109" i="3"/>
  <c r="IM119" i="3"/>
  <c r="IM121" i="3" s="1"/>
  <c r="FR111" i="3" l="1"/>
  <c r="IN122" i="3"/>
  <c r="IN117" i="3"/>
  <c r="FR113" i="3" l="1"/>
  <c r="IN119" i="3"/>
  <c r="IN121" i="3" s="1"/>
  <c r="FR138" i="3" l="1"/>
  <c r="FR135" i="3"/>
  <c r="FS109" i="3"/>
  <c r="FS114" i="3"/>
  <c r="IO122" i="3"/>
  <c r="IO117" i="3"/>
  <c r="FS111" i="3" l="1"/>
  <c r="IO119" i="3"/>
  <c r="IO121" i="3" s="1"/>
  <c r="FS113" i="3" l="1"/>
  <c r="IP122" i="3"/>
  <c r="IP117" i="3"/>
  <c r="FS138" i="3" l="1"/>
  <c r="FS135" i="3"/>
  <c r="FT109" i="3"/>
  <c r="FT114" i="3"/>
  <c r="IP119" i="3"/>
  <c r="IP121" i="3" s="1"/>
  <c r="FT111" i="3" l="1"/>
  <c r="IQ122" i="3"/>
  <c r="IQ117" i="3"/>
  <c r="FT113" i="3" l="1"/>
  <c r="IQ119" i="3"/>
  <c r="IQ121" i="3" s="1"/>
  <c r="FT138" i="3" l="1"/>
  <c r="FT135" i="3"/>
  <c r="FU114" i="3"/>
  <c r="FU109" i="3"/>
  <c r="IR122" i="3"/>
  <c r="IR117" i="3"/>
  <c r="FU111" i="3" l="1"/>
  <c r="IR119" i="3"/>
  <c r="IR121" i="3" s="1"/>
  <c r="FU113" i="3" l="1"/>
  <c r="IS122" i="3"/>
  <c r="IS117" i="3"/>
  <c r="FU138" i="3" l="1"/>
  <c r="FU135" i="3"/>
  <c r="FV109" i="3"/>
  <c r="FV114" i="3"/>
  <c r="IS119" i="3"/>
  <c r="IS121" i="3" s="1"/>
  <c r="FV111" i="3" l="1"/>
  <c r="IT122" i="3"/>
  <c r="IT117" i="3"/>
  <c r="FV113" i="3" l="1"/>
  <c r="FW114" i="3" s="1"/>
  <c r="IT119" i="3"/>
  <c r="IT121" i="3" s="1"/>
  <c r="FV138" i="3" l="1"/>
  <c r="FV135" i="3"/>
  <c r="FW109" i="3"/>
  <c r="FW111" i="3" s="1"/>
  <c r="IU122" i="3"/>
  <c r="IU117" i="3"/>
  <c r="FW113" i="3" l="1"/>
  <c r="IU119" i="3"/>
  <c r="IU121" i="3" s="1"/>
  <c r="FW138" i="3" l="1"/>
  <c r="FW135" i="3"/>
  <c r="FX109" i="3"/>
  <c r="FX114" i="3"/>
  <c r="IV122" i="3"/>
  <c r="IV117" i="3"/>
  <c r="FX111" i="3" l="1"/>
  <c r="IV119" i="3"/>
  <c r="IV121" i="3" s="1"/>
  <c r="FX113" i="3" l="1"/>
  <c r="IW122" i="3"/>
  <c r="IW117" i="3"/>
  <c r="FX138" i="3" l="1"/>
  <c r="FX135" i="3"/>
  <c r="FY109" i="3"/>
  <c r="FY114" i="3"/>
  <c r="IW119" i="3"/>
  <c r="IW121" i="3" s="1"/>
  <c r="FY111" i="3" l="1"/>
  <c r="IX122" i="3"/>
  <c r="IX117" i="3"/>
  <c r="FY113" i="3" l="1"/>
  <c r="FZ109" i="3" s="1"/>
  <c r="IX119" i="3"/>
  <c r="IX121" i="3" s="1"/>
  <c r="FY138" i="3" l="1"/>
  <c r="FY135" i="3"/>
  <c r="FZ114" i="3"/>
  <c r="IY122" i="3"/>
  <c r="IY117" i="3"/>
  <c r="FZ111" i="3" l="1"/>
  <c r="IY119" i="3"/>
  <c r="IY121" i="3" s="1"/>
  <c r="FZ113" i="3" l="1"/>
  <c r="GA114" i="3" s="1"/>
  <c r="FZ138" i="3"/>
  <c r="FZ135" i="3"/>
  <c r="IZ122" i="3"/>
  <c r="IZ117" i="3"/>
  <c r="GA109" i="3" l="1"/>
  <c r="GA111" i="3" s="1"/>
  <c r="IZ119" i="3"/>
  <c r="IZ121" i="3" s="1"/>
  <c r="GA113" i="3" l="1"/>
  <c r="JA122" i="3"/>
  <c r="JA117" i="3"/>
  <c r="GA138" i="3" l="1"/>
  <c r="GA135" i="3"/>
  <c r="GB114" i="3"/>
  <c r="GB109" i="3"/>
  <c r="JA119" i="3"/>
  <c r="JA121" i="3" s="1"/>
  <c r="GB111" i="3" l="1"/>
  <c r="JB117" i="3"/>
  <c r="JB122" i="3"/>
  <c r="GB113" i="3" l="1"/>
  <c r="JB119" i="3"/>
  <c r="JB121" i="3" s="1"/>
  <c r="GB138" i="3" l="1"/>
  <c r="GB135" i="3"/>
  <c r="GC114" i="3"/>
  <c r="GC109" i="3"/>
  <c r="JC122" i="3"/>
  <c r="JC117" i="3"/>
  <c r="GC111" i="3" l="1"/>
  <c r="JC119" i="3"/>
  <c r="JC121" i="3" s="1"/>
  <c r="GC112" i="3" l="1"/>
  <c r="JD122" i="3"/>
  <c r="JD117" i="3"/>
  <c r="GC132" i="3" l="1"/>
  <c r="GC113" i="3"/>
  <c r="GD114" i="3" s="1"/>
  <c r="GC138" i="3"/>
  <c r="GC135" i="3"/>
  <c r="JD119" i="3"/>
  <c r="JD121" i="3" s="1"/>
  <c r="GD109" i="3" l="1"/>
  <c r="GD111" i="3" s="1"/>
  <c r="JE122" i="3"/>
  <c r="JE117" i="3"/>
  <c r="GD113" i="3" l="1"/>
  <c r="JE119" i="3"/>
  <c r="JE121" i="3" s="1"/>
  <c r="GD138" i="3" l="1"/>
  <c r="GD135" i="3"/>
  <c r="GE109" i="3"/>
  <c r="GE114" i="3"/>
  <c r="JF122" i="3"/>
  <c r="JF117" i="3"/>
  <c r="GE111" i="3" l="1"/>
  <c r="JF119" i="3"/>
  <c r="JF121" i="3" s="1"/>
  <c r="GE113" i="3" l="1"/>
  <c r="JG122" i="3"/>
  <c r="JG117" i="3"/>
  <c r="GE138" i="3" l="1"/>
  <c r="GE135" i="3"/>
  <c r="GF114" i="3"/>
  <c r="GF109" i="3"/>
  <c r="JG119" i="3"/>
  <c r="JG121" i="3" s="1"/>
  <c r="GF111" i="3" l="1"/>
  <c r="JH122" i="3"/>
  <c r="JH117" i="3"/>
  <c r="GF113" i="3" l="1"/>
  <c r="JH119" i="3"/>
  <c r="JH121" i="3" s="1"/>
  <c r="GF138" i="3" l="1"/>
  <c r="GF135" i="3"/>
  <c r="GG114" i="3"/>
  <c r="GG109" i="3"/>
  <c r="JI122" i="3"/>
  <c r="JI117" i="3"/>
  <c r="GG111" i="3" l="1"/>
  <c r="JI119" i="3"/>
  <c r="JI121" i="3" s="1"/>
  <c r="GG113" i="3" l="1"/>
  <c r="JJ122" i="3"/>
  <c r="JJ117" i="3"/>
  <c r="GG138" i="3" l="1"/>
  <c r="GG135" i="3"/>
  <c r="GH114" i="3"/>
  <c r="GH109" i="3"/>
  <c r="JJ119" i="3"/>
  <c r="JJ121" i="3" s="1"/>
  <c r="GH111" i="3" l="1"/>
  <c r="JK122" i="3"/>
  <c r="JK117" i="3"/>
  <c r="GH113" i="3" l="1"/>
  <c r="JK119" i="3"/>
  <c r="JK121" i="3" s="1"/>
  <c r="GH138" i="3" l="1"/>
  <c r="GH135" i="3"/>
  <c r="GI109" i="3"/>
  <c r="GI114" i="3"/>
  <c r="JL122" i="3"/>
  <c r="JL117" i="3"/>
  <c r="GI111" i="3" l="1"/>
  <c r="JL119" i="3"/>
  <c r="JL121" i="3" s="1"/>
  <c r="GI113" i="3" l="1"/>
  <c r="JM122" i="3"/>
  <c r="JM117" i="3"/>
  <c r="GI138" i="3" l="1"/>
  <c r="GI135" i="3"/>
  <c r="GJ109" i="3"/>
  <c r="GJ114" i="3"/>
  <c r="JM119" i="3"/>
  <c r="JM121" i="3" s="1"/>
  <c r="GJ111" i="3" l="1"/>
  <c r="JN122" i="3"/>
  <c r="JN117" i="3"/>
  <c r="GJ113" i="3" l="1"/>
  <c r="JN119" i="3"/>
  <c r="JN121" i="3" s="1"/>
  <c r="GJ138" i="3" l="1"/>
  <c r="GJ135" i="3"/>
  <c r="GK109" i="3"/>
  <c r="GK114" i="3"/>
  <c r="JO122" i="3"/>
  <c r="JO117" i="3"/>
  <c r="GK111" i="3" l="1"/>
  <c r="JO119" i="3"/>
  <c r="JO121" i="3" s="1"/>
  <c r="GK113" i="3" l="1"/>
  <c r="GL114" i="3" s="1"/>
  <c r="JP122" i="3"/>
  <c r="JP117" i="3"/>
  <c r="GK138" i="3" l="1"/>
  <c r="GK135" i="3"/>
  <c r="GL109" i="3"/>
  <c r="GL111" i="3" s="1"/>
  <c r="JP119" i="3"/>
  <c r="JP121" i="3" s="1"/>
  <c r="GL113" i="3" l="1"/>
  <c r="JQ122" i="3"/>
  <c r="JQ117" i="3"/>
  <c r="GL138" i="3" l="1"/>
  <c r="GL135" i="3"/>
  <c r="GM109" i="3"/>
  <c r="GM114" i="3"/>
  <c r="JQ119" i="3"/>
  <c r="JQ121" i="3" s="1"/>
  <c r="GM111" i="3" l="1"/>
  <c r="JR122" i="3"/>
  <c r="JR117" i="3"/>
  <c r="GM113" i="3" l="1"/>
  <c r="JR119" i="3"/>
  <c r="JR121" i="3" s="1"/>
  <c r="GM138" i="3" l="1"/>
  <c r="GM135" i="3"/>
  <c r="GN114" i="3"/>
  <c r="GN109" i="3"/>
  <c r="JS122" i="3"/>
  <c r="JS117" i="3"/>
  <c r="GN111" i="3" l="1"/>
  <c r="JS119" i="3"/>
  <c r="JS121" i="3" s="1"/>
  <c r="GN113" i="3" l="1"/>
  <c r="JT122" i="3"/>
  <c r="JT117" i="3"/>
  <c r="GN138" i="3" l="1"/>
  <c r="GN135" i="3"/>
  <c r="GO109" i="3"/>
  <c r="GO114" i="3"/>
  <c r="JT119" i="3"/>
  <c r="JT121" i="3" s="1"/>
  <c r="GO111" i="3" l="1"/>
  <c r="JU122" i="3"/>
  <c r="JU117" i="3"/>
  <c r="GO113" i="3" l="1"/>
  <c r="JU119" i="3"/>
  <c r="JU121" i="3" s="1"/>
  <c r="GO138" i="3" l="1"/>
  <c r="GO135" i="3"/>
  <c r="GP114" i="3"/>
  <c r="GP109" i="3"/>
  <c r="JV122" i="3"/>
  <c r="JV117" i="3"/>
  <c r="GP111" i="3" l="1"/>
  <c r="JV119" i="3"/>
  <c r="JV121" i="3" s="1"/>
  <c r="GP113" i="3" l="1"/>
  <c r="JW122" i="3"/>
  <c r="JW117" i="3"/>
  <c r="GP138" i="3" l="1"/>
  <c r="GP135" i="3"/>
  <c r="GQ109" i="3"/>
  <c r="GQ114" i="3"/>
  <c r="JW119" i="3"/>
  <c r="JW121" i="3" s="1"/>
  <c r="GQ111" i="3" l="1"/>
  <c r="JX122" i="3"/>
  <c r="JX117" i="3"/>
  <c r="GQ113" i="3" l="1"/>
  <c r="GR114" i="3" s="1"/>
  <c r="JX119" i="3"/>
  <c r="JX121" i="3" s="1"/>
  <c r="GR109" i="3" l="1"/>
  <c r="GR111" i="3" s="1"/>
  <c r="GQ138" i="3"/>
  <c r="GQ135" i="3"/>
  <c r="JY122" i="3"/>
  <c r="JY117" i="3"/>
  <c r="GR113" i="3" l="1"/>
  <c r="JY119" i="3"/>
  <c r="JY121" i="3" s="1"/>
  <c r="GR138" i="3" l="1"/>
  <c r="GR135" i="3"/>
  <c r="GS109" i="3"/>
  <c r="GS114" i="3"/>
  <c r="JZ122" i="3"/>
  <c r="JZ117" i="3"/>
  <c r="GS111" i="3" l="1"/>
  <c r="JZ119" i="3"/>
  <c r="JZ121" i="3" s="1"/>
  <c r="GS113" i="3" l="1"/>
  <c r="GT114" i="3" s="1"/>
  <c r="KA122" i="3"/>
  <c r="KA117" i="3"/>
  <c r="GT109" i="3" l="1"/>
  <c r="GT111" i="3" s="1"/>
  <c r="GS138" i="3"/>
  <c r="GS135" i="3"/>
  <c r="KA119" i="3"/>
  <c r="KA121" i="3" s="1"/>
  <c r="GT113" i="3" l="1"/>
  <c r="KB122" i="3"/>
  <c r="KB117" i="3"/>
  <c r="GT138" i="3" l="1"/>
  <c r="GT135" i="3"/>
  <c r="GU109" i="3"/>
  <c r="GU114" i="3"/>
  <c r="KB119" i="3"/>
  <c r="KB121" i="3" s="1"/>
  <c r="GU111" i="3" l="1"/>
  <c r="KC122" i="3"/>
  <c r="KC117" i="3"/>
  <c r="GU113" i="3" l="1"/>
  <c r="GV114" i="3" s="1"/>
  <c r="KC119" i="3"/>
  <c r="KC121" i="3" s="1"/>
  <c r="GV109" i="3" l="1"/>
  <c r="GV111" i="3" s="1"/>
  <c r="GU138" i="3"/>
  <c r="GU135" i="3"/>
  <c r="KD122" i="3"/>
  <c r="KD117" i="3"/>
  <c r="GV113" i="3" l="1"/>
  <c r="KD119" i="3"/>
  <c r="KD121" i="3" s="1"/>
  <c r="GV138" i="3" l="1"/>
  <c r="GV135" i="3"/>
  <c r="GW114" i="3"/>
  <c r="GW109" i="3"/>
  <c r="KE122" i="3"/>
  <c r="KE117" i="3"/>
  <c r="GW111" i="3" l="1"/>
  <c r="KE119" i="3"/>
  <c r="KE121" i="3" s="1"/>
  <c r="GW113" i="3" l="1"/>
  <c r="KF122" i="3"/>
  <c r="KF117" i="3"/>
  <c r="GW138" i="3" l="1"/>
  <c r="GW135" i="3"/>
  <c r="GX109" i="3"/>
  <c r="GX114" i="3"/>
  <c r="KF119" i="3"/>
  <c r="KF121" i="3" s="1"/>
  <c r="GX111" i="3" l="1"/>
  <c r="KG122" i="3"/>
  <c r="KG117" i="3"/>
  <c r="GX113" i="3" l="1"/>
  <c r="KG119" i="3"/>
  <c r="KG121" i="3" s="1"/>
  <c r="GX138" i="3" l="1"/>
  <c r="GX135" i="3"/>
  <c r="GY114" i="3"/>
  <c r="GY109" i="3"/>
  <c r="KH122" i="3"/>
  <c r="KH117" i="3"/>
  <c r="GY111" i="3" l="1"/>
  <c r="KH119" i="3"/>
  <c r="KH121" i="3" s="1"/>
  <c r="GY113" i="3" l="1"/>
  <c r="KI122" i="3"/>
  <c r="KI117" i="3"/>
  <c r="GY138" i="3" l="1"/>
  <c r="GY135" i="3"/>
  <c r="GZ109" i="3"/>
  <c r="GZ114" i="3"/>
  <c r="KI119" i="3"/>
  <c r="KI121" i="3" s="1"/>
  <c r="GZ111" i="3" l="1"/>
  <c r="KJ122" i="3"/>
  <c r="KJ117" i="3"/>
  <c r="GZ113" i="3" l="1"/>
  <c r="KJ119" i="3"/>
  <c r="KJ121" i="3" s="1"/>
  <c r="GZ138" i="3" l="1"/>
  <c r="GZ135" i="3"/>
  <c r="HA114" i="3"/>
  <c r="HA109" i="3"/>
  <c r="KK122" i="3"/>
  <c r="KK117" i="3"/>
  <c r="HA111" i="3" l="1"/>
  <c r="KK119" i="3"/>
  <c r="KK121" i="3" s="1"/>
  <c r="HA113" i="3" l="1"/>
  <c r="KL122" i="3"/>
  <c r="KL117" i="3"/>
  <c r="HA138" i="3" l="1"/>
  <c r="HA135" i="3"/>
  <c r="HB109" i="3"/>
  <c r="HB114" i="3"/>
  <c r="KL119" i="3"/>
  <c r="KL121" i="3" s="1"/>
  <c r="HB111" i="3" l="1"/>
  <c r="KM122" i="3"/>
  <c r="KM117" i="3"/>
  <c r="HB113" i="3" l="1"/>
  <c r="HC114" i="3" s="1"/>
  <c r="KM119" i="3"/>
  <c r="KM121" i="3" s="1"/>
  <c r="HC109" i="3" l="1"/>
  <c r="HC111" i="3" s="1"/>
  <c r="HB138" i="3"/>
  <c r="HB135" i="3"/>
  <c r="KN122" i="3"/>
  <c r="KN117" i="3"/>
  <c r="HC113" i="3" l="1"/>
  <c r="KN119" i="3"/>
  <c r="KN121" i="3" s="1"/>
  <c r="HC138" i="3" l="1"/>
  <c r="HC135" i="3"/>
  <c r="HD109" i="3"/>
  <c r="HD114" i="3"/>
  <c r="KO122" i="3"/>
  <c r="KO117" i="3"/>
  <c r="HD111" i="3" l="1"/>
  <c r="KO119" i="3"/>
  <c r="KO121" i="3" s="1"/>
  <c r="HD113" i="3" l="1"/>
  <c r="KP122" i="3"/>
  <c r="KP117" i="3"/>
  <c r="HD138" i="3" l="1"/>
  <c r="HD135" i="3"/>
  <c r="HE114" i="3"/>
  <c r="HE109" i="3"/>
  <c r="KP119" i="3"/>
  <c r="KP121" i="3" s="1"/>
  <c r="HE111" i="3" l="1"/>
  <c r="KQ122" i="3"/>
  <c r="KQ117" i="3"/>
  <c r="HE113" i="3" l="1"/>
  <c r="KQ119" i="3"/>
  <c r="KQ121" i="3" s="1"/>
  <c r="HE138" i="3" l="1"/>
  <c r="HE135" i="3"/>
  <c r="HF114" i="3"/>
  <c r="HF109" i="3"/>
  <c r="KR122" i="3"/>
  <c r="KR117" i="3"/>
  <c r="HF111" i="3" l="1"/>
  <c r="KR119" i="3"/>
  <c r="KR121" i="3" s="1"/>
  <c r="HF113" i="3" l="1"/>
  <c r="KS122" i="3"/>
  <c r="KS117" i="3"/>
  <c r="HF138" i="3" l="1"/>
  <c r="HF135" i="3"/>
  <c r="HG109" i="3"/>
  <c r="HG114" i="3"/>
  <c r="KS119" i="3"/>
  <c r="KS121" i="3" s="1"/>
  <c r="HG111" i="3" l="1"/>
  <c r="HG113" i="3" l="1"/>
  <c r="HH114" i="3" s="1"/>
  <c r="HH109" i="3" l="1"/>
  <c r="HH111" i="3" s="1"/>
  <c r="HG138" i="3"/>
  <c r="HG135" i="3"/>
  <c r="HH113" i="3" l="1"/>
  <c r="HH138" i="3" l="1"/>
  <c r="HH135" i="3"/>
  <c r="HI109" i="3"/>
  <c r="HI114" i="3"/>
  <c r="HI111" i="3" l="1"/>
  <c r="HI113" i="3" l="1"/>
  <c r="HI138" i="3" l="1"/>
  <c r="HI135" i="3"/>
  <c r="HJ109" i="3"/>
  <c r="HJ114" i="3"/>
  <c r="HJ111" i="3" l="1"/>
  <c r="HJ113" i="3" l="1"/>
  <c r="HK114" i="3" s="1"/>
  <c r="HK109" i="3" l="1"/>
  <c r="HK111" i="3" s="1"/>
  <c r="HJ138" i="3"/>
  <c r="HJ135" i="3"/>
  <c r="HK113" i="3" l="1"/>
  <c r="HK138" i="3" l="1"/>
  <c r="HK135" i="3"/>
  <c r="HL114" i="3"/>
  <c r="HL109" i="3"/>
  <c r="HL111" i="3" l="1"/>
  <c r="HL113" i="3" l="1"/>
  <c r="HL138" i="3" l="1"/>
  <c r="HL135" i="3"/>
  <c r="HM114" i="3"/>
  <c r="HM109" i="3"/>
  <c r="HM111" i="3" l="1"/>
  <c r="HM113" i="3" l="1"/>
  <c r="HM138" i="3" l="1"/>
  <c r="HM135" i="3"/>
  <c r="HN114" i="3"/>
  <c r="HN109" i="3"/>
  <c r="HN111" i="3" l="1"/>
  <c r="HN113" i="3" l="1"/>
  <c r="HN138" i="3" l="1"/>
  <c r="HN135" i="3"/>
  <c r="HO109" i="3"/>
  <c r="HO114" i="3"/>
  <c r="HO111" i="3" l="1"/>
  <c r="HO113" i="3" l="1"/>
  <c r="HP114" i="3" s="1"/>
  <c r="HO138" i="3" l="1"/>
  <c r="HO135" i="3"/>
  <c r="HP109" i="3"/>
  <c r="HP111" i="3" s="1"/>
  <c r="HP113" i="3" l="1"/>
  <c r="HP138" i="3" l="1"/>
  <c r="HP135" i="3"/>
  <c r="HQ114" i="3"/>
  <c r="HQ109" i="3"/>
  <c r="HQ111" i="3" l="1"/>
  <c r="HQ113" i="3" l="1"/>
  <c r="HQ138" i="3" l="1"/>
  <c r="HQ135" i="3"/>
  <c r="HR109" i="3"/>
  <c r="HR114" i="3"/>
  <c r="HR111" i="3" l="1"/>
  <c r="HR113" i="3" l="1"/>
  <c r="HR138" i="3" l="1"/>
  <c r="HR135" i="3"/>
  <c r="HS114" i="3"/>
  <c r="HS109" i="3"/>
  <c r="HS111" i="3" l="1"/>
  <c r="HS113" i="3" l="1"/>
  <c r="HS138" i="3" l="1"/>
  <c r="HS135" i="3"/>
  <c r="HT114" i="3"/>
  <c r="HT109" i="3"/>
  <c r="HT111" i="3" l="1"/>
  <c r="HT113" i="3" l="1"/>
  <c r="HT138" i="3" l="1"/>
  <c r="HT135" i="3"/>
  <c r="HU114" i="3"/>
  <c r="HU109" i="3"/>
  <c r="HU111" i="3" l="1"/>
  <c r="HU113" i="3" l="1"/>
  <c r="HU138" i="3" l="1"/>
  <c r="HU135" i="3"/>
  <c r="HV114" i="3"/>
  <c r="HV109" i="3"/>
  <c r="HV111" i="3" l="1"/>
  <c r="HV113" i="3" l="1"/>
  <c r="HV138" i="3" l="1"/>
  <c r="HV135" i="3"/>
  <c r="HW114" i="3"/>
  <c r="HW109" i="3"/>
  <c r="HW111" i="3" l="1"/>
  <c r="HW113" i="3" l="1"/>
  <c r="HW138" i="3" l="1"/>
  <c r="HW135" i="3"/>
  <c r="HX114" i="3"/>
  <c r="HX109" i="3"/>
  <c r="HX111" i="3" l="1"/>
  <c r="HX113" i="3" l="1"/>
  <c r="HX138" i="3" l="1"/>
  <c r="HX135" i="3"/>
  <c r="HY109" i="3"/>
  <c r="HY114" i="3"/>
  <c r="HY111" i="3" l="1"/>
  <c r="HY113" i="3" l="1"/>
  <c r="HY138" i="3" l="1"/>
  <c r="HY135" i="3"/>
  <c r="HZ109" i="3"/>
  <c r="HZ114" i="3"/>
  <c r="HZ111" i="3" l="1"/>
  <c r="HZ113" i="3" l="1"/>
  <c r="HZ138" i="3" l="1"/>
  <c r="HZ135" i="3"/>
  <c r="IA109" i="3"/>
  <c r="IA114" i="3"/>
  <c r="IA111" i="3" l="1"/>
  <c r="IA113" i="3" l="1"/>
  <c r="IB114" i="3" s="1"/>
  <c r="IB109" i="3" l="1"/>
  <c r="IB111" i="3" s="1"/>
  <c r="IA138" i="3"/>
  <c r="IA135" i="3"/>
  <c r="IB113" i="3" l="1"/>
  <c r="IB138" i="3" l="1"/>
  <c r="IB135" i="3"/>
  <c r="IC114" i="3"/>
  <c r="IC109" i="3"/>
  <c r="IC111" i="3" l="1"/>
  <c r="IC113" i="3" l="1"/>
  <c r="IC138" i="3" l="1"/>
  <c r="IC135" i="3"/>
  <c r="ID109" i="3"/>
  <c r="ID114" i="3"/>
  <c r="ID111" i="3" l="1"/>
  <c r="ID113" i="3" l="1"/>
  <c r="IE109" i="3" s="1"/>
  <c r="ID138" i="3" l="1"/>
  <c r="ID135" i="3"/>
  <c r="IE114" i="3"/>
  <c r="IE111" i="3" l="1"/>
  <c r="IE113" i="3" l="1"/>
  <c r="IF114" i="3" s="1"/>
  <c r="IE138" i="3"/>
  <c r="IE135" i="3"/>
  <c r="IF109" i="3" l="1"/>
  <c r="IF111" i="3" s="1"/>
  <c r="IF113" i="3" l="1"/>
  <c r="IG109" i="3" s="1"/>
  <c r="IF138" i="3"/>
  <c r="IF135" i="3"/>
  <c r="IG114" i="3" l="1"/>
  <c r="IG111" i="3" l="1"/>
  <c r="IG113" i="3" s="1"/>
  <c r="IG138" i="3" l="1"/>
  <c r="IG135" i="3"/>
  <c r="IH114" i="3"/>
  <c r="IH109" i="3"/>
  <c r="IH111" i="3" l="1"/>
  <c r="IH113" i="3" l="1"/>
  <c r="IH138" i="3" l="1"/>
  <c r="IH135" i="3"/>
  <c r="II114" i="3"/>
  <c r="II109" i="3"/>
  <c r="II111" i="3" l="1"/>
  <c r="II113" i="3" l="1"/>
  <c r="II138" i="3" l="1"/>
  <c r="II135" i="3"/>
  <c r="IJ114" i="3"/>
  <c r="IJ109" i="3"/>
  <c r="IJ111" i="3" l="1"/>
  <c r="IJ113" i="3" l="1"/>
  <c r="IJ138" i="3" l="1"/>
  <c r="IJ135" i="3"/>
  <c r="IK109" i="3"/>
  <c r="IK114" i="3"/>
  <c r="IK111" i="3" l="1"/>
  <c r="IK132" i="3" l="1"/>
  <c r="IK113" i="3"/>
  <c r="IK138" i="3" l="1"/>
  <c r="IK135" i="3"/>
  <c r="IL109" i="3"/>
  <c r="IL114" i="3"/>
  <c r="IL111" i="3" l="1"/>
  <c r="IL113" i="3" l="1"/>
  <c r="IM114" i="3" s="1"/>
  <c r="IM109" i="3" l="1"/>
  <c r="IM111" i="3" s="1"/>
  <c r="IL138" i="3"/>
  <c r="IL135" i="3"/>
  <c r="IM113" i="3" l="1"/>
  <c r="IM138" i="3" l="1"/>
  <c r="IM135" i="3"/>
  <c r="IN109" i="3"/>
  <c r="IN114" i="3"/>
  <c r="IN111" i="3" l="1"/>
  <c r="IN113" i="3" l="1"/>
  <c r="IN138" i="3" l="1"/>
  <c r="IN135" i="3"/>
  <c r="IO114" i="3"/>
  <c r="IO109" i="3"/>
  <c r="IO111" i="3" l="1"/>
  <c r="IO113" i="3" l="1"/>
  <c r="IO138" i="3" l="1"/>
  <c r="IO135" i="3"/>
  <c r="IP109" i="3"/>
  <c r="IP114" i="3"/>
  <c r="IP111" i="3" l="1"/>
  <c r="IP113" i="3" l="1"/>
  <c r="IP138" i="3" l="1"/>
  <c r="IP135" i="3"/>
  <c r="IQ114" i="3"/>
  <c r="IQ109" i="3"/>
  <c r="IQ111" i="3" l="1"/>
  <c r="IQ113" i="3" l="1"/>
  <c r="IQ138" i="3" l="1"/>
  <c r="IQ135" i="3"/>
  <c r="IR114" i="3"/>
  <c r="IR109" i="3"/>
  <c r="IR111" i="3" l="1"/>
  <c r="IR113" i="3" l="1"/>
  <c r="IR138" i="3" l="1"/>
  <c r="IR135" i="3"/>
  <c r="IS114" i="3"/>
  <c r="IS109" i="3"/>
  <c r="IS111" i="3" l="1"/>
  <c r="IS113" i="3" l="1"/>
  <c r="IS138" i="3" l="1"/>
  <c r="IS135" i="3"/>
  <c r="IT109" i="3"/>
  <c r="IT114" i="3"/>
  <c r="IT111" i="3" l="1"/>
  <c r="IT113" i="3" l="1"/>
  <c r="IU114" i="3" s="1"/>
  <c r="IU109" i="3" l="1"/>
  <c r="IU111" i="3" s="1"/>
  <c r="IT138" i="3"/>
  <c r="IT135" i="3"/>
  <c r="IU113" i="3" l="1"/>
  <c r="IU138" i="3" l="1"/>
  <c r="IU135" i="3"/>
  <c r="IV109" i="3"/>
  <c r="IV114" i="3"/>
  <c r="IV111" i="3" l="1"/>
  <c r="IV113" i="3" l="1"/>
  <c r="IV138" i="3" l="1"/>
  <c r="IV135" i="3"/>
  <c r="IW109" i="3"/>
  <c r="IW114" i="3"/>
  <c r="IW111" i="3" l="1"/>
  <c r="IW113" i="3" l="1"/>
  <c r="IX114" i="3" s="1"/>
  <c r="IX109" i="3" l="1"/>
  <c r="IX111" i="3" s="1"/>
  <c r="IW138" i="3"/>
  <c r="IW135" i="3"/>
  <c r="IX113" i="3" l="1"/>
  <c r="IX138" i="3" l="1"/>
  <c r="IX135" i="3"/>
  <c r="IY114" i="3"/>
  <c r="IY109" i="3"/>
  <c r="IY111" i="3" l="1"/>
  <c r="IY113" i="3" l="1"/>
  <c r="IY138" i="3" l="1"/>
  <c r="IY135" i="3"/>
  <c r="IZ109" i="3"/>
  <c r="IZ114" i="3"/>
  <c r="IZ111" i="3" l="1"/>
  <c r="IZ113" i="3" l="1"/>
  <c r="IZ138" i="3" l="1"/>
  <c r="IZ135" i="3"/>
  <c r="JA109" i="3"/>
  <c r="JA114" i="3"/>
  <c r="JA111" i="3" l="1"/>
  <c r="JA113" i="3" l="1"/>
  <c r="JA138" i="3" l="1"/>
  <c r="JA135" i="3"/>
  <c r="JB109" i="3"/>
  <c r="JB114" i="3"/>
  <c r="JB111" i="3" l="1"/>
  <c r="JB113" i="3" l="1"/>
  <c r="JC114" i="3" s="1"/>
  <c r="JC109" i="3" l="1"/>
  <c r="JC111" i="3" s="1"/>
  <c r="JB138" i="3"/>
  <c r="JB135" i="3"/>
  <c r="JC113" i="3" l="1"/>
  <c r="JC138" i="3" l="1"/>
  <c r="JC135" i="3"/>
  <c r="JD114" i="3"/>
  <c r="JD109" i="3"/>
  <c r="JD111" i="3" l="1"/>
  <c r="JD113" i="3" l="1"/>
  <c r="JD138" i="3" l="1"/>
  <c r="JD135" i="3"/>
  <c r="JE114" i="3"/>
  <c r="JE109" i="3"/>
  <c r="JE111" i="3" l="1"/>
  <c r="JE113" i="3" l="1"/>
  <c r="JE138" i="3" l="1"/>
  <c r="JE135" i="3"/>
  <c r="JF114" i="3"/>
  <c r="JF109" i="3"/>
  <c r="JF111" i="3" l="1"/>
  <c r="JF113" i="3" l="1"/>
  <c r="JF138" i="3" l="1"/>
  <c r="JF135" i="3"/>
  <c r="JG114" i="3"/>
  <c r="JG109" i="3"/>
  <c r="JG111" i="3" l="1"/>
  <c r="JG113" i="3" l="1"/>
  <c r="JG138" i="3" l="1"/>
  <c r="JG135" i="3"/>
  <c r="JH114" i="3"/>
  <c r="JH109" i="3"/>
  <c r="JH111" i="3" l="1"/>
  <c r="JH113" i="3" l="1"/>
  <c r="JH138" i="3" l="1"/>
  <c r="JH135" i="3"/>
  <c r="JI114" i="3"/>
  <c r="JI109" i="3"/>
  <c r="JI111" i="3" l="1"/>
  <c r="JI113" i="3" l="1"/>
  <c r="JI138" i="3" l="1"/>
  <c r="JI135" i="3"/>
  <c r="JJ114" i="3"/>
  <c r="JJ109" i="3"/>
  <c r="JJ111" i="3" l="1"/>
  <c r="JJ113" i="3" l="1"/>
  <c r="JJ138" i="3" l="1"/>
  <c r="JJ135" i="3"/>
  <c r="JK114" i="3"/>
  <c r="JK109" i="3"/>
  <c r="JK111" i="3" l="1"/>
  <c r="JK113" i="3" l="1"/>
  <c r="JK138" i="3" l="1"/>
  <c r="JK135" i="3"/>
  <c r="JL109" i="3"/>
  <c r="JL114" i="3"/>
  <c r="JL111" i="3" l="1"/>
  <c r="JL113" i="3" l="1"/>
  <c r="JL138" i="3" l="1"/>
  <c r="JL135" i="3"/>
  <c r="JM114" i="3"/>
  <c r="JM109" i="3"/>
  <c r="JM111" i="3" l="1"/>
  <c r="JM113" i="3" l="1"/>
  <c r="JM138" i="3" l="1"/>
  <c r="JM135" i="3"/>
  <c r="JN114" i="3"/>
  <c r="JN109" i="3"/>
  <c r="JN111" i="3" l="1"/>
  <c r="JN113" i="3" l="1"/>
  <c r="JN138" i="3" l="1"/>
  <c r="JN135" i="3"/>
  <c r="JO114" i="3"/>
  <c r="JO109" i="3"/>
  <c r="JO111" i="3" l="1"/>
  <c r="JO113" i="3" l="1"/>
  <c r="JO138" i="3" l="1"/>
  <c r="JO135" i="3"/>
  <c r="JP109" i="3"/>
  <c r="JP114" i="3"/>
  <c r="JP111" i="3" l="1"/>
  <c r="JP113" i="3" l="1"/>
  <c r="JP138" i="3" l="1"/>
  <c r="JP135" i="3"/>
  <c r="JQ114" i="3"/>
  <c r="JQ109" i="3"/>
  <c r="JQ111" i="3" l="1"/>
  <c r="JQ113" i="3" l="1"/>
  <c r="JQ138" i="3" l="1"/>
  <c r="JQ135" i="3"/>
  <c r="JR114" i="3"/>
  <c r="JR109" i="3"/>
  <c r="JR111" i="3" l="1"/>
  <c r="JR113" i="3" l="1"/>
  <c r="JR138" i="3" l="1"/>
  <c r="JR135" i="3"/>
  <c r="JS114" i="3"/>
  <c r="JS109" i="3"/>
  <c r="JS111" i="3" l="1"/>
  <c r="JS113" i="3" l="1"/>
  <c r="JS138" i="3" l="1"/>
  <c r="JS135" i="3"/>
  <c r="JT114" i="3"/>
  <c r="JT109" i="3"/>
  <c r="JT111" i="3" l="1"/>
  <c r="JT113" i="3" l="1"/>
  <c r="JT138" i="3" l="1"/>
  <c r="JT135" i="3"/>
  <c r="JU114" i="3"/>
  <c r="JU109" i="3"/>
  <c r="JU111" i="3" l="1"/>
  <c r="JU113" i="3" l="1"/>
  <c r="JU138" i="3" l="1"/>
  <c r="JU135" i="3"/>
  <c r="JV114" i="3"/>
  <c r="JV109" i="3"/>
  <c r="JV138" i="3" l="1"/>
  <c r="JV111" i="3"/>
  <c r="JW138" i="3" l="1"/>
  <c r="JV113" i="3"/>
  <c r="JX138" i="3" l="1"/>
  <c r="JV135" i="3"/>
  <c r="JW114" i="3"/>
  <c r="JW109" i="3"/>
  <c r="JY138" i="3" l="1"/>
  <c r="JW111" i="3"/>
  <c r="JZ138" i="3" l="1"/>
  <c r="JW113" i="3"/>
  <c r="KA138" i="3" l="1"/>
  <c r="JW135" i="3"/>
  <c r="JX114" i="3"/>
  <c r="JX109" i="3"/>
  <c r="KB138" i="3" l="1"/>
  <c r="JX111" i="3"/>
  <c r="KC138" i="3" l="1"/>
  <c r="JX113" i="3"/>
  <c r="KD138" i="3" l="1"/>
  <c r="JX135" i="3"/>
  <c r="JY114" i="3"/>
  <c r="JY109" i="3"/>
  <c r="KE138" i="3" l="1"/>
  <c r="JY111" i="3"/>
  <c r="KF138" i="3" l="1"/>
  <c r="JY113" i="3"/>
  <c r="KG138" i="3" l="1"/>
  <c r="JY135" i="3"/>
  <c r="JZ109" i="3"/>
  <c r="JZ114" i="3"/>
  <c r="KH138" i="3" l="1"/>
  <c r="JZ111" i="3"/>
  <c r="KI138" i="3" l="1"/>
  <c r="JZ113" i="3"/>
  <c r="KA114" i="3" s="1"/>
  <c r="KJ138" i="3" l="1"/>
  <c r="KA109" i="3"/>
  <c r="KA111" i="3" s="1"/>
  <c r="JZ135" i="3"/>
  <c r="KK138" i="3" l="1"/>
  <c r="KA113" i="3"/>
  <c r="KL138" i="3" l="1"/>
  <c r="KA135" i="3"/>
  <c r="KB114" i="3"/>
  <c r="KB109" i="3"/>
  <c r="KM138" i="3" l="1"/>
  <c r="KB111" i="3"/>
  <c r="KN138" i="3" l="1"/>
  <c r="KB113" i="3"/>
  <c r="KO138" i="3" l="1"/>
  <c r="KB135" i="3"/>
  <c r="KC114" i="3"/>
  <c r="KC109" i="3"/>
  <c r="KP138" i="3" l="1"/>
  <c r="KC111" i="3"/>
  <c r="KQ138" i="3" l="1"/>
  <c r="KC113" i="3"/>
  <c r="KR138" i="3" l="1"/>
  <c r="KC135" i="3"/>
  <c r="KD109" i="3"/>
  <c r="KD114" i="3"/>
  <c r="KS138" i="3" l="1"/>
  <c r="KD111" i="3"/>
  <c r="KD113" i="3" l="1"/>
  <c r="KD135" i="3" l="1"/>
  <c r="KE109" i="3"/>
  <c r="KE114" i="3"/>
  <c r="KE111" i="3" l="1"/>
  <c r="KE113" i="3" l="1"/>
  <c r="KE135" i="3" l="1"/>
  <c r="KF109" i="3"/>
  <c r="KF114" i="3"/>
  <c r="KF111" i="3" l="1"/>
  <c r="KF113" i="3" l="1"/>
  <c r="KF135" i="3" l="1"/>
  <c r="KG114" i="3"/>
  <c r="KG109" i="3"/>
  <c r="KG111" i="3" l="1"/>
  <c r="KG113" i="3" l="1"/>
  <c r="KG135" i="3" l="1"/>
  <c r="KH114" i="3"/>
  <c r="KH109" i="3"/>
  <c r="KH111" i="3" l="1"/>
  <c r="KH113" i="3" l="1"/>
  <c r="KH135" i="3" l="1"/>
  <c r="KI109" i="3"/>
  <c r="KI114" i="3"/>
  <c r="KI111" i="3" l="1"/>
  <c r="KI113" i="3" l="1"/>
  <c r="KI135" i="3" l="1"/>
  <c r="KJ109" i="3"/>
  <c r="KJ114" i="3"/>
  <c r="KJ111" i="3" l="1"/>
  <c r="KJ113" i="3" l="1"/>
  <c r="KK109" i="3" s="1"/>
  <c r="KJ135" i="3" l="1"/>
  <c r="KK114" i="3"/>
  <c r="KK111" i="3" l="1"/>
  <c r="KK113" i="3" s="1"/>
  <c r="KK135" i="3" l="1"/>
  <c r="KL114" i="3"/>
  <c r="KL109" i="3"/>
  <c r="KL111" i="3" l="1"/>
  <c r="KL113" i="3" l="1"/>
  <c r="KL135" i="3" l="1"/>
  <c r="KM109" i="3"/>
  <c r="KM114" i="3"/>
  <c r="KM111" i="3" l="1"/>
  <c r="KM113" i="3" l="1"/>
  <c r="KM135" i="3" l="1"/>
  <c r="KN114" i="3"/>
  <c r="KN109" i="3"/>
  <c r="KN111" i="3" l="1"/>
  <c r="KN113" i="3" l="1"/>
  <c r="KN135" i="3" l="1"/>
  <c r="KO114" i="3"/>
  <c r="KO109" i="3"/>
  <c r="KO111" i="3" l="1"/>
  <c r="KO113" i="3" l="1"/>
  <c r="KO135" i="3" l="1"/>
  <c r="KP109" i="3"/>
  <c r="KP114" i="3"/>
  <c r="KP111" i="3" l="1"/>
  <c r="KP113" i="3" l="1"/>
  <c r="KP135" i="3" l="1"/>
  <c r="KQ114" i="3"/>
  <c r="KQ109" i="3"/>
  <c r="KQ111" i="3" l="1"/>
  <c r="KQ113" i="3" l="1"/>
  <c r="KQ135" i="3" l="1"/>
  <c r="KR114" i="3"/>
  <c r="KR109" i="3"/>
  <c r="KR111" i="3" l="1"/>
  <c r="KR113" i="3" l="1"/>
  <c r="KR135" i="3" l="1"/>
  <c r="KS114" i="3"/>
  <c r="KS109" i="3"/>
  <c r="KS111" i="3" l="1"/>
  <c r="KS135" i="3" l="1"/>
  <c r="KS113" i="3"/>
  <c r="KS132" i="3" l="1"/>
  <c r="E27" i="3" l="1"/>
  <c r="E16" i="3"/>
  <c r="E19" i="3" s="1"/>
  <c r="E51" i="3"/>
  <c r="E54" i="3" s="1"/>
  <c r="E28" i="3" l="1"/>
  <c r="F24" i="3" s="1"/>
  <c r="E32" i="3"/>
  <c r="E21" i="3"/>
  <c r="E30" i="3"/>
  <c r="E52" i="3"/>
  <c r="F49" i="3" s="1"/>
  <c r="E57" i="3"/>
  <c r="E17" i="3"/>
  <c r="F13" i="3" s="1"/>
  <c r="E35" i="3" l="1"/>
  <c r="E36" i="3"/>
  <c r="E58" i="3"/>
  <c r="E38" i="3" l="1"/>
  <c r="E42" i="3" s="1"/>
  <c r="E69" i="3" s="1"/>
  <c r="E41" i="3" l="1"/>
  <c r="E63" i="3" s="1"/>
  <c r="E70" i="3"/>
  <c r="E73" i="3" l="1"/>
  <c r="E64" i="3"/>
  <c r="F131" i="3"/>
  <c r="G133" i="3" s="1"/>
  <c r="F14" i="3" l="1"/>
  <c r="F15" i="3" s="1"/>
  <c r="F25" i="3"/>
  <c r="F26" i="3" s="1"/>
  <c r="F68" i="3"/>
  <c r="F62" i="3"/>
  <c r="F72" i="3" l="1"/>
  <c r="F27" i="3" l="1"/>
  <c r="F51" i="3"/>
  <c r="F54" i="3" s="1"/>
  <c r="F16" i="3"/>
  <c r="F19" i="3" s="1"/>
  <c r="F28" i="3" l="1"/>
  <c r="G24" i="3" s="1"/>
  <c r="F32" i="3"/>
  <c r="F21" i="3"/>
  <c r="F52" i="3"/>
  <c r="G49" i="3" s="1"/>
  <c r="F17" i="3"/>
  <c r="G13" i="3" s="1"/>
  <c r="F30" i="3"/>
  <c r="G131" i="3"/>
  <c r="H133" i="3" s="1"/>
  <c r="G25" i="3" l="1"/>
  <c r="G26" i="3" s="1"/>
  <c r="G14" i="3"/>
  <c r="G15" i="3" s="1"/>
  <c r="F35" i="3"/>
  <c r="F36" i="3"/>
  <c r="G62" i="3"/>
  <c r="G68" i="3"/>
  <c r="F58" i="3"/>
  <c r="F57" i="3"/>
  <c r="G72" i="3" l="1"/>
  <c r="F38" i="3"/>
  <c r="F42" i="3" s="1"/>
  <c r="F69" i="3" s="1"/>
  <c r="G51" i="3"/>
  <c r="G54" i="3" s="1"/>
  <c r="G27" i="3"/>
  <c r="G28" i="3" s="1"/>
  <c r="H24" i="3" s="1"/>
  <c r="G16" i="3"/>
  <c r="G19" i="3" s="1"/>
  <c r="H131" i="3"/>
  <c r="I133" i="3" s="1"/>
  <c r="F70" i="3" l="1"/>
  <c r="F41" i="3"/>
  <c r="F63" i="3" s="1"/>
  <c r="F64" i="3" s="1"/>
  <c r="G32" i="3"/>
  <c r="H14" i="3"/>
  <c r="H25" i="3"/>
  <c r="H26" i="3" s="1"/>
  <c r="G21" i="3"/>
  <c r="G57" i="3"/>
  <c r="G17" i="3"/>
  <c r="H13" i="3" s="1"/>
  <c r="G58" i="3"/>
  <c r="G30" i="3"/>
  <c r="G52" i="3"/>
  <c r="H49" i="3" s="1"/>
  <c r="H62" i="3"/>
  <c r="H68" i="3"/>
  <c r="F73" i="3" l="1"/>
  <c r="H15" i="3"/>
  <c r="H16" i="3" s="1"/>
  <c r="H19" i="3" s="1"/>
  <c r="H72" i="3"/>
  <c r="G35" i="3"/>
  <c r="G36" i="3"/>
  <c r="H51" i="3"/>
  <c r="H54" i="3" s="1"/>
  <c r="H58" i="3" s="1"/>
  <c r="H27" i="3"/>
  <c r="H28" i="3" s="1"/>
  <c r="I24" i="3" s="1"/>
  <c r="I131" i="3"/>
  <c r="J133" i="3" s="1"/>
  <c r="G38" i="3" l="1"/>
  <c r="G42" i="3" s="1"/>
  <c r="G69" i="3" s="1"/>
  <c r="H32" i="3"/>
  <c r="I25" i="3"/>
  <c r="I26" i="3" s="1"/>
  <c r="I14" i="3"/>
  <c r="H21" i="3"/>
  <c r="H52" i="3"/>
  <c r="I49" i="3" s="1"/>
  <c r="H57" i="3"/>
  <c r="H17" i="3"/>
  <c r="I13" i="3" s="1"/>
  <c r="H30" i="3"/>
  <c r="I62" i="3"/>
  <c r="I68" i="3"/>
  <c r="G41" i="3" l="1"/>
  <c r="G63" i="3" s="1"/>
  <c r="G73" i="3" s="1"/>
  <c r="I15" i="3"/>
  <c r="I16" i="3" s="1"/>
  <c r="I19" i="3" s="1"/>
  <c r="I72" i="3"/>
  <c r="H36" i="3"/>
  <c r="H35" i="3"/>
  <c r="I51" i="3"/>
  <c r="I54" i="3" s="1"/>
  <c r="I58" i="3" s="1"/>
  <c r="I27" i="3"/>
  <c r="I28" i="3" s="1"/>
  <c r="J24" i="3" s="1"/>
  <c r="G70" i="3"/>
  <c r="J131" i="3"/>
  <c r="K133" i="3" s="1"/>
  <c r="G64" i="3" l="1"/>
  <c r="H38" i="3"/>
  <c r="H42" i="3" s="1"/>
  <c r="H69" i="3" s="1"/>
  <c r="I57" i="3"/>
  <c r="I52" i="3"/>
  <c r="J49" i="3" s="1"/>
  <c r="I32" i="3"/>
  <c r="J25" i="3"/>
  <c r="J26" i="3" s="1"/>
  <c r="J14" i="3"/>
  <c r="I21" i="3"/>
  <c r="I30" i="3"/>
  <c r="I17" i="3"/>
  <c r="J13" i="3" s="1"/>
  <c r="J62" i="3"/>
  <c r="J68" i="3"/>
  <c r="H41" i="3" l="1"/>
  <c r="H63" i="3" s="1"/>
  <c r="H73" i="3" s="1"/>
  <c r="J72" i="3"/>
  <c r="J15" i="3"/>
  <c r="J16" i="3" s="1"/>
  <c r="J19" i="3" s="1"/>
  <c r="H70" i="3"/>
  <c r="I36" i="3"/>
  <c r="I35" i="3"/>
  <c r="J27" i="3"/>
  <c r="J28" i="3" s="1"/>
  <c r="K24" i="3" s="1"/>
  <c r="J51" i="3"/>
  <c r="J54" i="3" s="1"/>
  <c r="K131" i="3"/>
  <c r="L133" i="3" s="1"/>
  <c r="H64" i="3" l="1"/>
  <c r="J32" i="3"/>
  <c r="K14" i="3"/>
  <c r="K25" i="3"/>
  <c r="I38" i="3"/>
  <c r="I42" i="3" s="1"/>
  <c r="I69" i="3" s="1"/>
  <c r="I70" i="3" s="1"/>
  <c r="J21" i="3"/>
  <c r="J52" i="3"/>
  <c r="K49" i="3" s="1"/>
  <c r="J17" i="3"/>
  <c r="K13" i="3" s="1"/>
  <c r="J30" i="3"/>
  <c r="L131" i="3"/>
  <c r="M133" i="3" s="1"/>
  <c r="K68" i="3"/>
  <c r="K62" i="3"/>
  <c r="K72" i="3" l="1"/>
  <c r="I41" i="3"/>
  <c r="I63" i="3" s="1"/>
  <c r="I73" i="3" s="1"/>
  <c r="K15" i="3"/>
  <c r="K16" i="3" s="1"/>
  <c r="K19" i="3" s="1"/>
  <c r="K26" i="3"/>
  <c r="K27" i="3" s="1"/>
  <c r="K28" i="3" s="1"/>
  <c r="L24" i="3" s="1"/>
  <c r="J36" i="3"/>
  <c r="J35" i="3"/>
  <c r="K51" i="3"/>
  <c r="K54" i="3" s="1"/>
  <c r="J57" i="3"/>
  <c r="J58" i="3"/>
  <c r="I64" i="3" l="1"/>
  <c r="J38" i="3"/>
  <c r="J42" i="3" s="1"/>
  <c r="J69" i="3" s="1"/>
  <c r="K32" i="3"/>
  <c r="L14" i="3"/>
  <c r="L25" i="3"/>
  <c r="L26" i="3" s="1"/>
  <c r="K21" i="3"/>
  <c r="L68" i="3"/>
  <c r="L62" i="3"/>
  <c r="K30" i="3"/>
  <c r="K17" i="3"/>
  <c r="L13" i="3" s="1"/>
  <c r="K52" i="3"/>
  <c r="L49" i="3" s="1"/>
  <c r="L51" i="3" s="1"/>
  <c r="L54" i="3" s="1"/>
  <c r="M131" i="3"/>
  <c r="N133" i="3" s="1"/>
  <c r="J41" i="3" l="1"/>
  <c r="J63" i="3" s="1"/>
  <c r="J73" i="3" s="1"/>
  <c r="L72" i="3"/>
  <c r="L27" i="3"/>
  <c r="L32" i="3" s="1"/>
  <c r="M25" i="3"/>
  <c r="M14" i="3"/>
  <c r="J70" i="3"/>
  <c r="K36" i="3"/>
  <c r="K35" i="3"/>
  <c r="L15" i="3"/>
  <c r="L16" i="3" s="1"/>
  <c r="L19" i="3" s="1"/>
  <c r="L52" i="3"/>
  <c r="M49" i="3" s="1"/>
  <c r="K57" i="3"/>
  <c r="K58" i="3"/>
  <c r="M68" i="3"/>
  <c r="M62" i="3"/>
  <c r="J64" i="3" l="1"/>
  <c r="L28" i="3"/>
  <c r="M24" i="3" s="1"/>
  <c r="M26" i="3" s="1"/>
  <c r="M72" i="3"/>
  <c r="K38" i="3"/>
  <c r="K41" i="3" s="1"/>
  <c r="K63" i="3" s="1"/>
  <c r="L30" i="3"/>
  <c r="L21" i="3"/>
  <c r="L17" i="3"/>
  <c r="M13" i="3" s="1"/>
  <c r="M15" i="3" s="1"/>
  <c r="L57" i="3"/>
  <c r="L58" i="3"/>
  <c r="N131" i="3"/>
  <c r="O133" i="3" s="1"/>
  <c r="M27" i="3" l="1"/>
  <c r="M28" i="3" s="1"/>
  <c r="N24" i="3" s="1"/>
  <c r="K42" i="3"/>
  <c r="K69" i="3" s="1"/>
  <c r="K73" i="3" s="1"/>
  <c r="N14" i="3"/>
  <c r="N25" i="3"/>
  <c r="L36" i="3"/>
  <c r="L35" i="3"/>
  <c r="M16" i="3"/>
  <c r="M19" i="3" s="1"/>
  <c r="M51" i="3"/>
  <c r="K64" i="3"/>
  <c r="N68" i="3"/>
  <c r="N62" i="3"/>
  <c r="N26" i="3" l="1"/>
  <c r="N27" i="3" s="1"/>
  <c r="N28" i="3" s="1"/>
  <c r="O24" i="3" s="1"/>
  <c r="M32" i="3"/>
  <c r="N72" i="3"/>
  <c r="K70" i="3"/>
  <c r="L38" i="3"/>
  <c r="L41" i="3" s="1"/>
  <c r="L63" i="3" s="1"/>
  <c r="M30" i="3"/>
  <c r="M35" i="3" s="1"/>
  <c r="M17" i="3"/>
  <c r="N13" i="3" s="1"/>
  <c r="N15" i="3" s="1"/>
  <c r="N16" i="3" s="1"/>
  <c r="N19" i="3" s="1"/>
  <c r="M21" i="3"/>
  <c r="M52" i="3"/>
  <c r="N49" i="3" s="1"/>
  <c r="N51" i="3" s="1"/>
  <c r="N54" i="3" s="1"/>
  <c r="M54" i="3"/>
  <c r="M57" i="3" s="1"/>
  <c r="O131" i="3"/>
  <c r="P133" i="3" s="1"/>
  <c r="M36" i="3" l="1"/>
  <c r="L42" i="3"/>
  <c r="L69" i="3" s="1"/>
  <c r="L64" i="3"/>
  <c r="N32" i="3"/>
  <c r="M38" i="3"/>
  <c r="M42" i="3" s="1"/>
  <c r="N52" i="3"/>
  <c r="O49" i="3" s="1"/>
  <c r="O14" i="3"/>
  <c r="O25" i="3"/>
  <c r="M58" i="3"/>
  <c r="N21" i="3"/>
  <c r="N30" i="3"/>
  <c r="O68" i="3"/>
  <c r="O62" i="3"/>
  <c r="N17" i="3"/>
  <c r="O13" i="3" s="1"/>
  <c r="N57" i="3"/>
  <c r="N58" i="3"/>
  <c r="L70" i="3" l="1"/>
  <c r="L73" i="3"/>
  <c r="M69" i="3"/>
  <c r="M70" i="3" s="1"/>
  <c r="O72" i="3"/>
  <c r="O51" i="3"/>
  <c r="O54" i="3" s="1"/>
  <c r="O26" i="3"/>
  <c r="M41" i="3"/>
  <c r="M63" i="3" s="1"/>
  <c r="N36" i="3"/>
  <c r="N35" i="3"/>
  <c r="O15" i="3"/>
  <c r="P131" i="3"/>
  <c r="Q133" i="3" s="1"/>
  <c r="N38" i="3" l="1"/>
  <c r="N41" i="3" s="1"/>
  <c r="N63" i="3" s="1"/>
  <c r="O27" i="3"/>
  <c r="O28" i="3" s="1"/>
  <c r="P24" i="3" s="1"/>
  <c r="O16" i="3"/>
  <c r="O19" i="3" s="1"/>
  <c r="M64" i="3"/>
  <c r="M73" i="3"/>
  <c r="P14" i="3"/>
  <c r="P25" i="3"/>
  <c r="O52" i="3"/>
  <c r="P49" i="3" s="1"/>
  <c r="P62" i="3"/>
  <c r="P68" i="3"/>
  <c r="O57" i="3"/>
  <c r="O58" i="3"/>
  <c r="N42" i="3" l="1"/>
  <c r="N69" i="3" s="1"/>
  <c r="N73" i="3" s="1"/>
  <c r="O32" i="3"/>
  <c r="P26" i="3"/>
  <c r="P27" i="3" s="1"/>
  <c r="P28" i="3" s="1"/>
  <c r="Q24" i="3" s="1"/>
  <c r="O17" i="3"/>
  <c r="P13" i="3" s="1"/>
  <c r="P15" i="3" s="1"/>
  <c r="P16" i="3" s="1"/>
  <c r="P19" i="3" s="1"/>
  <c r="O30" i="3"/>
  <c r="O35" i="3" s="1"/>
  <c r="O21" i="3"/>
  <c r="P72" i="3"/>
  <c r="N64" i="3"/>
  <c r="P51" i="3"/>
  <c r="P54" i="3" s="1"/>
  <c r="Q131" i="3"/>
  <c r="R133" i="3" s="1"/>
  <c r="N70" i="3" l="1"/>
  <c r="O36" i="3"/>
  <c r="O38" i="3" s="1"/>
  <c r="O42" i="3" s="1"/>
  <c r="O69" i="3" s="1"/>
  <c r="O70" i="3" s="1"/>
  <c r="P32" i="3"/>
  <c r="Q14" i="3"/>
  <c r="Q25" i="3"/>
  <c r="Q26" i="3" s="1"/>
  <c r="P21" i="3"/>
  <c r="P52" i="3"/>
  <c r="Q49" i="3" s="1"/>
  <c r="P58" i="3"/>
  <c r="P30" i="3"/>
  <c r="P17" i="3"/>
  <c r="Q13" i="3" s="1"/>
  <c r="Q62" i="3"/>
  <c r="Q68" i="3"/>
  <c r="O41" i="3" l="1"/>
  <c r="O63" i="3" s="1"/>
  <c r="O73" i="3" s="1"/>
  <c r="Q72" i="3"/>
  <c r="Q51" i="3"/>
  <c r="Q54" i="3" s="1"/>
  <c r="Q58" i="3" s="1"/>
  <c r="P35" i="3"/>
  <c r="P36" i="3"/>
  <c r="Q15" i="3"/>
  <c r="Q16" i="3" s="1"/>
  <c r="Q19" i="3" s="1"/>
  <c r="P57" i="3"/>
  <c r="Q27" i="3"/>
  <c r="Q28" i="3" s="1"/>
  <c r="R24" i="3" s="1"/>
  <c r="R131" i="3"/>
  <c r="S133" i="3" s="1"/>
  <c r="O64" i="3" l="1"/>
  <c r="P38" i="3"/>
  <c r="P41" i="3" s="1"/>
  <c r="P63" i="3" s="1"/>
  <c r="Q52" i="3"/>
  <c r="R49" i="3" s="1"/>
  <c r="Q32" i="3"/>
  <c r="R14" i="3"/>
  <c r="R25" i="3"/>
  <c r="R26" i="3" s="1"/>
  <c r="Q21" i="3"/>
  <c r="Q30" i="3"/>
  <c r="Q57" i="3"/>
  <c r="R62" i="3"/>
  <c r="R68" i="3"/>
  <c r="Q17" i="3"/>
  <c r="R13" i="3" s="1"/>
  <c r="P42" i="3" l="1"/>
  <c r="P69" i="3" s="1"/>
  <c r="P70" i="3" s="1"/>
  <c r="R15" i="3"/>
  <c r="R72" i="3"/>
  <c r="P64" i="3"/>
  <c r="Q36" i="3"/>
  <c r="Q35" i="3"/>
  <c r="R51" i="3"/>
  <c r="R54" i="3" s="1"/>
  <c r="R58" i="3" s="1"/>
  <c r="R27" i="3"/>
  <c r="R28" i="3" s="1"/>
  <c r="S24" i="3" s="1"/>
  <c r="S131" i="3"/>
  <c r="T133" i="3" s="1"/>
  <c r="P73" i="3" l="1"/>
  <c r="Q38" i="3"/>
  <c r="Q41" i="3" s="1"/>
  <c r="Q63" i="3" s="1"/>
  <c r="R57" i="3"/>
  <c r="R32" i="3"/>
  <c r="R52" i="3"/>
  <c r="S49" i="3" s="1"/>
  <c r="S14" i="3"/>
  <c r="S25" i="3"/>
  <c r="S26" i="3" s="1"/>
  <c r="S68" i="3"/>
  <c r="S62" i="3"/>
  <c r="R16" i="3"/>
  <c r="R19" i="3" s="1"/>
  <c r="Q42" i="3" l="1"/>
  <c r="Q69" i="3" s="1"/>
  <c r="Q73" i="3" s="1"/>
  <c r="S72" i="3"/>
  <c r="S51" i="3"/>
  <c r="S54" i="3" s="1"/>
  <c r="S57" i="3" s="1"/>
  <c r="S27" i="3"/>
  <c r="S28" i="3" s="1"/>
  <c r="T24" i="3" s="1"/>
  <c r="R21" i="3"/>
  <c r="Q64" i="3"/>
  <c r="R30" i="3"/>
  <c r="R17" i="3"/>
  <c r="S13" i="3" s="1"/>
  <c r="T131" i="3"/>
  <c r="U133" i="3" s="1"/>
  <c r="Q70" i="3" l="1"/>
  <c r="S52" i="3"/>
  <c r="T49" i="3" s="1"/>
  <c r="S32" i="3"/>
  <c r="T14" i="3"/>
  <c r="T25" i="3"/>
  <c r="T26" i="3" s="1"/>
  <c r="R35" i="3"/>
  <c r="R36" i="3"/>
  <c r="S15" i="3"/>
  <c r="S16" i="3" s="1"/>
  <c r="S19" i="3" s="1"/>
  <c r="S58" i="3"/>
  <c r="T68" i="3"/>
  <c r="T62" i="3"/>
  <c r="T72" i="3" l="1"/>
  <c r="R38" i="3"/>
  <c r="R42" i="3" s="1"/>
  <c r="R69" i="3" s="1"/>
  <c r="S21" i="3"/>
  <c r="S30" i="3"/>
  <c r="S17" i="3"/>
  <c r="T13" i="3" s="1"/>
  <c r="T15" i="3" s="1"/>
  <c r="T51" i="3"/>
  <c r="T54" i="3" s="1"/>
  <c r="T27" i="3"/>
  <c r="T28" i="3" s="1"/>
  <c r="U24" i="3" s="1"/>
  <c r="U131" i="3"/>
  <c r="V133" i="3" s="1"/>
  <c r="R41" i="3" l="1"/>
  <c r="R63" i="3" s="1"/>
  <c r="R73" i="3" s="1"/>
  <c r="R70" i="3"/>
  <c r="T32" i="3"/>
  <c r="U14" i="3"/>
  <c r="U25" i="3"/>
  <c r="U26" i="3" s="1"/>
  <c r="S36" i="3"/>
  <c r="S35" i="3"/>
  <c r="T52" i="3"/>
  <c r="U49" i="3" s="1"/>
  <c r="T58" i="3"/>
  <c r="U68" i="3"/>
  <c r="U62" i="3"/>
  <c r="T16" i="3"/>
  <c r="T19" i="3" s="1"/>
  <c r="R64" i="3" l="1"/>
  <c r="S38" i="3"/>
  <c r="S42" i="3" s="1"/>
  <c r="S69" i="3" s="1"/>
  <c r="U72" i="3"/>
  <c r="T21" i="3"/>
  <c r="T57" i="3"/>
  <c r="T30" i="3"/>
  <c r="U51" i="3"/>
  <c r="U54" i="3" s="1"/>
  <c r="U27" i="3"/>
  <c r="U28" i="3" s="1"/>
  <c r="V24" i="3" s="1"/>
  <c r="V131" i="3"/>
  <c r="W133" i="3" s="1"/>
  <c r="T17" i="3"/>
  <c r="U13" i="3" s="1"/>
  <c r="U15" i="3" s="1"/>
  <c r="S70" i="3" l="1"/>
  <c r="S41" i="3"/>
  <c r="S63" i="3" s="1"/>
  <c r="S64" i="3" s="1"/>
  <c r="U32" i="3"/>
  <c r="V14" i="3"/>
  <c r="V25" i="3"/>
  <c r="V26" i="3" s="1"/>
  <c r="T36" i="3"/>
  <c r="T35" i="3"/>
  <c r="U52" i="3"/>
  <c r="V49" i="3" s="1"/>
  <c r="V68" i="3"/>
  <c r="V62" i="3"/>
  <c r="U16" i="3"/>
  <c r="U19" i="3" s="1"/>
  <c r="S73" i="3" l="1"/>
  <c r="T38" i="3"/>
  <c r="T42" i="3" s="1"/>
  <c r="T69" i="3" s="1"/>
  <c r="V72" i="3"/>
  <c r="V27" i="3"/>
  <c r="V28" i="3" s="1"/>
  <c r="W24" i="3" s="1"/>
  <c r="V51" i="3"/>
  <c r="V54" i="3" s="1"/>
  <c r="V58" i="3" s="1"/>
  <c r="U21" i="3"/>
  <c r="U30" i="3"/>
  <c r="U57" i="3"/>
  <c r="U58" i="3"/>
  <c r="W131" i="3"/>
  <c r="X133" i="3" s="1"/>
  <c r="U17" i="3"/>
  <c r="V13" i="3" s="1"/>
  <c r="V15" i="3" s="1"/>
  <c r="T41" i="3" l="1"/>
  <c r="T63" i="3" s="1"/>
  <c r="T64" i="3" s="1"/>
  <c r="V52" i="3"/>
  <c r="W49" i="3" s="1"/>
  <c r="V32" i="3"/>
  <c r="W25" i="3"/>
  <c r="W26" i="3" s="1"/>
  <c r="W14" i="3"/>
  <c r="U36" i="3"/>
  <c r="U35" i="3"/>
  <c r="T70" i="3"/>
  <c r="V57" i="3"/>
  <c r="W68" i="3"/>
  <c r="W62" i="3"/>
  <c r="V16" i="3"/>
  <c r="V19" i="3" s="1"/>
  <c r="T73" i="3" l="1"/>
  <c r="U38" i="3"/>
  <c r="U42" i="3" s="1"/>
  <c r="U69" i="3" s="1"/>
  <c r="W72" i="3"/>
  <c r="V21" i="3"/>
  <c r="V30" i="3"/>
  <c r="W51" i="3"/>
  <c r="W54" i="3" s="1"/>
  <c r="W27" i="3"/>
  <c r="W28" i="3" s="1"/>
  <c r="X24" i="3" s="1"/>
  <c r="X131" i="3"/>
  <c r="Y133" i="3" s="1"/>
  <c r="V17" i="3"/>
  <c r="W13" i="3" s="1"/>
  <c r="W15" i="3" s="1"/>
  <c r="U41" i="3" l="1"/>
  <c r="U63" i="3" s="1"/>
  <c r="U73" i="3" s="1"/>
  <c r="W32" i="3"/>
  <c r="X14" i="3"/>
  <c r="X25" i="3"/>
  <c r="X26" i="3" s="1"/>
  <c r="X27" i="3" s="1"/>
  <c r="X28" i="3" s="1"/>
  <c r="Y24" i="3" s="1"/>
  <c r="V35" i="3"/>
  <c r="V36" i="3"/>
  <c r="U70" i="3"/>
  <c r="W52" i="3"/>
  <c r="X49" i="3" s="1"/>
  <c r="X51" i="3" s="1"/>
  <c r="X54" i="3" s="1"/>
  <c r="X68" i="3"/>
  <c r="X62" i="3"/>
  <c r="U64" i="3" l="1"/>
  <c r="X72" i="3"/>
  <c r="X32" i="3"/>
  <c r="V38" i="3"/>
  <c r="V42" i="3" s="1"/>
  <c r="V69" i="3" s="1"/>
  <c r="X52" i="3"/>
  <c r="Y49" i="3" s="1"/>
  <c r="W58" i="3"/>
  <c r="W57" i="3"/>
  <c r="Y131" i="3"/>
  <c r="Z133" i="3" s="1"/>
  <c r="X58" i="3"/>
  <c r="X57" i="3"/>
  <c r="W16" i="3"/>
  <c r="W19" i="3" s="1"/>
  <c r="V41" i="3" l="1"/>
  <c r="V63" i="3" s="1"/>
  <c r="V73" i="3" s="1"/>
  <c r="Y14" i="3"/>
  <c r="Y25" i="3"/>
  <c r="Y26" i="3" s="1"/>
  <c r="Y27" i="3" s="1"/>
  <c r="Y28" i="3" s="1"/>
  <c r="Z24" i="3" s="1"/>
  <c r="V70" i="3"/>
  <c r="W21" i="3"/>
  <c r="W30" i="3"/>
  <c r="Y51" i="3"/>
  <c r="Y54" i="3" s="1"/>
  <c r="Y62" i="3"/>
  <c r="Y68" i="3"/>
  <c r="W17" i="3"/>
  <c r="X13" i="3" s="1"/>
  <c r="X15" i="3" s="1"/>
  <c r="V64" i="3" l="1"/>
  <c r="Y72" i="3"/>
  <c r="Y32" i="3"/>
  <c r="W35" i="3"/>
  <c r="W36" i="3"/>
  <c r="Y52" i="3"/>
  <c r="Z49" i="3" s="1"/>
  <c r="Y57" i="3"/>
  <c r="Z131" i="3"/>
  <c r="AA133" i="3" s="1"/>
  <c r="W38" i="3" l="1"/>
  <c r="W42" i="3" s="1"/>
  <c r="W69" i="3" s="1"/>
  <c r="Z14" i="3"/>
  <c r="Z25" i="3"/>
  <c r="Z26" i="3" s="1"/>
  <c r="Y58" i="3"/>
  <c r="Z62" i="3"/>
  <c r="Z68" i="3"/>
  <c r="X16" i="3"/>
  <c r="X19" i="3" s="1"/>
  <c r="W41" i="3" l="1"/>
  <c r="W63" i="3" s="1"/>
  <c r="W73" i="3" s="1"/>
  <c r="Z72" i="3"/>
  <c r="W70" i="3"/>
  <c r="X21" i="3"/>
  <c r="Z51" i="3"/>
  <c r="Z54" i="3" s="1"/>
  <c r="X30" i="3"/>
  <c r="Z27" i="3"/>
  <c r="Z28" i="3" s="1"/>
  <c r="AA24" i="3" s="1"/>
  <c r="AA131" i="3"/>
  <c r="AB133" i="3" s="1"/>
  <c r="X17" i="3"/>
  <c r="Y13" i="3" s="1"/>
  <c r="Y15" i="3" s="1"/>
  <c r="W64" i="3" l="1"/>
  <c r="Z32" i="3"/>
  <c r="AA14" i="3"/>
  <c r="AA25" i="3"/>
  <c r="AA26" i="3" s="1"/>
  <c r="X35" i="3"/>
  <c r="X36" i="3"/>
  <c r="Z52" i="3"/>
  <c r="AA49" i="3" s="1"/>
  <c r="AA68" i="3"/>
  <c r="AA62" i="3"/>
  <c r="Z58" i="3"/>
  <c r="Z57" i="3"/>
  <c r="AA72" i="3" l="1"/>
  <c r="X38" i="3"/>
  <c r="X41" i="3" s="1"/>
  <c r="X63" i="3" s="1"/>
  <c r="AA51" i="3"/>
  <c r="AA54" i="3" s="1"/>
  <c r="AA58" i="3" s="1"/>
  <c r="AA27" i="3"/>
  <c r="AA28" i="3" s="1"/>
  <c r="AB24" i="3" s="1"/>
  <c r="AB131" i="3"/>
  <c r="AC133" i="3" s="1"/>
  <c r="Y16" i="3"/>
  <c r="Y19" i="3" s="1"/>
  <c r="X42" i="3" l="1"/>
  <c r="X69" i="3" s="1"/>
  <c r="X73" i="3" s="1"/>
  <c r="AA32" i="3"/>
  <c r="AB14" i="3"/>
  <c r="AB25" i="3"/>
  <c r="AB26" i="3" s="1"/>
  <c r="AA52" i="3"/>
  <c r="AB49" i="3" s="1"/>
  <c r="X64" i="3"/>
  <c r="Y21" i="3"/>
  <c r="AA57" i="3"/>
  <c r="Y30" i="3"/>
  <c r="AB62" i="3"/>
  <c r="AB68" i="3"/>
  <c r="Y17" i="3"/>
  <c r="Z13" i="3" s="1"/>
  <c r="Z15" i="3" s="1"/>
  <c r="X70" i="3" l="1"/>
  <c r="AB72" i="3"/>
  <c r="Y35" i="3"/>
  <c r="Y36" i="3"/>
  <c r="AB51" i="3"/>
  <c r="AB54" i="3" s="1"/>
  <c r="AB27" i="3"/>
  <c r="AB28" i="3" s="1"/>
  <c r="AC24" i="3" s="1"/>
  <c r="AC131" i="3"/>
  <c r="AD133" i="3" s="1"/>
  <c r="Y38" i="3" l="1"/>
  <c r="Y42" i="3" s="1"/>
  <c r="Y69" i="3" s="1"/>
  <c r="AB32" i="3"/>
  <c r="AC14" i="3"/>
  <c r="AC25" i="3"/>
  <c r="AC26" i="3" s="1"/>
  <c r="AB52" i="3"/>
  <c r="AC49" i="3" s="1"/>
  <c r="AC62" i="3"/>
  <c r="AC68" i="3"/>
  <c r="Z16" i="3"/>
  <c r="Z19" i="3" s="1"/>
  <c r="Y41" i="3" l="1"/>
  <c r="Y63" i="3" s="1"/>
  <c r="Y73" i="3" s="1"/>
  <c r="AC72" i="3"/>
  <c r="Y70" i="3"/>
  <c r="Z21" i="3"/>
  <c r="Z30" i="3"/>
  <c r="Z17" i="3"/>
  <c r="AA13" i="3" s="1"/>
  <c r="AA15" i="3" s="1"/>
  <c r="AB57" i="3"/>
  <c r="AB58" i="3"/>
  <c r="AC51" i="3"/>
  <c r="AC54" i="3" s="1"/>
  <c r="AC27" i="3"/>
  <c r="AC28" i="3" s="1"/>
  <c r="AD24" i="3" s="1"/>
  <c r="AD131" i="3"/>
  <c r="AE133" i="3" s="1"/>
  <c r="Y64" i="3" l="1"/>
  <c r="AC32" i="3"/>
  <c r="AD14" i="3"/>
  <c r="AD25" i="3"/>
  <c r="AD26" i="3" s="1"/>
  <c r="AD27" i="3" s="1"/>
  <c r="AD28" i="3" s="1"/>
  <c r="AE24" i="3" s="1"/>
  <c r="Z35" i="3"/>
  <c r="Z36" i="3"/>
  <c r="AC52" i="3"/>
  <c r="AD49" i="3" s="1"/>
  <c r="AD51" i="3" s="1"/>
  <c r="AD54" i="3" s="1"/>
  <c r="AC58" i="3"/>
  <c r="AD68" i="3"/>
  <c r="AD62" i="3"/>
  <c r="AC57" i="3"/>
  <c r="AA16" i="3"/>
  <c r="AA19" i="3" s="1"/>
  <c r="AD72" i="3" l="1"/>
  <c r="Z38" i="3"/>
  <c r="Z41" i="3" s="1"/>
  <c r="Z63" i="3" s="1"/>
  <c r="Z64" i="3" s="1"/>
  <c r="AD32" i="3"/>
  <c r="AA21" i="3"/>
  <c r="AD52" i="3"/>
  <c r="AE49" i="3" s="1"/>
  <c r="AA30" i="3"/>
  <c r="AD57" i="3"/>
  <c r="AE131" i="3"/>
  <c r="AF133" i="3" s="1"/>
  <c r="AA17" i="3"/>
  <c r="AB13" i="3" s="1"/>
  <c r="AB15" i="3" s="1"/>
  <c r="Z42" i="3" l="1"/>
  <c r="Z69" i="3" s="1"/>
  <c r="Z70" i="3" s="1"/>
  <c r="AE14" i="3"/>
  <c r="AE25" i="3"/>
  <c r="AE26" i="3" s="1"/>
  <c r="AA36" i="3"/>
  <c r="AA35" i="3"/>
  <c r="AD58" i="3"/>
  <c r="AE68" i="3"/>
  <c r="AE62" i="3"/>
  <c r="AA38" i="3" l="1"/>
  <c r="AA42" i="3" s="1"/>
  <c r="AA69" i="3" s="1"/>
  <c r="AE27" i="3"/>
  <c r="AE28" i="3" s="1"/>
  <c r="AF24" i="3" s="1"/>
  <c r="AE72" i="3"/>
  <c r="Z73" i="3"/>
  <c r="AE51" i="3"/>
  <c r="AF131" i="3"/>
  <c r="AG133" i="3" s="1"/>
  <c r="AB16" i="3"/>
  <c r="AB19" i="3" s="1"/>
  <c r="AA41" i="3" l="1"/>
  <c r="AA63" i="3" s="1"/>
  <c r="AA73" i="3" s="1"/>
  <c r="AE32" i="3"/>
  <c r="AF14" i="3"/>
  <c r="AF25" i="3"/>
  <c r="AF26" i="3" s="1"/>
  <c r="AA70" i="3"/>
  <c r="AE52" i="3"/>
  <c r="AF49" i="3" s="1"/>
  <c r="AE54" i="3"/>
  <c r="AE57" i="3" s="1"/>
  <c r="AB21" i="3"/>
  <c r="AB30" i="3"/>
  <c r="AF68" i="3"/>
  <c r="AF62" i="3"/>
  <c r="AB17" i="3"/>
  <c r="AC13" i="3" s="1"/>
  <c r="AC15" i="3" s="1"/>
  <c r="AA64" i="3" l="1"/>
  <c r="AF72" i="3"/>
  <c r="AE58" i="3"/>
  <c r="AF27" i="3"/>
  <c r="AF28" i="3" s="1"/>
  <c r="AG24" i="3" s="1"/>
  <c r="AB36" i="3"/>
  <c r="AB35" i="3"/>
  <c r="AF51" i="3"/>
  <c r="AF54" i="3" s="1"/>
  <c r="AF58" i="3" s="1"/>
  <c r="AG131" i="3"/>
  <c r="AH133" i="3" s="1"/>
  <c r="AC16" i="3"/>
  <c r="AC19" i="3" s="1"/>
  <c r="AB38" i="3" l="1"/>
  <c r="AB42" i="3" s="1"/>
  <c r="AB69" i="3" s="1"/>
  <c r="AF32" i="3"/>
  <c r="AF52" i="3"/>
  <c r="AG49" i="3" s="1"/>
  <c r="AG51" i="3" s="1"/>
  <c r="AG54" i="3" s="1"/>
  <c r="AG14" i="3"/>
  <c r="AG25" i="3"/>
  <c r="AG26" i="3" s="1"/>
  <c r="AG27" i="3" s="1"/>
  <c r="AG28" i="3" s="1"/>
  <c r="AH24" i="3" s="1"/>
  <c r="AC21" i="3"/>
  <c r="AF57" i="3"/>
  <c r="AC30" i="3"/>
  <c r="AG68" i="3"/>
  <c r="AG62" i="3"/>
  <c r="AC17" i="3"/>
  <c r="AD13" i="3" s="1"/>
  <c r="AD15" i="3" s="1"/>
  <c r="AB41" i="3" l="1"/>
  <c r="AB63" i="3" s="1"/>
  <c r="AB73" i="3" s="1"/>
  <c r="AG72" i="3"/>
  <c r="AG32" i="3"/>
  <c r="AB70" i="3"/>
  <c r="AC36" i="3"/>
  <c r="AC35" i="3"/>
  <c r="AG52" i="3"/>
  <c r="AH49" i="3" s="1"/>
  <c r="AH131" i="3"/>
  <c r="AI133" i="3" s="1"/>
  <c r="AB64" i="3" l="1"/>
  <c r="AC38" i="3"/>
  <c r="AC41" i="3" s="1"/>
  <c r="AC63" i="3" s="1"/>
  <c r="AH25" i="3"/>
  <c r="AH26" i="3" s="1"/>
  <c r="AH14" i="3"/>
  <c r="AH62" i="3"/>
  <c r="AH68" i="3"/>
  <c r="AG57" i="3"/>
  <c r="AG58" i="3"/>
  <c r="AD16" i="3"/>
  <c r="AD19" i="3" s="1"/>
  <c r="AC42" i="3" l="1"/>
  <c r="AC69" i="3" s="1"/>
  <c r="AH72" i="3"/>
  <c r="AD21" i="3"/>
  <c r="AC64" i="3"/>
  <c r="AD30" i="3"/>
  <c r="AH51" i="3"/>
  <c r="AH27" i="3"/>
  <c r="AH28" i="3" s="1"/>
  <c r="AI24" i="3" s="1"/>
  <c r="AD17" i="3"/>
  <c r="AE13" i="3" s="1"/>
  <c r="AI131" i="3"/>
  <c r="AJ133" i="3" s="1"/>
  <c r="AC73" i="3" l="1"/>
  <c r="AC70" i="3"/>
  <c r="AH32" i="3"/>
  <c r="AI25" i="3"/>
  <c r="AI26" i="3" s="1"/>
  <c r="AI14" i="3"/>
  <c r="AD36" i="3"/>
  <c r="AD35" i="3"/>
  <c r="AH54" i="3"/>
  <c r="AH57" i="3" s="1"/>
  <c r="AE15" i="3"/>
  <c r="AE16" i="3" s="1"/>
  <c r="AE19" i="3" s="1"/>
  <c r="AH52" i="3"/>
  <c r="AI49" i="3" s="1"/>
  <c r="AI68" i="3"/>
  <c r="AI62" i="3"/>
  <c r="AI72" i="3" l="1"/>
  <c r="AD38" i="3"/>
  <c r="AD42" i="3" s="1"/>
  <c r="AD69" i="3" s="1"/>
  <c r="AH58" i="3"/>
  <c r="AI51" i="3"/>
  <c r="AI54" i="3" s="1"/>
  <c r="AI27" i="3"/>
  <c r="AI28" i="3" s="1"/>
  <c r="AJ24" i="3" s="1"/>
  <c r="AE30" i="3"/>
  <c r="AE17" i="3"/>
  <c r="AF13" i="3" s="1"/>
  <c r="AF15" i="3" s="1"/>
  <c r="AE21" i="3"/>
  <c r="AJ131" i="3"/>
  <c r="AK133" i="3" s="1"/>
  <c r="AD70" i="3" l="1"/>
  <c r="AD41" i="3"/>
  <c r="AD63" i="3" s="1"/>
  <c r="AI32" i="3"/>
  <c r="AJ14" i="3"/>
  <c r="AJ25" i="3"/>
  <c r="AJ26" i="3" s="1"/>
  <c r="AI52" i="3"/>
  <c r="AJ49" i="3" s="1"/>
  <c r="AE36" i="3"/>
  <c r="AE35" i="3"/>
  <c r="AF16" i="3"/>
  <c r="AF19" i="3" s="1"/>
  <c r="AJ62" i="3"/>
  <c r="AJ68" i="3"/>
  <c r="AI58" i="3"/>
  <c r="AI57" i="3"/>
  <c r="AD73" i="3" l="1"/>
  <c r="AD64" i="3"/>
  <c r="AJ72" i="3"/>
  <c r="AE38" i="3"/>
  <c r="AE42" i="3" s="1"/>
  <c r="AE69" i="3" s="1"/>
  <c r="AF30" i="3"/>
  <c r="AF36" i="3" s="1"/>
  <c r="AF21" i="3"/>
  <c r="AF17" i="3"/>
  <c r="AG13" i="3" s="1"/>
  <c r="AG15" i="3" s="1"/>
  <c r="AJ27" i="3"/>
  <c r="AJ28" i="3" s="1"/>
  <c r="AK24" i="3" s="1"/>
  <c r="AJ51" i="3"/>
  <c r="AJ54" i="3" s="1"/>
  <c r="AK131" i="3"/>
  <c r="AL133" i="3" s="1"/>
  <c r="AE41" i="3" l="1"/>
  <c r="AE63" i="3" s="1"/>
  <c r="AE73" i="3" s="1"/>
  <c r="AE70" i="3"/>
  <c r="AF35" i="3"/>
  <c r="AF38" i="3" s="1"/>
  <c r="AJ32" i="3"/>
  <c r="AK14" i="3"/>
  <c r="AK25" i="3"/>
  <c r="AK26" i="3" s="1"/>
  <c r="AJ52" i="3"/>
  <c r="AK49" i="3" s="1"/>
  <c r="AJ58" i="3"/>
  <c r="AK68" i="3"/>
  <c r="AK62" i="3"/>
  <c r="AG16" i="3"/>
  <c r="AG19" i="3" s="1"/>
  <c r="AE64" i="3" l="1"/>
  <c r="AK72" i="3"/>
  <c r="AF42" i="3"/>
  <c r="AF69" i="3" s="1"/>
  <c r="AF41" i="3"/>
  <c r="AF63" i="3" s="1"/>
  <c r="AF64" i="3" s="1"/>
  <c r="AG21" i="3"/>
  <c r="AG30" i="3"/>
  <c r="AK27" i="3"/>
  <c r="AK28" i="3" s="1"/>
  <c r="AL24" i="3" s="1"/>
  <c r="AJ57" i="3"/>
  <c r="AK51" i="3"/>
  <c r="AK54" i="3" s="1"/>
  <c r="AL131" i="3"/>
  <c r="AM133" i="3" s="1"/>
  <c r="AG17" i="3"/>
  <c r="AH13" i="3" s="1"/>
  <c r="AH15" i="3" s="1"/>
  <c r="AF70" i="3" l="1"/>
  <c r="AF73" i="3"/>
  <c r="AK32" i="3"/>
  <c r="AL14" i="3"/>
  <c r="AL25" i="3"/>
  <c r="AL26" i="3" s="1"/>
  <c r="AG35" i="3"/>
  <c r="AG36" i="3"/>
  <c r="AK52" i="3"/>
  <c r="AL49" i="3" s="1"/>
  <c r="AK58" i="3"/>
  <c r="AL68" i="3"/>
  <c r="AL62" i="3"/>
  <c r="AL72" i="3" l="1"/>
  <c r="AG38" i="3"/>
  <c r="AG41" i="3" s="1"/>
  <c r="AG63" i="3" s="1"/>
  <c r="AK57" i="3"/>
  <c r="AL27" i="3"/>
  <c r="AL28" i="3" s="1"/>
  <c r="AM24" i="3" s="1"/>
  <c r="AL51" i="3"/>
  <c r="AL54" i="3" s="1"/>
  <c r="AM131" i="3"/>
  <c r="AN133" i="3" s="1"/>
  <c r="AH16" i="3"/>
  <c r="AH19" i="3" s="1"/>
  <c r="AG42" i="3" l="1"/>
  <c r="AG69" i="3" s="1"/>
  <c r="AG73" i="3" s="1"/>
  <c r="AL32" i="3"/>
  <c r="AM14" i="3"/>
  <c r="AM25" i="3"/>
  <c r="AM26" i="3" s="1"/>
  <c r="AH21" i="3"/>
  <c r="AG64" i="3"/>
  <c r="AH30" i="3"/>
  <c r="AH17" i="3"/>
  <c r="AI13" i="3" s="1"/>
  <c r="AM68" i="3"/>
  <c r="AM62" i="3"/>
  <c r="AL52" i="3"/>
  <c r="AM49" i="3" s="1"/>
  <c r="AG70" i="3" l="1"/>
  <c r="AM72" i="3"/>
  <c r="AM51" i="3"/>
  <c r="AM54" i="3" s="1"/>
  <c r="AH35" i="3"/>
  <c r="AH36" i="3"/>
  <c r="AI15" i="3"/>
  <c r="AI16" i="3" s="1"/>
  <c r="AI19" i="3" s="1"/>
  <c r="AM27" i="3"/>
  <c r="AM28" i="3" s="1"/>
  <c r="AN24" i="3" s="1"/>
  <c r="AN131" i="3"/>
  <c r="AO133" i="3" s="1"/>
  <c r="AL58" i="3"/>
  <c r="AL57" i="3"/>
  <c r="AH38" i="3" l="1"/>
  <c r="AH42" i="3" s="1"/>
  <c r="AH69" i="3" s="1"/>
  <c r="AH70" i="3" s="1"/>
  <c r="AM52" i="3"/>
  <c r="AN49" i="3" s="1"/>
  <c r="AM32" i="3"/>
  <c r="AN14" i="3"/>
  <c r="AN25" i="3"/>
  <c r="AN26" i="3" s="1"/>
  <c r="AI21" i="3"/>
  <c r="AI30" i="3"/>
  <c r="AI17" i="3"/>
  <c r="AJ13" i="3" s="1"/>
  <c r="AJ15" i="3" s="1"/>
  <c r="AM58" i="3"/>
  <c r="AM57" i="3"/>
  <c r="AN62" i="3"/>
  <c r="AN68" i="3"/>
  <c r="AH41" i="3" l="1"/>
  <c r="AH63" i="3" s="1"/>
  <c r="AH73" i="3" s="1"/>
  <c r="AN72" i="3"/>
  <c r="AI36" i="3"/>
  <c r="AI35" i="3"/>
  <c r="AJ16" i="3"/>
  <c r="AJ19" i="3" s="1"/>
  <c r="AN27" i="3"/>
  <c r="AN28" i="3" s="1"/>
  <c r="AO24" i="3" s="1"/>
  <c r="AO131" i="3"/>
  <c r="AP133" i="3" s="1"/>
  <c r="AN51" i="3"/>
  <c r="AN54" i="3" s="1"/>
  <c r="AH64" i="3" l="1"/>
  <c r="AN32" i="3"/>
  <c r="AJ21" i="3"/>
  <c r="AI38" i="3"/>
  <c r="AI41" i="3" s="1"/>
  <c r="AI63" i="3" s="1"/>
  <c r="AJ17" i="3"/>
  <c r="AK13" i="3" s="1"/>
  <c r="AK15" i="3" s="1"/>
  <c r="AO14" i="3"/>
  <c r="AO25" i="3"/>
  <c r="AJ30" i="3"/>
  <c r="AN52" i="3"/>
  <c r="AO49" i="3" s="1"/>
  <c r="AO68" i="3"/>
  <c r="AO62" i="3"/>
  <c r="AO72" i="3" l="1"/>
  <c r="AI42" i="3"/>
  <c r="AI69" i="3" s="1"/>
  <c r="AI70" i="3" s="1"/>
  <c r="AI64" i="3"/>
  <c r="AO26" i="3"/>
  <c r="AO27" i="3" s="1"/>
  <c r="AO28" i="3" s="1"/>
  <c r="AP24" i="3" s="1"/>
  <c r="AK16" i="3"/>
  <c r="AK19" i="3" s="1"/>
  <c r="AJ36" i="3"/>
  <c r="AJ35" i="3"/>
  <c r="AO51" i="3"/>
  <c r="AO54" i="3" s="1"/>
  <c r="AN57" i="3"/>
  <c r="AN58" i="3"/>
  <c r="AP131" i="3"/>
  <c r="AQ133" i="3" s="1"/>
  <c r="AI73" i="3" l="1"/>
  <c r="AJ38" i="3"/>
  <c r="AJ42" i="3" s="1"/>
  <c r="AJ69" i="3" s="1"/>
  <c r="AK30" i="3"/>
  <c r="AK36" i="3" s="1"/>
  <c r="AO32" i="3"/>
  <c r="AK21" i="3"/>
  <c r="AK17" i="3"/>
  <c r="AL13" i="3" s="1"/>
  <c r="AL15" i="3" s="1"/>
  <c r="AP14" i="3"/>
  <c r="AP25" i="3"/>
  <c r="AP26" i="3" s="1"/>
  <c r="AO52" i="3"/>
  <c r="AP49" i="3" s="1"/>
  <c r="AO57" i="3"/>
  <c r="AP68" i="3"/>
  <c r="AP62" i="3"/>
  <c r="AK35" i="3" l="1"/>
  <c r="AK38" i="3" s="1"/>
  <c r="AK41" i="3" s="1"/>
  <c r="AK63" i="3" s="1"/>
  <c r="AJ70" i="3"/>
  <c r="AJ41" i="3"/>
  <c r="AJ63" i="3" s="1"/>
  <c r="AJ73" i="3" s="1"/>
  <c r="AP72" i="3"/>
  <c r="AO58" i="3"/>
  <c r="AP27" i="3"/>
  <c r="AP28" i="3" s="1"/>
  <c r="AQ24" i="3" s="1"/>
  <c r="AP51" i="3"/>
  <c r="AP54" i="3" s="1"/>
  <c r="AQ131" i="3"/>
  <c r="AR133" i="3" s="1"/>
  <c r="AL16" i="3"/>
  <c r="AL19" i="3" s="1"/>
  <c r="AJ64" i="3" l="1"/>
  <c r="AK42" i="3"/>
  <c r="AK69" i="3" s="1"/>
  <c r="AK73" i="3" s="1"/>
  <c r="AP32" i="3"/>
  <c r="AQ25" i="3"/>
  <c r="AQ26" i="3" s="1"/>
  <c r="AQ14" i="3"/>
  <c r="AL21" i="3"/>
  <c r="AK64" i="3"/>
  <c r="AP52" i="3"/>
  <c r="AQ49" i="3" s="1"/>
  <c r="AL30" i="3"/>
  <c r="AP57" i="3"/>
  <c r="AQ68" i="3"/>
  <c r="AQ62" i="3"/>
  <c r="AL17" i="3"/>
  <c r="AM13" i="3" s="1"/>
  <c r="AM15" i="3" s="1"/>
  <c r="AK70" i="3" l="1"/>
  <c r="AQ72" i="3"/>
  <c r="AR25" i="3"/>
  <c r="AR14" i="3"/>
  <c r="AL36" i="3"/>
  <c r="AL35" i="3"/>
  <c r="AQ27" i="3"/>
  <c r="AQ28" i="3" s="1"/>
  <c r="AR24" i="3" s="1"/>
  <c r="AP58" i="3"/>
  <c r="AR62" i="3"/>
  <c r="AR68" i="3"/>
  <c r="AQ51" i="3"/>
  <c r="AQ54" i="3" s="1"/>
  <c r="AR131" i="3"/>
  <c r="AS133" i="3" s="1"/>
  <c r="AL38" i="3" l="1"/>
  <c r="AL42" i="3" s="1"/>
  <c r="AL69" i="3" s="1"/>
  <c r="AR72" i="3"/>
  <c r="AR26" i="3"/>
  <c r="AQ32" i="3"/>
  <c r="AQ52" i="3"/>
  <c r="AR49" i="3" s="1"/>
  <c r="AM16" i="3"/>
  <c r="AM19" i="3" s="1"/>
  <c r="AL41" i="3" l="1"/>
  <c r="AL63" i="3" s="1"/>
  <c r="AL73" i="3" s="1"/>
  <c r="AS25" i="3"/>
  <c r="AS14" i="3"/>
  <c r="AL70" i="3"/>
  <c r="AM21" i="3"/>
  <c r="AM30" i="3"/>
  <c r="AS131" i="3"/>
  <c r="AT133" i="3" s="1"/>
  <c r="AM17" i="3"/>
  <c r="AN13" i="3" s="1"/>
  <c r="AN15" i="3" s="1"/>
  <c r="AR27" i="3"/>
  <c r="AQ58" i="3"/>
  <c r="AQ57" i="3"/>
  <c r="AR51" i="3"/>
  <c r="AR54" i="3" s="1"/>
  <c r="AS68" i="3"/>
  <c r="AS62" i="3"/>
  <c r="AL64" i="3" l="1"/>
  <c r="AS72" i="3"/>
  <c r="AR28" i="3"/>
  <c r="AS24" i="3" s="1"/>
  <c r="AS26" i="3" s="1"/>
  <c r="AR32" i="3"/>
  <c r="AM36" i="3"/>
  <c r="AM35" i="3"/>
  <c r="AR52" i="3"/>
  <c r="AS49" i="3" s="1"/>
  <c r="AR57" i="3"/>
  <c r="AN16" i="3"/>
  <c r="AN19" i="3" s="1"/>
  <c r="AM38" i="3" l="1"/>
  <c r="AM41" i="3" s="1"/>
  <c r="AM63" i="3" s="1"/>
  <c r="AM64" i="3" s="1"/>
  <c r="AN21" i="3"/>
  <c r="AS27" i="3"/>
  <c r="AS32" i="3" s="1"/>
  <c r="AN30" i="3"/>
  <c r="AT131" i="3"/>
  <c r="AU133" i="3" s="1"/>
  <c r="AR58" i="3"/>
  <c r="AS51" i="3"/>
  <c r="AS54" i="3" s="1"/>
  <c r="AN17" i="3"/>
  <c r="AO13" i="3" s="1"/>
  <c r="AO15" i="3" s="1"/>
  <c r="AM42" i="3" l="1"/>
  <c r="AM69" i="3" s="1"/>
  <c r="AM73" i="3" s="1"/>
  <c r="AT25" i="3"/>
  <c r="AT14" i="3"/>
  <c r="AN35" i="3"/>
  <c r="AN36" i="3"/>
  <c r="AS52" i="3"/>
  <c r="AT49" i="3" s="1"/>
  <c r="AT68" i="3"/>
  <c r="AT62" i="3"/>
  <c r="AS28" i="3"/>
  <c r="AT24" i="3" s="1"/>
  <c r="AS58" i="3"/>
  <c r="AN38" i="3" l="1"/>
  <c r="AN41" i="3" s="1"/>
  <c r="AN63" i="3" s="1"/>
  <c r="AM70" i="3"/>
  <c r="AT26" i="3"/>
  <c r="AT27" i="3" s="1"/>
  <c r="AT28" i="3" s="1"/>
  <c r="AU24" i="3" s="1"/>
  <c r="AT72" i="3"/>
  <c r="AU14" i="3"/>
  <c r="AU25" i="3"/>
  <c r="AU131" i="3"/>
  <c r="AV133" i="3" s="1"/>
  <c r="AS57" i="3"/>
  <c r="AT51" i="3"/>
  <c r="AT54" i="3" s="1"/>
  <c r="AU62" i="3"/>
  <c r="AU68" i="3"/>
  <c r="AO16" i="3"/>
  <c r="AO19" i="3" s="1"/>
  <c r="AN42" i="3" l="1"/>
  <c r="AN69" i="3" s="1"/>
  <c r="AN73" i="3" s="1"/>
  <c r="AU72" i="3"/>
  <c r="AT32" i="3"/>
  <c r="AU26" i="3"/>
  <c r="AN64" i="3"/>
  <c r="AO21" i="3"/>
  <c r="AT52" i="3"/>
  <c r="AU49" i="3" s="1"/>
  <c r="AO30" i="3"/>
  <c r="AT57" i="3"/>
  <c r="AO17" i="3"/>
  <c r="AP13" i="3" s="1"/>
  <c r="AP15" i="3" s="1"/>
  <c r="AN70" i="3" l="1"/>
  <c r="AV14" i="3"/>
  <c r="AV131" i="3"/>
  <c r="AW133" i="3" s="1"/>
  <c r="AV25" i="3"/>
  <c r="AO35" i="3"/>
  <c r="AO36" i="3"/>
  <c r="AT58" i="3"/>
  <c r="AU27" i="3"/>
  <c r="AU51" i="3"/>
  <c r="AU54" i="3" s="1"/>
  <c r="AU57" i="3" s="1"/>
  <c r="AV62" i="3"/>
  <c r="AP16" i="3"/>
  <c r="AP19" i="3" s="1"/>
  <c r="AV68" i="3" l="1"/>
  <c r="AV72" i="3" s="1"/>
  <c r="AO38" i="3"/>
  <c r="AO42" i="3" s="1"/>
  <c r="AO69" i="3" s="1"/>
  <c r="AW131" i="3"/>
  <c r="AX133" i="3" s="1"/>
  <c r="AU28" i="3"/>
  <c r="AV24" i="3" s="1"/>
  <c r="AV26" i="3" s="1"/>
  <c r="AU32" i="3"/>
  <c r="AP21" i="3"/>
  <c r="AU52" i="3"/>
  <c r="AV49" i="3" s="1"/>
  <c r="AU58" i="3"/>
  <c r="AP30" i="3"/>
  <c r="AP17" i="3"/>
  <c r="AQ13" i="3" s="1"/>
  <c r="AQ15" i="3" s="1"/>
  <c r="AO41" i="3" l="1"/>
  <c r="AO63" i="3" s="1"/>
  <c r="AO73" i="3" s="1"/>
  <c r="AW14" i="3"/>
  <c r="AP35" i="3"/>
  <c r="AP36" i="3"/>
  <c r="AO70" i="3"/>
  <c r="AV27" i="3"/>
  <c r="AV51" i="3"/>
  <c r="AV54" i="3" s="1"/>
  <c r="AW62" i="3"/>
  <c r="AW68" i="3"/>
  <c r="AO64" i="3" l="1"/>
  <c r="AW25" i="3"/>
  <c r="AP38" i="3"/>
  <c r="AP41" i="3" s="1"/>
  <c r="AP63" i="3" s="1"/>
  <c r="AW72" i="3"/>
  <c r="AV28" i="3"/>
  <c r="AW24" i="3" s="1"/>
  <c r="AV32" i="3"/>
  <c r="AV52" i="3"/>
  <c r="AW49" i="3" s="1"/>
  <c r="AV58" i="3"/>
  <c r="AX131" i="3"/>
  <c r="AY133" i="3" s="1"/>
  <c r="AQ16" i="3"/>
  <c r="AQ19" i="3" s="1"/>
  <c r="AW26" i="3" l="1"/>
  <c r="AW27" i="3" s="1"/>
  <c r="AW28" i="3" s="1"/>
  <c r="AX24" i="3" s="1"/>
  <c r="AW51" i="3"/>
  <c r="AW52" i="3" s="1"/>
  <c r="AX49" i="3" s="1"/>
  <c r="AP42" i="3"/>
  <c r="AP69" i="3" s="1"/>
  <c r="AP73" i="3" s="1"/>
  <c r="AX14" i="3"/>
  <c r="AX25" i="3"/>
  <c r="AW54" i="3"/>
  <c r="AW57" i="3" s="1"/>
  <c r="AQ21" i="3"/>
  <c r="AP64" i="3"/>
  <c r="AV57" i="3"/>
  <c r="AQ30" i="3"/>
  <c r="AX68" i="3"/>
  <c r="AX62" i="3"/>
  <c r="AQ17" i="3"/>
  <c r="AR13" i="3" s="1"/>
  <c r="AR15" i="3" s="1"/>
  <c r="AP70" i="3" l="1"/>
  <c r="AW32" i="3"/>
  <c r="AX26" i="3"/>
  <c r="AX27" i="3" s="1"/>
  <c r="AX28" i="3" s="1"/>
  <c r="AY24" i="3" s="1"/>
  <c r="AX72" i="3"/>
  <c r="AQ36" i="3"/>
  <c r="AQ35" i="3"/>
  <c r="AW58" i="3"/>
  <c r="AX51" i="3"/>
  <c r="AX54" i="3" s="1"/>
  <c r="AY131" i="3"/>
  <c r="AZ133" i="3" s="1"/>
  <c r="AX32" i="3" l="1"/>
  <c r="AY25" i="3"/>
  <c r="AY26" i="3" s="1"/>
  <c r="AY14" i="3"/>
  <c r="AQ38" i="3"/>
  <c r="AQ42" i="3" s="1"/>
  <c r="AQ69" i="3" s="1"/>
  <c r="AX52" i="3"/>
  <c r="AY49" i="3" s="1"/>
  <c r="AY62" i="3"/>
  <c r="AY68" i="3"/>
  <c r="AR16" i="3"/>
  <c r="AR19" i="3" s="1"/>
  <c r="AY72" i="3" l="1"/>
  <c r="AQ41" i="3"/>
  <c r="AQ63" i="3" s="1"/>
  <c r="AQ70" i="3"/>
  <c r="AR21" i="3"/>
  <c r="AY27" i="3"/>
  <c r="AY28" i="3" s="1"/>
  <c r="AZ24" i="3" s="1"/>
  <c r="AR30" i="3"/>
  <c r="AX58" i="3"/>
  <c r="AX57" i="3"/>
  <c r="AY51" i="3"/>
  <c r="AY54" i="3" s="1"/>
  <c r="AZ131" i="3"/>
  <c r="BA133" i="3" s="1"/>
  <c r="AR17" i="3"/>
  <c r="AS13" i="3" s="1"/>
  <c r="AS15" i="3" s="1"/>
  <c r="AQ73" i="3" l="1"/>
  <c r="AQ64" i="3"/>
  <c r="AY32" i="3"/>
  <c r="AZ14" i="3"/>
  <c r="AZ25" i="3"/>
  <c r="AZ26" i="3" s="1"/>
  <c r="AR36" i="3"/>
  <c r="AR35" i="3"/>
  <c r="AY52" i="3"/>
  <c r="AZ49" i="3" s="1"/>
  <c r="AY57" i="3"/>
  <c r="AZ62" i="3"/>
  <c r="AZ68" i="3"/>
  <c r="AR38" i="3" l="1"/>
  <c r="AR42" i="3" s="1"/>
  <c r="AR69" i="3" s="1"/>
  <c r="AZ72" i="3"/>
  <c r="AY58" i="3"/>
  <c r="AZ27" i="3"/>
  <c r="AZ28" i="3" s="1"/>
  <c r="BA24" i="3" s="1"/>
  <c r="BA131" i="3"/>
  <c r="BB133" i="3" s="1"/>
  <c r="AZ51" i="3"/>
  <c r="AZ54" i="3" s="1"/>
  <c r="AS16" i="3"/>
  <c r="AS19" i="3" s="1"/>
  <c r="AR41" i="3" l="1"/>
  <c r="AR63" i="3" s="1"/>
  <c r="AR73" i="3" s="1"/>
  <c r="AZ32" i="3"/>
  <c r="BA25" i="3"/>
  <c r="BA26" i="3" s="1"/>
  <c r="BA14" i="3"/>
  <c r="AR70" i="3"/>
  <c r="AS21" i="3"/>
  <c r="AS30" i="3"/>
  <c r="AS17" i="3"/>
  <c r="AT13" i="3" s="1"/>
  <c r="AZ52" i="3"/>
  <c r="BA49" i="3" s="1"/>
  <c r="BA68" i="3"/>
  <c r="BA62" i="3"/>
  <c r="AR64" i="3" l="1"/>
  <c r="BA72" i="3"/>
  <c r="AS36" i="3"/>
  <c r="AS35" i="3"/>
  <c r="AT15" i="3"/>
  <c r="AT16" i="3" s="1"/>
  <c r="AT19" i="3" s="1"/>
  <c r="BA27" i="3"/>
  <c r="BA28" i="3" s="1"/>
  <c r="BB24" i="3" s="1"/>
  <c r="BB131" i="3"/>
  <c r="BC133" i="3" s="1"/>
  <c r="BA51" i="3"/>
  <c r="BA54" i="3" s="1"/>
  <c r="AZ58" i="3"/>
  <c r="AZ57" i="3"/>
  <c r="AS38" i="3" l="1"/>
  <c r="AS41" i="3" s="1"/>
  <c r="AS63" i="3" s="1"/>
  <c r="AS64" i="3" s="1"/>
  <c r="BA32" i="3"/>
  <c r="BB14" i="3"/>
  <c r="BB25" i="3"/>
  <c r="BB26" i="3" s="1"/>
  <c r="AT17" i="3"/>
  <c r="AU13" i="3" s="1"/>
  <c r="AU15" i="3" s="1"/>
  <c r="AT21" i="3"/>
  <c r="AT30" i="3"/>
  <c r="BA52" i="3"/>
  <c r="BB49" i="3" s="1"/>
  <c r="BA58" i="3"/>
  <c r="BB68" i="3"/>
  <c r="BB62" i="3"/>
  <c r="BB72" i="3" l="1"/>
  <c r="AS42" i="3"/>
  <c r="AS69" i="3" s="1"/>
  <c r="AS70" i="3" s="1"/>
  <c r="AT36" i="3"/>
  <c r="AT35" i="3"/>
  <c r="BA57" i="3"/>
  <c r="BB27" i="3"/>
  <c r="BB28" i="3" s="1"/>
  <c r="BC24" i="3" s="1"/>
  <c r="BC131" i="3"/>
  <c r="BD133" i="3" s="1"/>
  <c r="BB51" i="3"/>
  <c r="BB54" i="3" s="1"/>
  <c r="AU16" i="3"/>
  <c r="AU19" i="3" s="1"/>
  <c r="AS73" i="3" l="1"/>
  <c r="BB32" i="3"/>
  <c r="BC14" i="3"/>
  <c r="BC25" i="3"/>
  <c r="BC26" i="3" s="1"/>
  <c r="AT38" i="3"/>
  <c r="AT41" i="3" s="1"/>
  <c r="AT63" i="3" s="1"/>
  <c r="AU21" i="3"/>
  <c r="AU30" i="3"/>
  <c r="AU17" i="3"/>
  <c r="AV13" i="3" s="1"/>
  <c r="AV15" i="3" s="1"/>
  <c r="BB52" i="3"/>
  <c r="BC49" i="3" s="1"/>
  <c r="BC68" i="3"/>
  <c r="BC62" i="3"/>
  <c r="BC72" i="3" l="1"/>
  <c r="AT42" i="3"/>
  <c r="AT69" i="3" s="1"/>
  <c r="AT64" i="3"/>
  <c r="AU36" i="3"/>
  <c r="AU35" i="3"/>
  <c r="BC27" i="3"/>
  <c r="BC28" i="3" s="1"/>
  <c r="BD24" i="3" s="1"/>
  <c r="BD131" i="3"/>
  <c r="BE133" i="3" s="1"/>
  <c r="BB58" i="3"/>
  <c r="BB57" i="3"/>
  <c r="BC51" i="3"/>
  <c r="BC54" i="3" s="1"/>
  <c r="AV16" i="3"/>
  <c r="AV19" i="3" s="1"/>
  <c r="AU38" i="3" l="1"/>
  <c r="AU41" i="3" s="1"/>
  <c r="AU63" i="3" s="1"/>
  <c r="AT70" i="3"/>
  <c r="AT73" i="3"/>
  <c r="BC32" i="3"/>
  <c r="BD14" i="3"/>
  <c r="BD25" i="3"/>
  <c r="BD26" i="3" s="1"/>
  <c r="AV21" i="3"/>
  <c r="AV30" i="3"/>
  <c r="BD68" i="3"/>
  <c r="BD62" i="3"/>
  <c r="BC52" i="3"/>
  <c r="BD49" i="3" s="1"/>
  <c r="AV17" i="3"/>
  <c r="AW13" i="3" s="1"/>
  <c r="AW15" i="3" s="1"/>
  <c r="AU42" i="3" l="1"/>
  <c r="AU69" i="3" s="1"/>
  <c r="AU73" i="3" s="1"/>
  <c r="BD72" i="3"/>
  <c r="AU64" i="3"/>
  <c r="AV36" i="3"/>
  <c r="AV35" i="3"/>
  <c r="BD27" i="3"/>
  <c r="BD28" i="3" s="1"/>
  <c r="BE24" i="3" s="1"/>
  <c r="BD51" i="3"/>
  <c r="BD54" i="3" s="1"/>
  <c r="BC57" i="3"/>
  <c r="BC58" i="3"/>
  <c r="BE131" i="3"/>
  <c r="BF133" i="3" s="1"/>
  <c r="AW16" i="3"/>
  <c r="AW19" i="3" s="1"/>
  <c r="AU70" i="3" l="1"/>
  <c r="AV38" i="3"/>
  <c r="AV42" i="3" s="1"/>
  <c r="AV69" i="3" s="1"/>
  <c r="BD32" i="3"/>
  <c r="BE14" i="3"/>
  <c r="BE25" i="3"/>
  <c r="BE26" i="3" s="1"/>
  <c r="AW21" i="3"/>
  <c r="BD52" i="3"/>
  <c r="BE49" i="3" s="1"/>
  <c r="AW30" i="3"/>
  <c r="BE68" i="3"/>
  <c r="BE62" i="3"/>
  <c r="AW17" i="3"/>
  <c r="AX13" i="3" s="1"/>
  <c r="AX15" i="3" s="1"/>
  <c r="AV41" i="3" l="1"/>
  <c r="AV63" i="3" s="1"/>
  <c r="AV73" i="3" s="1"/>
  <c r="BE72" i="3"/>
  <c r="AW36" i="3"/>
  <c r="AW35" i="3"/>
  <c r="AV70" i="3"/>
  <c r="BE27" i="3"/>
  <c r="BE28" i="3" s="1"/>
  <c r="BF24" i="3" s="1"/>
  <c r="BD58" i="3"/>
  <c r="BD57" i="3"/>
  <c r="BE51" i="3"/>
  <c r="BE54" i="3" s="1"/>
  <c r="BF131" i="3"/>
  <c r="BG133" i="3" s="1"/>
  <c r="AV64" i="3" l="1"/>
  <c r="AW38" i="3"/>
  <c r="AW41" i="3" s="1"/>
  <c r="AW63" i="3" s="1"/>
  <c r="BE32" i="3"/>
  <c r="BF14" i="3"/>
  <c r="BF25" i="3"/>
  <c r="BF26" i="3" s="1"/>
  <c r="BE52" i="3"/>
  <c r="BF49" i="3" s="1"/>
  <c r="BE58" i="3"/>
  <c r="BE57" i="3"/>
  <c r="BF62" i="3"/>
  <c r="BF68" i="3"/>
  <c r="AX16" i="3"/>
  <c r="AX19" i="3" s="1"/>
  <c r="AW42" i="3" l="1"/>
  <c r="AW69" i="3" s="1"/>
  <c r="AW73" i="3" s="1"/>
  <c r="BF72" i="3"/>
  <c r="AX21" i="3"/>
  <c r="AW64" i="3"/>
  <c r="AX30" i="3"/>
  <c r="AX17" i="3"/>
  <c r="AY13" i="3" s="1"/>
  <c r="AY15" i="3" s="1"/>
  <c r="BF27" i="3"/>
  <c r="BF28" i="3" s="1"/>
  <c r="BG24" i="3" s="1"/>
  <c r="BF51" i="3"/>
  <c r="BF54" i="3" s="1"/>
  <c r="BG131" i="3"/>
  <c r="BH133" i="3" s="1"/>
  <c r="AW70" i="3" l="1"/>
  <c r="BF32" i="3"/>
  <c r="BG25" i="3"/>
  <c r="BG26" i="3" s="1"/>
  <c r="BG14" i="3"/>
  <c r="AX35" i="3"/>
  <c r="AX36" i="3"/>
  <c r="BF52" i="3"/>
  <c r="BG49" i="3" s="1"/>
  <c r="BF58" i="3"/>
  <c r="BG62" i="3"/>
  <c r="BG68" i="3"/>
  <c r="AY16" i="3"/>
  <c r="AY19" i="3" s="1"/>
  <c r="BG72" i="3" l="1"/>
  <c r="AX38" i="3"/>
  <c r="AY21" i="3"/>
  <c r="AY30" i="3"/>
  <c r="BF57" i="3"/>
  <c r="BG51" i="3"/>
  <c r="BG54" i="3" s="1"/>
  <c r="AY17" i="3"/>
  <c r="AZ13" i="3" s="1"/>
  <c r="AZ15" i="3" s="1"/>
  <c r="BG27" i="3"/>
  <c r="BG32" i="3" s="1"/>
  <c r="BH131" i="3"/>
  <c r="BI133" i="3" s="1"/>
  <c r="BH14" i="3" l="1"/>
  <c r="BH25" i="3"/>
  <c r="AY36" i="3"/>
  <c r="AY35" i="3"/>
  <c r="AX42" i="3"/>
  <c r="AX69" i="3" s="1"/>
  <c r="AX41" i="3"/>
  <c r="AX63" i="3" s="1"/>
  <c r="BG52" i="3"/>
  <c r="BH49" i="3" s="1"/>
  <c r="BG28" i="3"/>
  <c r="BH24" i="3" s="1"/>
  <c r="BH68" i="3"/>
  <c r="BH62" i="3"/>
  <c r="AZ16" i="3"/>
  <c r="AZ19" i="3" s="1"/>
  <c r="BH72" i="3" l="1"/>
  <c r="AY38" i="3"/>
  <c r="AY42" i="3" s="1"/>
  <c r="AY69" i="3" s="1"/>
  <c r="AX64" i="3"/>
  <c r="AX73" i="3"/>
  <c r="BH26" i="3"/>
  <c r="BH27" i="3" s="1"/>
  <c r="BH28" i="3" s="1"/>
  <c r="BI24" i="3" s="1"/>
  <c r="AX70" i="3"/>
  <c r="AZ21" i="3"/>
  <c r="AZ30" i="3"/>
  <c r="BG57" i="3"/>
  <c r="BG58" i="3"/>
  <c r="AZ17" i="3"/>
  <c r="BA13" i="3" s="1"/>
  <c r="BA15" i="3" s="1"/>
  <c r="BI131" i="3"/>
  <c r="BJ133" i="3" s="1"/>
  <c r="BH51" i="3"/>
  <c r="BH54" i="3" s="1"/>
  <c r="AY41" i="3" l="1"/>
  <c r="AY63" i="3" s="1"/>
  <c r="AY73" i="3" s="1"/>
  <c r="AY70" i="3"/>
  <c r="BH32" i="3"/>
  <c r="BI14" i="3"/>
  <c r="BI25" i="3"/>
  <c r="BI26" i="3" s="1"/>
  <c r="AZ36" i="3"/>
  <c r="AZ35" i="3"/>
  <c r="BH52" i="3"/>
  <c r="BI49" i="3" s="1"/>
  <c r="BI62" i="3"/>
  <c r="BI68" i="3"/>
  <c r="BA16" i="3"/>
  <c r="BA19" i="3" s="1"/>
  <c r="AY64" i="3" l="1"/>
  <c r="BI72" i="3"/>
  <c r="AZ38" i="3"/>
  <c r="AZ42" i="3" s="1"/>
  <c r="AZ69" i="3" s="1"/>
  <c r="AZ70" i="3" s="1"/>
  <c r="BA21" i="3"/>
  <c r="BA30" i="3"/>
  <c r="BI27" i="3"/>
  <c r="BI28" i="3" s="1"/>
  <c r="BJ24" i="3" s="1"/>
  <c r="BJ131" i="3"/>
  <c r="BK133" i="3" s="1"/>
  <c r="BI51" i="3"/>
  <c r="BI54" i="3" s="1"/>
  <c r="BH58" i="3"/>
  <c r="BH57" i="3"/>
  <c r="BA17" i="3"/>
  <c r="BB13" i="3" s="1"/>
  <c r="BB15" i="3" s="1"/>
  <c r="AZ41" i="3" l="1"/>
  <c r="AZ63" i="3" s="1"/>
  <c r="AZ73" i="3" s="1"/>
  <c r="BI32" i="3"/>
  <c r="BJ14" i="3"/>
  <c r="BJ25" i="3"/>
  <c r="BJ26" i="3" s="1"/>
  <c r="BA35" i="3"/>
  <c r="BA36" i="3"/>
  <c r="BI52" i="3"/>
  <c r="BJ49" i="3" s="1"/>
  <c r="BI58" i="3"/>
  <c r="BI57" i="3"/>
  <c r="BJ62" i="3"/>
  <c r="BJ68" i="3"/>
  <c r="BB16" i="3"/>
  <c r="BB19" i="3" s="1"/>
  <c r="AZ64" i="3" l="1"/>
  <c r="BA38" i="3"/>
  <c r="BA41" i="3" s="1"/>
  <c r="BA63" i="3" s="1"/>
  <c r="BJ72" i="3"/>
  <c r="BB21" i="3"/>
  <c r="BB30" i="3"/>
  <c r="BJ27" i="3"/>
  <c r="BJ28" i="3" s="1"/>
  <c r="BK24" i="3" s="1"/>
  <c r="BK131" i="3"/>
  <c r="BL133" i="3" s="1"/>
  <c r="BJ51" i="3"/>
  <c r="BJ54" i="3" s="1"/>
  <c r="BB17" i="3"/>
  <c r="BC13" i="3" s="1"/>
  <c r="BC15" i="3" s="1"/>
  <c r="BA42" i="3" l="1"/>
  <c r="BA69" i="3" s="1"/>
  <c r="BA73" i="3" s="1"/>
  <c r="BJ32" i="3"/>
  <c r="BK14" i="3"/>
  <c r="BK25" i="3"/>
  <c r="BK26" i="3" s="1"/>
  <c r="BB36" i="3"/>
  <c r="BB35" i="3"/>
  <c r="BA64" i="3"/>
  <c r="BJ52" i="3"/>
  <c r="BK49" i="3" s="1"/>
  <c r="BK68" i="3"/>
  <c r="BK62" i="3"/>
  <c r="BA70" i="3" l="1"/>
  <c r="BB38" i="3"/>
  <c r="BB42" i="3" s="1"/>
  <c r="BB69" i="3" s="1"/>
  <c r="BK72" i="3"/>
  <c r="BK27" i="3"/>
  <c r="BK28" i="3" s="1"/>
  <c r="BL24" i="3" s="1"/>
  <c r="BL131" i="3"/>
  <c r="BM133" i="3" s="1"/>
  <c r="BJ58" i="3"/>
  <c r="BJ57" i="3"/>
  <c r="BK51" i="3"/>
  <c r="BK54" i="3" s="1"/>
  <c r="BC16" i="3"/>
  <c r="BC19" i="3" s="1"/>
  <c r="BB41" i="3" l="1"/>
  <c r="BB63" i="3" s="1"/>
  <c r="BB73" i="3" s="1"/>
  <c r="BK32" i="3"/>
  <c r="BL14" i="3"/>
  <c r="BL25" i="3"/>
  <c r="BL26" i="3" s="1"/>
  <c r="BB70" i="3"/>
  <c r="BC21" i="3"/>
  <c r="BC30" i="3"/>
  <c r="BK52" i="3"/>
  <c r="BL49" i="3" s="1"/>
  <c r="BL62" i="3"/>
  <c r="BL68" i="3"/>
  <c r="BC17" i="3"/>
  <c r="BD13" i="3" s="1"/>
  <c r="BD15" i="3" s="1"/>
  <c r="BB64" i="3" l="1"/>
  <c r="BL72" i="3"/>
  <c r="BC36" i="3"/>
  <c r="BC35" i="3"/>
  <c r="BL27" i="3"/>
  <c r="BL28" i="3" s="1"/>
  <c r="BM24" i="3" s="1"/>
  <c r="BM131" i="3"/>
  <c r="BN133" i="3" s="1"/>
  <c r="BK58" i="3"/>
  <c r="BK57" i="3"/>
  <c r="BL51" i="3"/>
  <c r="BL54" i="3" s="1"/>
  <c r="BC38" i="3" l="1"/>
  <c r="BC42" i="3" s="1"/>
  <c r="BC69" i="3" s="1"/>
  <c r="BL32" i="3"/>
  <c r="BM25" i="3"/>
  <c r="BM26" i="3" s="1"/>
  <c r="BM14" i="3"/>
  <c r="BL52" i="3"/>
  <c r="BM49" i="3" s="1"/>
  <c r="BM62" i="3"/>
  <c r="BM68" i="3"/>
  <c r="BD16" i="3"/>
  <c r="BD19" i="3" s="1"/>
  <c r="BC41" i="3" l="1"/>
  <c r="BC63" i="3" s="1"/>
  <c r="BC73" i="3" s="1"/>
  <c r="BM72" i="3"/>
  <c r="BC70" i="3"/>
  <c r="BD21" i="3"/>
  <c r="BD30" i="3"/>
  <c r="BD17" i="3"/>
  <c r="BE13" i="3" s="1"/>
  <c r="BE15" i="3" s="1"/>
  <c r="BM27" i="3"/>
  <c r="BM28" i="3" s="1"/>
  <c r="BN24" i="3" s="1"/>
  <c r="BM51" i="3"/>
  <c r="BM54" i="3" s="1"/>
  <c r="BN131" i="3"/>
  <c r="BO133" i="3" s="1"/>
  <c r="BL57" i="3"/>
  <c r="BL58" i="3"/>
  <c r="BC64" i="3" l="1"/>
  <c r="BM32" i="3"/>
  <c r="BN14" i="3"/>
  <c r="BN25" i="3"/>
  <c r="BN26" i="3" s="1"/>
  <c r="BD36" i="3"/>
  <c r="BD35" i="3"/>
  <c r="BE16" i="3"/>
  <c r="BE19" i="3" s="1"/>
  <c r="BM52" i="3"/>
  <c r="BN49" i="3" s="1"/>
  <c r="BM57" i="3"/>
  <c r="BN68" i="3"/>
  <c r="BN62" i="3"/>
  <c r="BD38" i="3" l="1"/>
  <c r="BD41" i="3" s="1"/>
  <c r="BD63" i="3" s="1"/>
  <c r="BD64" i="3" s="1"/>
  <c r="BN72" i="3"/>
  <c r="BE17" i="3"/>
  <c r="BF13" i="3" s="1"/>
  <c r="BF15" i="3" s="1"/>
  <c r="BE30" i="3"/>
  <c r="BE21" i="3"/>
  <c r="BM58" i="3"/>
  <c r="BN27" i="3"/>
  <c r="BN28" i="3" s="1"/>
  <c r="BO24" i="3" s="1"/>
  <c r="BO131" i="3"/>
  <c r="BP133" i="3" s="1"/>
  <c r="BN51" i="3"/>
  <c r="BN54" i="3" s="1"/>
  <c r="BD42" i="3" l="1"/>
  <c r="BD69" i="3" s="1"/>
  <c r="BD73" i="3" s="1"/>
  <c r="BN32" i="3"/>
  <c r="BO14" i="3"/>
  <c r="BO25" i="3"/>
  <c r="BO26" i="3" s="1"/>
  <c r="BE36" i="3"/>
  <c r="BE35" i="3"/>
  <c r="BF16" i="3"/>
  <c r="BF19" i="3" s="1"/>
  <c r="BN52" i="3"/>
  <c r="BO49" i="3" s="1"/>
  <c r="BO68" i="3"/>
  <c r="BO62" i="3"/>
  <c r="BD70" i="3" l="1"/>
  <c r="BE38" i="3"/>
  <c r="BE41" i="3" s="1"/>
  <c r="BE63" i="3" s="1"/>
  <c r="BO72" i="3"/>
  <c r="BF30" i="3"/>
  <c r="BF35" i="3" s="1"/>
  <c r="BF21" i="3"/>
  <c r="BF17" i="3"/>
  <c r="BG13" i="3" s="1"/>
  <c r="BO27" i="3"/>
  <c r="BO28" i="3" s="1"/>
  <c r="BP24" i="3" s="1"/>
  <c r="BP131" i="3"/>
  <c r="BQ133" i="3" s="1"/>
  <c r="BN58" i="3"/>
  <c r="BN57" i="3"/>
  <c r="BO51" i="3"/>
  <c r="BO54" i="3" s="1"/>
  <c r="BE42" i="3" l="1"/>
  <c r="BE69" i="3" s="1"/>
  <c r="BE73" i="3" s="1"/>
  <c r="BF36" i="3"/>
  <c r="BF38" i="3" s="1"/>
  <c r="BF42" i="3" s="1"/>
  <c r="BF69" i="3" s="1"/>
  <c r="BE64" i="3"/>
  <c r="BO32" i="3"/>
  <c r="BP14" i="3"/>
  <c r="BP25" i="3"/>
  <c r="BG15" i="3"/>
  <c r="BO52" i="3"/>
  <c r="BP49" i="3" s="1"/>
  <c r="BP68" i="3"/>
  <c r="BP62" i="3"/>
  <c r="BE70" i="3" l="1"/>
  <c r="BP72" i="3"/>
  <c r="BF41" i="3"/>
  <c r="BF63" i="3" s="1"/>
  <c r="BF64" i="3" s="1"/>
  <c r="BF70" i="3"/>
  <c r="BP26" i="3"/>
  <c r="BP27" i="3" s="1"/>
  <c r="BP28" i="3" s="1"/>
  <c r="BQ24" i="3" s="1"/>
  <c r="BG16" i="3"/>
  <c r="BG19" i="3" s="1"/>
  <c r="BQ131" i="3"/>
  <c r="BR133" i="3" s="1"/>
  <c r="BO58" i="3"/>
  <c r="BO57" i="3"/>
  <c r="BP51" i="3"/>
  <c r="BP54" i="3" s="1"/>
  <c r="BF73" i="3" l="1"/>
  <c r="BP32" i="3"/>
  <c r="BQ25" i="3"/>
  <c r="BQ26" i="3" s="1"/>
  <c r="BQ14" i="3"/>
  <c r="BG21" i="3"/>
  <c r="BG30" i="3"/>
  <c r="BG17" i="3"/>
  <c r="BH13" i="3" s="1"/>
  <c r="BP52" i="3"/>
  <c r="BQ49" i="3" s="1"/>
  <c r="BP57" i="3"/>
  <c r="BQ68" i="3"/>
  <c r="BQ62" i="3"/>
  <c r="BQ72" i="3" l="1"/>
  <c r="BG36" i="3"/>
  <c r="BG35" i="3"/>
  <c r="BH15" i="3"/>
  <c r="BH16" i="3" s="1"/>
  <c r="BH19" i="3" s="1"/>
  <c r="BP58" i="3"/>
  <c r="BQ51" i="3"/>
  <c r="BQ54" i="3" s="1"/>
  <c r="BQ27" i="3"/>
  <c r="BQ28" i="3" s="1"/>
  <c r="BR24" i="3" s="1"/>
  <c r="BR131" i="3"/>
  <c r="BS133" i="3" s="1"/>
  <c r="BG38" i="3" l="1"/>
  <c r="BG42" i="3" s="1"/>
  <c r="BG69" i="3" s="1"/>
  <c r="BQ32" i="3"/>
  <c r="BR25" i="3"/>
  <c r="BR26" i="3" s="1"/>
  <c r="BR14" i="3"/>
  <c r="BH30" i="3"/>
  <c r="BH21" i="3"/>
  <c r="BH17" i="3"/>
  <c r="BI13" i="3" s="1"/>
  <c r="BI15" i="3" s="1"/>
  <c r="BQ52" i="3"/>
  <c r="BR49" i="3" s="1"/>
  <c r="BQ57" i="3"/>
  <c r="BR68" i="3"/>
  <c r="BR62" i="3"/>
  <c r="BG41" i="3" l="1"/>
  <c r="BG63" i="3" s="1"/>
  <c r="BG73" i="3" s="1"/>
  <c r="BR72" i="3"/>
  <c r="BH35" i="3"/>
  <c r="BH36" i="3"/>
  <c r="BG70" i="3"/>
  <c r="BI16" i="3"/>
  <c r="BI19" i="3" s="1"/>
  <c r="BQ58" i="3"/>
  <c r="BR27" i="3"/>
  <c r="BR28" i="3" s="1"/>
  <c r="BS24" i="3" s="1"/>
  <c r="BR51" i="3"/>
  <c r="BR54" i="3" s="1"/>
  <c r="BS131" i="3"/>
  <c r="BT133" i="3" s="1"/>
  <c r="BG64" i="3" l="1"/>
  <c r="BH38" i="3"/>
  <c r="BH42" i="3" s="1"/>
  <c r="BH69" i="3" s="1"/>
  <c r="BR32" i="3"/>
  <c r="BI17" i="3"/>
  <c r="BJ13" i="3" s="1"/>
  <c r="BJ15" i="3" s="1"/>
  <c r="BI21" i="3"/>
  <c r="BS25" i="3"/>
  <c r="BS14" i="3"/>
  <c r="BI30" i="3"/>
  <c r="BS68" i="3"/>
  <c r="BS62" i="3"/>
  <c r="BR52" i="3"/>
  <c r="BS49" i="3" s="1"/>
  <c r="BH70" i="3" l="1"/>
  <c r="BH41" i="3"/>
  <c r="BH63" i="3" s="1"/>
  <c r="BH73" i="3" s="1"/>
  <c r="BS72" i="3"/>
  <c r="BS26" i="3"/>
  <c r="BS27" i="3" s="1"/>
  <c r="BS28" i="3" s="1"/>
  <c r="BT24" i="3" s="1"/>
  <c r="BI35" i="3"/>
  <c r="BI36" i="3"/>
  <c r="BR58" i="3"/>
  <c r="BR57" i="3"/>
  <c r="BS51" i="3"/>
  <c r="BS54" i="3" s="1"/>
  <c r="BT131" i="3"/>
  <c r="BU133" i="3" s="1"/>
  <c r="BJ16" i="3"/>
  <c r="BJ19" i="3" s="1"/>
  <c r="BH64" i="3" l="1"/>
  <c r="BS32" i="3"/>
  <c r="BT14" i="3"/>
  <c r="BT25" i="3"/>
  <c r="BT26" i="3" s="1"/>
  <c r="BI38" i="3"/>
  <c r="BJ21" i="3"/>
  <c r="BJ30" i="3"/>
  <c r="BT68" i="3"/>
  <c r="BT62" i="3"/>
  <c r="BS52" i="3"/>
  <c r="BT49" i="3" s="1"/>
  <c r="BJ17" i="3"/>
  <c r="BK13" i="3" s="1"/>
  <c r="BK15" i="3" s="1"/>
  <c r="BT72" i="3" l="1"/>
  <c r="BJ35" i="3"/>
  <c r="BJ36" i="3"/>
  <c r="BI42" i="3"/>
  <c r="BI69" i="3" s="1"/>
  <c r="BI41" i="3"/>
  <c r="BI63" i="3" s="1"/>
  <c r="BT51" i="3"/>
  <c r="BT54" i="3" s="1"/>
  <c r="BT58" i="3" s="1"/>
  <c r="BT27" i="3"/>
  <c r="BT28" i="3" s="1"/>
  <c r="BU24" i="3" s="1"/>
  <c r="BU131" i="3"/>
  <c r="BV133" i="3" s="1"/>
  <c r="BS58" i="3"/>
  <c r="BS57" i="3"/>
  <c r="BJ38" i="3" l="1"/>
  <c r="BJ42" i="3" s="1"/>
  <c r="BJ69" i="3" s="1"/>
  <c r="BI64" i="3"/>
  <c r="BI73" i="3"/>
  <c r="BT32" i="3"/>
  <c r="BU14" i="3"/>
  <c r="BU25" i="3"/>
  <c r="BU26" i="3" s="1"/>
  <c r="BI70" i="3"/>
  <c r="BT52" i="3"/>
  <c r="BU49" i="3" s="1"/>
  <c r="BT57" i="3"/>
  <c r="BU68" i="3"/>
  <c r="BU62" i="3"/>
  <c r="BK16" i="3"/>
  <c r="BK19" i="3" s="1"/>
  <c r="BJ41" i="3" l="1"/>
  <c r="BJ63" i="3" s="1"/>
  <c r="BJ73" i="3" s="1"/>
  <c r="BU72" i="3"/>
  <c r="BJ70" i="3"/>
  <c r="BK21" i="3"/>
  <c r="BK30" i="3"/>
  <c r="BU27" i="3"/>
  <c r="BU28" i="3" s="1"/>
  <c r="BV24" i="3" s="1"/>
  <c r="BU51" i="3"/>
  <c r="BU54" i="3" s="1"/>
  <c r="BV131" i="3"/>
  <c r="BW133" i="3" s="1"/>
  <c r="BK17" i="3"/>
  <c r="BL13" i="3" s="1"/>
  <c r="BL15" i="3" s="1"/>
  <c r="BJ64" i="3" l="1"/>
  <c r="BU32" i="3"/>
  <c r="BV25" i="3"/>
  <c r="BV26" i="3" s="1"/>
  <c r="BV14" i="3"/>
  <c r="BK36" i="3"/>
  <c r="BK35" i="3"/>
  <c r="BU52" i="3"/>
  <c r="BV49" i="3" s="1"/>
  <c r="BV62" i="3"/>
  <c r="BV68" i="3"/>
  <c r="BU58" i="3"/>
  <c r="BU57" i="3"/>
  <c r="BK38" i="3" l="1"/>
  <c r="BK42" i="3" s="1"/>
  <c r="BK69" i="3" s="1"/>
  <c r="BV72" i="3"/>
  <c r="BV51" i="3"/>
  <c r="BV54" i="3" s="1"/>
  <c r="BV27" i="3"/>
  <c r="BV28" i="3" s="1"/>
  <c r="BW24" i="3" s="1"/>
  <c r="BW131" i="3"/>
  <c r="BX133" i="3" s="1"/>
  <c r="BL16" i="3"/>
  <c r="BL19" i="3" s="1"/>
  <c r="BK41" i="3" l="1"/>
  <c r="BK63" i="3" s="1"/>
  <c r="BK73" i="3" s="1"/>
  <c r="BV32" i="3"/>
  <c r="BW14" i="3"/>
  <c r="BW25" i="3"/>
  <c r="BK70" i="3"/>
  <c r="BL21" i="3"/>
  <c r="BL30" i="3"/>
  <c r="BV52" i="3"/>
  <c r="BW49" i="3" s="1"/>
  <c r="BW62" i="3"/>
  <c r="BW68" i="3"/>
  <c r="BL17" i="3"/>
  <c r="BM13" i="3" s="1"/>
  <c r="BM15" i="3" s="1"/>
  <c r="BK64" i="3" l="1"/>
  <c r="BW72" i="3"/>
  <c r="BW26" i="3"/>
  <c r="BW27" i="3" s="1"/>
  <c r="BW28" i="3" s="1"/>
  <c r="BX24" i="3" s="1"/>
  <c r="BL36" i="3"/>
  <c r="BL35" i="3"/>
  <c r="BV57" i="3"/>
  <c r="BV58" i="3"/>
  <c r="BW51" i="3"/>
  <c r="BW54" i="3" s="1"/>
  <c r="BX131" i="3"/>
  <c r="BY133" i="3" s="1"/>
  <c r="BW32" i="3" l="1"/>
  <c r="BL38" i="3"/>
  <c r="BL42" i="3" s="1"/>
  <c r="BL69" i="3" s="1"/>
  <c r="BX14" i="3"/>
  <c r="BX25" i="3"/>
  <c r="BW52" i="3"/>
  <c r="BX49" i="3" s="1"/>
  <c r="BX68" i="3"/>
  <c r="BX62" i="3"/>
  <c r="BW58" i="3"/>
  <c r="BW57" i="3"/>
  <c r="BM16" i="3"/>
  <c r="BM19" i="3" s="1"/>
  <c r="BL41" i="3" l="1"/>
  <c r="BL63" i="3" s="1"/>
  <c r="BL73" i="3" s="1"/>
  <c r="BX72" i="3"/>
  <c r="BX26" i="3"/>
  <c r="BX27" i="3" s="1"/>
  <c r="BX28" i="3" s="1"/>
  <c r="BY24" i="3" s="1"/>
  <c r="BL70" i="3"/>
  <c r="BL64" i="3"/>
  <c r="BM21" i="3"/>
  <c r="BM30" i="3"/>
  <c r="BX51" i="3"/>
  <c r="BX54" i="3" s="1"/>
  <c r="BY131" i="3"/>
  <c r="BZ133" i="3" s="1"/>
  <c r="BM17" i="3"/>
  <c r="BN13" i="3" s="1"/>
  <c r="BN15" i="3" s="1"/>
  <c r="BX32" i="3" l="1"/>
  <c r="BY14" i="3"/>
  <c r="BY25" i="3"/>
  <c r="BY26" i="3" s="1"/>
  <c r="BM36" i="3"/>
  <c r="BM35" i="3"/>
  <c r="BX52" i="3"/>
  <c r="BY49" i="3" s="1"/>
  <c r="BX57" i="3"/>
  <c r="BX58" i="3"/>
  <c r="BY62" i="3"/>
  <c r="BY68" i="3"/>
  <c r="BN16" i="3"/>
  <c r="BN19" i="3" s="1"/>
  <c r="BM38" i="3" l="1"/>
  <c r="BM42" i="3" s="1"/>
  <c r="BM69" i="3" s="1"/>
  <c r="BY72" i="3"/>
  <c r="BN21" i="3"/>
  <c r="BN30" i="3"/>
  <c r="BY51" i="3"/>
  <c r="BY27" i="3"/>
  <c r="BY28" i="3" s="1"/>
  <c r="BZ24" i="3" s="1"/>
  <c r="BZ131" i="3"/>
  <c r="CA133" i="3" s="1"/>
  <c r="BN17" i="3"/>
  <c r="BO13" i="3" s="1"/>
  <c r="BO15" i="3" s="1"/>
  <c r="BM41" i="3" l="1"/>
  <c r="BM63" i="3" s="1"/>
  <c r="BM64" i="3" s="1"/>
  <c r="BY32" i="3"/>
  <c r="BZ25" i="3"/>
  <c r="BZ26" i="3" s="1"/>
  <c r="BZ14" i="3"/>
  <c r="BN36" i="3"/>
  <c r="BN35" i="3"/>
  <c r="BM70" i="3"/>
  <c r="BY52" i="3"/>
  <c r="BZ49" i="3" s="1"/>
  <c r="BY54" i="3"/>
  <c r="BY57" i="3" s="1"/>
  <c r="BZ68" i="3"/>
  <c r="BZ62" i="3"/>
  <c r="BO16" i="3"/>
  <c r="BO19" i="3" s="1"/>
  <c r="BN38" i="3" l="1"/>
  <c r="BN42" i="3" s="1"/>
  <c r="BN69" i="3" s="1"/>
  <c r="BM73" i="3"/>
  <c r="BZ72" i="3"/>
  <c r="BO21" i="3"/>
  <c r="BY58" i="3"/>
  <c r="BO30" i="3"/>
  <c r="BZ27" i="3"/>
  <c r="BZ28" i="3" s="1"/>
  <c r="CA24" i="3" s="1"/>
  <c r="BZ51" i="3"/>
  <c r="BZ54" i="3" s="1"/>
  <c r="CA131" i="3"/>
  <c r="CB133" i="3" s="1"/>
  <c r="BO17" i="3"/>
  <c r="BP13" i="3" s="1"/>
  <c r="BP15" i="3" s="1"/>
  <c r="BN41" i="3" l="1"/>
  <c r="BN63" i="3" s="1"/>
  <c r="BN73" i="3" s="1"/>
  <c r="BZ32" i="3"/>
  <c r="CA14" i="3"/>
  <c r="CA25" i="3"/>
  <c r="CA26" i="3" s="1"/>
  <c r="BO36" i="3"/>
  <c r="BO35" i="3"/>
  <c r="BN70" i="3"/>
  <c r="BZ52" i="3"/>
  <c r="CA49" i="3" s="1"/>
  <c r="CA68" i="3"/>
  <c r="CA62" i="3"/>
  <c r="BP16" i="3"/>
  <c r="BP19" i="3" s="1"/>
  <c r="BN64" i="3" l="1"/>
  <c r="BO38" i="3"/>
  <c r="BO42" i="3" s="1"/>
  <c r="BO69" i="3" s="1"/>
  <c r="CA72" i="3"/>
  <c r="BP21" i="3"/>
  <c r="BP30" i="3"/>
  <c r="CA51" i="3"/>
  <c r="CA54" i="3" s="1"/>
  <c r="BP17" i="3"/>
  <c r="BQ13" i="3" s="1"/>
  <c r="BQ15" i="3" s="1"/>
  <c r="CA27" i="3"/>
  <c r="CA28" i="3" s="1"/>
  <c r="CB24" i="3" s="1"/>
  <c r="BZ58" i="3"/>
  <c r="BZ57" i="3"/>
  <c r="CB131" i="3"/>
  <c r="CC133" i="3" s="1"/>
  <c r="BO41" i="3" l="1"/>
  <c r="BO63" i="3" s="1"/>
  <c r="BO73" i="3" s="1"/>
  <c r="CA32" i="3"/>
  <c r="CB14" i="3"/>
  <c r="CB25" i="3"/>
  <c r="CB26" i="3" s="1"/>
  <c r="BO70" i="3"/>
  <c r="BP36" i="3"/>
  <c r="BP35" i="3"/>
  <c r="CA52" i="3"/>
  <c r="CB49" i="3" s="1"/>
  <c r="CA57" i="3"/>
  <c r="CB62" i="3"/>
  <c r="CB68" i="3"/>
  <c r="BQ16" i="3"/>
  <c r="BQ19" i="3" s="1"/>
  <c r="BO64" i="3" l="1"/>
  <c r="CB72" i="3"/>
  <c r="BP38" i="3"/>
  <c r="BP42" i="3" s="1"/>
  <c r="BP69" i="3" s="1"/>
  <c r="BP70" i="3" s="1"/>
  <c r="BQ21" i="3"/>
  <c r="BQ30" i="3"/>
  <c r="CA58" i="3"/>
  <c r="CB51" i="3"/>
  <c r="CB54" i="3" s="1"/>
  <c r="BQ17" i="3"/>
  <c r="BR13" i="3" s="1"/>
  <c r="BR15" i="3" s="1"/>
  <c r="CB27" i="3"/>
  <c r="CB28" i="3" s="1"/>
  <c r="CC24" i="3" s="1"/>
  <c r="CC131" i="3"/>
  <c r="CD133" i="3" s="1"/>
  <c r="BP41" i="3" l="1"/>
  <c r="BP63" i="3" s="1"/>
  <c r="BP64" i="3" s="1"/>
  <c r="CB32" i="3"/>
  <c r="CC14" i="3"/>
  <c r="CC25" i="3"/>
  <c r="CC26" i="3" s="1"/>
  <c r="BQ36" i="3"/>
  <c r="BQ35" i="3"/>
  <c r="CB52" i="3"/>
  <c r="CC49" i="3" s="1"/>
  <c r="CB58" i="3"/>
  <c r="CC68" i="3"/>
  <c r="CC62" i="3"/>
  <c r="BR16" i="3"/>
  <c r="BR19" i="3" s="1"/>
  <c r="BP73" i="3" l="1"/>
  <c r="BQ38" i="3"/>
  <c r="BQ41" i="3" s="1"/>
  <c r="BQ63" i="3" s="1"/>
  <c r="BQ64" i="3" s="1"/>
  <c r="CC72" i="3"/>
  <c r="BR21" i="3"/>
  <c r="BR30" i="3"/>
  <c r="CB57" i="3"/>
  <c r="CC27" i="3"/>
  <c r="CC28" i="3" s="1"/>
  <c r="CD24" i="3" s="1"/>
  <c r="BR17" i="3"/>
  <c r="BS13" i="3" s="1"/>
  <c r="BS15" i="3" s="1"/>
  <c r="CC51" i="3"/>
  <c r="CC54" i="3" s="1"/>
  <c r="CD131" i="3"/>
  <c r="CE133" i="3" s="1"/>
  <c r="BQ42" i="3" l="1"/>
  <c r="BQ69" i="3" s="1"/>
  <c r="BQ70" i="3" s="1"/>
  <c r="CC32" i="3"/>
  <c r="CD14" i="3"/>
  <c r="CD25" i="3"/>
  <c r="CD26" i="3" s="1"/>
  <c r="BR35" i="3"/>
  <c r="BR36" i="3"/>
  <c r="CC52" i="3"/>
  <c r="CD49" i="3" s="1"/>
  <c r="CC57" i="3"/>
  <c r="CD68" i="3"/>
  <c r="CD62" i="3"/>
  <c r="CC58" i="3"/>
  <c r="BS16" i="3"/>
  <c r="BS19" i="3" s="1"/>
  <c r="BQ73" i="3" l="1"/>
  <c r="CD72" i="3"/>
  <c r="BR38" i="3"/>
  <c r="BR41" i="3" s="1"/>
  <c r="BR63" i="3" s="1"/>
  <c r="BS21" i="3"/>
  <c r="BS30" i="3"/>
  <c r="CD51" i="3"/>
  <c r="CD54" i="3" s="1"/>
  <c r="BS17" i="3"/>
  <c r="BT13" i="3" s="1"/>
  <c r="BT15" i="3" s="1"/>
  <c r="CD27" i="3"/>
  <c r="CD28" i="3" s="1"/>
  <c r="CE24" i="3" s="1"/>
  <c r="CE131" i="3"/>
  <c r="CF133" i="3" s="1"/>
  <c r="BR64" i="3" l="1"/>
  <c r="CD32" i="3"/>
  <c r="BR42" i="3"/>
  <c r="BR69" i="3" s="1"/>
  <c r="CE25" i="3"/>
  <c r="CE14" i="3"/>
  <c r="BS35" i="3"/>
  <c r="BS36" i="3"/>
  <c r="CD52" i="3"/>
  <c r="CE49" i="3" s="1"/>
  <c r="CD58" i="3"/>
  <c r="CE68" i="3"/>
  <c r="CE62" i="3"/>
  <c r="BT16" i="3"/>
  <c r="BT19" i="3" s="1"/>
  <c r="CE72" i="3" l="1"/>
  <c r="BR70" i="3"/>
  <c r="BR73" i="3"/>
  <c r="BS38" i="3"/>
  <c r="BS42" i="3" s="1"/>
  <c r="BS69" i="3" s="1"/>
  <c r="BS70" i="3" s="1"/>
  <c r="CE26" i="3"/>
  <c r="CE27" i="3" s="1"/>
  <c r="CE28" i="3" s="1"/>
  <c r="CF24" i="3" s="1"/>
  <c r="BT21" i="3"/>
  <c r="BT30" i="3"/>
  <c r="CD57" i="3"/>
  <c r="CE51" i="3"/>
  <c r="CE54" i="3" s="1"/>
  <c r="CF131" i="3"/>
  <c r="CG133" i="3" s="1"/>
  <c r="BT17" i="3"/>
  <c r="BU13" i="3" s="1"/>
  <c r="BU15" i="3" s="1"/>
  <c r="BS41" i="3" l="1"/>
  <c r="BS63" i="3" s="1"/>
  <c r="BS64" i="3" s="1"/>
  <c r="CE32" i="3"/>
  <c r="CF14" i="3"/>
  <c r="CF25" i="3"/>
  <c r="CF26" i="3" s="1"/>
  <c r="BT36" i="3"/>
  <c r="BT35" i="3"/>
  <c r="CE52" i="3"/>
  <c r="CF49" i="3" s="1"/>
  <c r="CF68" i="3"/>
  <c r="CF62" i="3"/>
  <c r="CE57" i="3"/>
  <c r="CE58" i="3"/>
  <c r="BS73" i="3" l="1"/>
  <c r="BT38" i="3"/>
  <c r="BT41" i="3" s="1"/>
  <c r="BT63" i="3" s="1"/>
  <c r="CF72" i="3"/>
  <c r="CF27" i="3"/>
  <c r="CF28" i="3" s="1"/>
  <c r="CG24" i="3" s="1"/>
  <c r="CF51" i="3"/>
  <c r="CF54" i="3" s="1"/>
  <c r="CG131" i="3"/>
  <c r="CH133" i="3" s="1"/>
  <c r="BU16" i="3"/>
  <c r="BU19" i="3" s="1"/>
  <c r="BT42" i="3" l="1"/>
  <c r="BT69" i="3" s="1"/>
  <c r="BT73" i="3" s="1"/>
  <c r="CF32" i="3"/>
  <c r="CG14" i="3"/>
  <c r="CG25" i="3"/>
  <c r="CG26" i="3" s="1"/>
  <c r="BU21" i="3"/>
  <c r="BT64" i="3"/>
  <c r="CF52" i="3"/>
  <c r="CG49" i="3" s="1"/>
  <c r="BU30" i="3"/>
  <c r="BU17" i="3"/>
  <c r="BV13" i="3" s="1"/>
  <c r="BV15" i="3" s="1"/>
  <c r="CG68" i="3"/>
  <c r="CG62" i="3"/>
  <c r="CG72" i="3" l="1"/>
  <c r="BT70" i="3"/>
  <c r="BU36" i="3"/>
  <c r="BU35" i="3"/>
  <c r="BV16" i="3"/>
  <c r="BV19" i="3" s="1"/>
  <c r="CG27" i="3"/>
  <c r="CG28" i="3" s="1"/>
  <c r="CH24" i="3" s="1"/>
  <c r="CF57" i="3"/>
  <c r="CF58" i="3"/>
  <c r="CG51" i="3"/>
  <c r="CG54" i="3" s="1"/>
  <c r="CH131" i="3"/>
  <c r="CI133" i="3" s="1"/>
  <c r="BU38" i="3" l="1"/>
  <c r="BU42" i="3" s="1"/>
  <c r="BU69" i="3" s="1"/>
  <c r="CG32" i="3"/>
  <c r="CH14" i="3"/>
  <c r="CH25" i="3"/>
  <c r="CH26" i="3" s="1"/>
  <c r="BU41" i="3"/>
  <c r="BU63" i="3" s="1"/>
  <c r="BV30" i="3"/>
  <c r="BV21" i="3"/>
  <c r="BV17" i="3"/>
  <c r="BW13" i="3" s="1"/>
  <c r="BW15" i="3" s="1"/>
  <c r="CG52" i="3"/>
  <c r="CH49" i="3" s="1"/>
  <c r="CG58" i="3"/>
  <c r="CH68" i="3"/>
  <c r="CH62" i="3"/>
  <c r="CH72" i="3" l="1"/>
  <c r="BU64" i="3"/>
  <c r="BU73" i="3"/>
  <c r="BV36" i="3"/>
  <c r="BV35" i="3"/>
  <c r="BU70" i="3"/>
  <c r="CG57" i="3"/>
  <c r="CH27" i="3"/>
  <c r="CH28" i="3" s="1"/>
  <c r="CI24" i="3" s="1"/>
  <c r="CH51" i="3"/>
  <c r="CH54" i="3" s="1"/>
  <c r="CI131" i="3"/>
  <c r="CJ133" i="3" s="1"/>
  <c r="BW16" i="3"/>
  <c r="BW19" i="3" s="1"/>
  <c r="BV38" i="3" l="1"/>
  <c r="BV42" i="3" s="1"/>
  <c r="BV69" i="3" s="1"/>
  <c r="CH32" i="3"/>
  <c r="CI14" i="3"/>
  <c r="CI25" i="3"/>
  <c r="CI26" i="3" s="1"/>
  <c r="BV41" i="3"/>
  <c r="BV63" i="3" s="1"/>
  <c r="BV64" i="3" s="1"/>
  <c r="BW21" i="3"/>
  <c r="CH52" i="3"/>
  <c r="CI49" i="3" s="1"/>
  <c r="BW30" i="3"/>
  <c r="CH58" i="3"/>
  <c r="CI62" i="3"/>
  <c r="CI68" i="3"/>
  <c r="CH57" i="3"/>
  <c r="BW17" i="3"/>
  <c r="BX13" i="3" s="1"/>
  <c r="BX15" i="3" s="1"/>
  <c r="CI72" i="3" l="1"/>
  <c r="BV73" i="3"/>
  <c r="BW36" i="3"/>
  <c r="BW35" i="3"/>
  <c r="BV70" i="3"/>
  <c r="CI27" i="3"/>
  <c r="CI28" i="3" s="1"/>
  <c r="CJ24" i="3" s="1"/>
  <c r="CJ131" i="3"/>
  <c r="CK133" i="3" s="1"/>
  <c r="CI51" i="3"/>
  <c r="CI54" i="3" s="1"/>
  <c r="BX16" i="3"/>
  <c r="BX19" i="3" s="1"/>
  <c r="BW38" i="3" l="1"/>
  <c r="BW41" i="3" s="1"/>
  <c r="BW63" i="3" s="1"/>
  <c r="CI32" i="3"/>
  <c r="CJ14" i="3"/>
  <c r="CJ25" i="3"/>
  <c r="CJ26" i="3" s="1"/>
  <c r="BX21" i="3"/>
  <c r="BX30" i="3"/>
  <c r="CI52" i="3"/>
  <c r="CJ49" i="3" s="1"/>
  <c r="CJ68" i="3"/>
  <c r="CJ62" i="3"/>
  <c r="BX17" i="3"/>
  <c r="BY13" i="3" s="1"/>
  <c r="BY15" i="3" s="1"/>
  <c r="BW42" i="3" l="1"/>
  <c r="BW69" i="3" s="1"/>
  <c r="BW73" i="3" s="1"/>
  <c r="CJ72" i="3"/>
  <c r="BX36" i="3"/>
  <c r="BX35" i="3"/>
  <c r="CJ51" i="3"/>
  <c r="BW64" i="3"/>
  <c r="CJ27" i="3"/>
  <c r="CJ28" i="3" s="1"/>
  <c r="CK24" i="3" s="1"/>
  <c r="CI58" i="3"/>
  <c r="CI57" i="3"/>
  <c r="CK131" i="3"/>
  <c r="CL133" i="3" s="1"/>
  <c r="BY16" i="3"/>
  <c r="BY19" i="3" s="1"/>
  <c r="BW70" i="3" l="1"/>
  <c r="BX38" i="3"/>
  <c r="BX42" i="3" s="1"/>
  <c r="BX69" i="3" s="1"/>
  <c r="CJ32" i="3"/>
  <c r="CK14" i="3"/>
  <c r="CK25" i="3"/>
  <c r="CK26" i="3" s="1"/>
  <c r="CJ52" i="3"/>
  <c r="CK49" i="3" s="1"/>
  <c r="CJ54" i="3"/>
  <c r="CJ57" i="3" s="1"/>
  <c r="BY21" i="3"/>
  <c r="BY30" i="3"/>
  <c r="CK62" i="3"/>
  <c r="CK68" i="3"/>
  <c r="BY17" i="3"/>
  <c r="BZ13" i="3" s="1"/>
  <c r="BZ15" i="3" s="1"/>
  <c r="BX41" i="3" l="1"/>
  <c r="BX63" i="3" s="1"/>
  <c r="BX73" i="3" s="1"/>
  <c r="CK72" i="3"/>
  <c r="CJ58" i="3"/>
  <c r="BX70" i="3"/>
  <c r="BY36" i="3"/>
  <c r="BY35" i="3"/>
  <c r="CK51" i="3"/>
  <c r="CK54" i="3" s="1"/>
  <c r="CK58" i="3" s="1"/>
  <c r="CK27" i="3"/>
  <c r="CK28" i="3" s="1"/>
  <c r="CL24" i="3" s="1"/>
  <c r="CL131" i="3"/>
  <c r="CM133" i="3" s="1"/>
  <c r="BZ16" i="3"/>
  <c r="BZ19" i="3" s="1"/>
  <c r="BX64" i="3" l="1"/>
  <c r="BY38" i="3"/>
  <c r="BY42" i="3" s="1"/>
  <c r="BY69" i="3" s="1"/>
  <c r="CK32" i="3"/>
  <c r="CL25" i="3"/>
  <c r="CL26" i="3" s="1"/>
  <c r="CL14" i="3"/>
  <c r="BZ21" i="3"/>
  <c r="CK52" i="3"/>
  <c r="CL49" i="3" s="1"/>
  <c r="CK57" i="3"/>
  <c r="BZ30" i="3"/>
  <c r="CL62" i="3"/>
  <c r="CL68" i="3"/>
  <c r="BZ17" i="3"/>
  <c r="CA13" i="3" s="1"/>
  <c r="CA15" i="3" s="1"/>
  <c r="BY41" i="3" l="1"/>
  <c r="BY63" i="3" s="1"/>
  <c r="BY73" i="3" s="1"/>
  <c r="CL72" i="3"/>
  <c r="BZ36" i="3"/>
  <c r="BZ35" i="3"/>
  <c r="BY70" i="3"/>
  <c r="CL27" i="3"/>
  <c r="CL28" i="3" s="1"/>
  <c r="CM24" i="3" s="1"/>
  <c r="CL51" i="3"/>
  <c r="CL54" i="3" s="1"/>
  <c r="CM131" i="3"/>
  <c r="CN133" i="3" s="1"/>
  <c r="BY64" i="3" l="1"/>
  <c r="BZ38" i="3"/>
  <c r="BZ42" i="3" s="1"/>
  <c r="BZ69" i="3" s="1"/>
  <c r="CL32" i="3"/>
  <c r="CM25" i="3"/>
  <c r="CM26" i="3" s="1"/>
  <c r="CM14" i="3"/>
  <c r="CL52" i="3"/>
  <c r="CM49" i="3" s="1"/>
  <c r="CL58" i="3"/>
  <c r="CM62" i="3"/>
  <c r="CM68" i="3"/>
  <c r="CA16" i="3"/>
  <c r="CA19" i="3" s="1"/>
  <c r="BZ41" i="3" l="1"/>
  <c r="BZ63" i="3" s="1"/>
  <c r="BZ73" i="3" s="1"/>
  <c r="CM72" i="3"/>
  <c r="BZ70" i="3"/>
  <c r="CA21" i="3"/>
  <c r="CL57" i="3"/>
  <c r="CA30" i="3"/>
  <c r="CM27" i="3"/>
  <c r="CM28" i="3" s="1"/>
  <c r="CN24" i="3" s="1"/>
  <c r="CM51" i="3"/>
  <c r="CM54" i="3" s="1"/>
  <c r="CN131" i="3"/>
  <c r="CO133" i="3" s="1"/>
  <c r="CA17" i="3"/>
  <c r="CB13" i="3" s="1"/>
  <c r="CB15" i="3" s="1"/>
  <c r="BZ64" i="3" l="1"/>
  <c r="CM32" i="3"/>
  <c r="CN25" i="3"/>
  <c r="CN26" i="3" s="1"/>
  <c r="CN14" i="3"/>
  <c r="CA36" i="3"/>
  <c r="CA35" i="3"/>
  <c r="CM52" i="3"/>
  <c r="CN49" i="3" s="1"/>
  <c r="CN62" i="3"/>
  <c r="CN68" i="3"/>
  <c r="CM57" i="3"/>
  <c r="CM58" i="3"/>
  <c r="CB16" i="3"/>
  <c r="CB19" i="3" s="1"/>
  <c r="CA38" i="3" l="1"/>
  <c r="CA42" i="3" s="1"/>
  <c r="CA69" i="3" s="1"/>
  <c r="CN72" i="3"/>
  <c r="CB21" i="3"/>
  <c r="CB30" i="3"/>
  <c r="CN27" i="3"/>
  <c r="CN28" i="3" s="1"/>
  <c r="CO24" i="3" s="1"/>
  <c r="CN51" i="3"/>
  <c r="CN54" i="3" s="1"/>
  <c r="CO131" i="3"/>
  <c r="CP133" i="3" s="1"/>
  <c r="CB17" i="3"/>
  <c r="CC13" i="3" s="1"/>
  <c r="CC15" i="3" s="1"/>
  <c r="CA41" i="3" l="1"/>
  <c r="CA63" i="3" s="1"/>
  <c r="CA73" i="3" s="1"/>
  <c r="CN32" i="3"/>
  <c r="CO14" i="3"/>
  <c r="CO25" i="3"/>
  <c r="CO26" i="3" s="1"/>
  <c r="CB35" i="3"/>
  <c r="CB36" i="3"/>
  <c r="CA70" i="3"/>
  <c r="CN52" i="3"/>
  <c r="CO49" i="3" s="1"/>
  <c r="CN57" i="3"/>
  <c r="CO62" i="3"/>
  <c r="CO68" i="3"/>
  <c r="CA64" i="3" l="1"/>
  <c r="CB38" i="3"/>
  <c r="CB41" i="3" s="1"/>
  <c r="CB63" i="3" s="1"/>
  <c r="CO72" i="3"/>
  <c r="CN58" i="3"/>
  <c r="CO27" i="3"/>
  <c r="CO28" i="3" s="1"/>
  <c r="CP24" i="3" s="1"/>
  <c r="CO51" i="3"/>
  <c r="CO54" i="3" s="1"/>
  <c r="CP131" i="3"/>
  <c r="CQ133" i="3" s="1"/>
  <c r="CC16" i="3"/>
  <c r="CC19" i="3" s="1"/>
  <c r="CB42" i="3" l="1"/>
  <c r="CB69" i="3" s="1"/>
  <c r="CB70" i="3" s="1"/>
  <c r="CO32" i="3"/>
  <c r="CP14" i="3"/>
  <c r="CP25" i="3"/>
  <c r="CP26" i="3" s="1"/>
  <c r="CC21" i="3"/>
  <c r="CB64" i="3"/>
  <c r="CC30" i="3"/>
  <c r="CC17" i="3"/>
  <c r="CD13" i="3" s="1"/>
  <c r="CD15" i="3" s="1"/>
  <c r="CP62" i="3"/>
  <c r="CP68" i="3"/>
  <c r="CO52" i="3"/>
  <c r="CP49" i="3" s="1"/>
  <c r="CB73" i="3" l="1"/>
  <c r="CP72" i="3"/>
  <c r="CC36" i="3"/>
  <c r="CC35" i="3"/>
  <c r="CP27" i="3"/>
  <c r="CP28" i="3" s="1"/>
  <c r="CQ24" i="3" s="1"/>
  <c r="CO58" i="3"/>
  <c r="CO57" i="3"/>
  <c r="CP51" i="3"/>
  <c r="CP54" i="3" s="1"/>
  <c r="CQ131" i="3"/>
  <c r="CR133" i="3" s="1"/>
  <c r="CD16" i="3"/>
  <c r="CD19" i="3" s="1"/>
  <c r="CC38" i="3" l="1"/>
  <c r="CC42" i="3" s="1"/>
  <c r="CC69" i="3" s="1"/>
  <c r="CP32" i="3"/>
  <c r="CQ25" i="3"/>
  <c r="CQ26" i="3" s="1"/>
  <c r="CQ14" i="3"/>
  <c r="CD21" i="3"/>
  <c r="CP52" i="3"/>
  <c r="CQ49" i="3" s="1"/>
  <c r="CD30" i="3"/>
  <c r="CD17" i="3"/>
  <c r="CE13" i="3" s="1"/>
  <c r="CE15" i="3" s="1"/>
  <c r="CQ62" i="3"/>
  <c r="CQ68" i="3"/>
  <c r="CC41" i="3" l="1"/>
  <c r="CC63" i="3" s="1"/>
  <c r="CC73" i="3" s="1"/>
  <c r="CQ72" i="3"/>
  <c r="CD35" i="3"/>
  <c r="CD36" i="3"/>
  <c r="CC70" i="3"/>
  <c r="CQ51" i="3"/>
  <c r="CQ54" i="3" s="1"/>
  <c r="CQ27" i="3"/>
  <c r="CQ28" i="3" s="1"/>
  <c r="CR24" i="3" s="1"/>
  <c r="CP57" i="3"/>
  <c r="CP58" i="3"/>
  <c r="CR131" i="3"/>
  <c r="CS133" i="3" s="1"/>
  <c r="CE16" i="3"/>
  <c r="CE19" i="3" s="1"/>
  <c r="CC64" i="3" l="1"/>
  <c r="CQ32" i="3"/>
  <c r="CR14" i="3"/>
  <c r="CR25" i="3"/>
  <c r="CR26" i="3" s="1"/>
  <c r="CD38" i="3"/>
  <c r="CD42" i="3" s="1"/>
  <c r="CD69" i="3" s="1"/>
  <c r="CE21" i="3"/>
  <c r="CQ52" i="3"/>
  <c r="CR49" i="3" s="1"/>
  <c r="CE30" i="3"/>
  <c r="CQ58" i="3"/>
  <c r="CE17" i="3"/>
  <c r="CF13" i="3" s="1"/>
  <c r="CF15" i="3" s="1"/>
  <c r="CR62" i="3"/>
  <c r="CR68" i="3"/>
  <c r="CR72" i="3" l="1"/>
  <c r="CD41" i="3"/>
  <c r="CD63" i="3" s="1"/>
  <c r="CD73" i="3" s="1"/>
  <c r="CE36" i="3"/>
  <c r="CE35" i="3"/>
  <c r="CD70" i="3"/>
  <c r="CQ57" i="3"/>
  <c r="CR27" i="3"/>
  <c r="CR28" i="3" s="1"/>
  <c r="CS24" i="3" s="1"/>
  <c r="CR51" i="3"/>
  <c r="CR54" i="3" s="1"/>
  <c r="CS131" i="3"/>
  <c r="CT133" i="3" s="1"/>
  <c r="CF16" i="3"/>
  <c r="CF19" i="3" s="1"/>
  <c r="CE38" i="3" l="1"/>
  <c r="CE42" i="3" s="1"/>
  <c r="CE69" i="3" s="1"/>
  <c r="CE70" i="3" s="1"/>
  <c r="CD64" i="3"/>
  <c r="CR32" i="3"/>
  <c r="CS14" i="3"/>
  <c r="CS25" i="3"/>
  <c r="CS26" i="3" s="1"/>
  <c r="CF21" i="3"/>
  <c r="CR52" i="3"/>
  <c r="CS49" i="3" s="1"/>
  <c r="CR58" i="3"/>
  <c r="CF30" i="3"/>
  <c r="CS68" i="3"/>
  <c r="CS62" i="3"/>
  <c r="CR57" i="3"/>
  <c r="CF17" i="3"/>
  <c r="CG13" i="3" s="1"/>
  <c r="CG15" i="3" s="1"/>
  <c r="CE41" i="3" l="1"/>
  <c r="CE63" i="3" s="1"/>
  <c r="CE73" i="3" s="1"/>
  <c r="CS72" i="3"/>
  <c r="CF36" i="3"/>
  <c r="CF35" i="3"/>
  <c r="CS27" i="3"/>
  <c r="CS28" i="3" s="1"/>
  <c r="CT24" i="3" s="1"/>
  <c r="CS51" i="3"/>
  <c r="CS54" i="3" s="1"/>
  <c r="CT131" i="3"/>
  <c r="CU133" i="3" s="1"/>
  <c r="CE64" i="3" l="1"/>
  <c r="CF38" i="3"/>
  <c r="CF42" i="3" s="1"/>
  <c r="CF69" i="3" s="1"/>
  <c r="CS32" i="3"/>
  <c r="CT25" i="3"/>
  <c r="CT26" i="3" s="1"/>
  <c r="CT14" i="3"/>
  <c r="CS52" i="3"/>
  <c r="CT49" i="3" s="1"/>
  <c r="CS57" i="3"/>
  <c r="CT68" i="3"/>
  <c r="CT62" i="3"/>
  <c r="CG16" i="3"/>
  <c r="CG19" i="3" s="1"/>
  <c r="CF41" i="3" l="1"/>
  <c r="CF63" i="3" s="1"/>
  <c r="CF64" i="3" s="1"/>
  <c r="CT72" i="3"/>
  <c r="CF70" i="3"/>
  <c r="CG21" i="3"/>
  <c r="CG30" i="3"/>
  <c r="CS58" i="3"/>
  <c r="CT51" i="3"/>
  <c r="CT54" i="3" s="1"/>
  <c r="CT27" i="3"/>
  <c r="CT28" i="3" s="1"/>
  <c r="CU24" i="3" s="1"/>
  <c r="CU131" i="3"/>
  <c r="CV133" i="3" s="1"/>
  <c r="CG17" i="3"/>
  <c r="CH13" i="3" s="1"/>
  <c r="CH15" i="3" s="1"/>
  <c r="CF73" i="3" l="1"/>
  <c r="CT32" i="3"/>
  <c r="CU25" i="3"/>
  <c r="CU26" i="3" s="1"/>
  <c r="CU14" i="3"/>
  <c r="CG36" i="3"/>
  <c r="CG35" i="3"/>
  <c r="CT52" i="3"/>
  <c r="CU49" i="3" s="1"/>
  <c r="CT58" i="3"/>
  <c r="CU62" i="3"/>
  <c r="CU68" i="3"/>
  <c r="CG38" i="3" l="1"/>
  <c r="CG41" i="3" s="1"/>
  <c r="CG63" i="3" s="1"/>
  <c r="CU72" i="3"/>
  <c r="CT57" i="3"/>
  <c r="CU27" i="3"/>
  <c r="CU28" i="3" s="1"/>
  <c r="CV24" i="3" s="1"/>
  <c r="CU51" i="3"/>
  <c r="CU54" i="3" s="1"/>
  <c r="CV131" i="3"/>
  <c r="CW133" i="3" s="1"/>
  <c r="CH16" i="3"/>
  <c r="CH19" i="3" s="1"/>
  <c r="CG42" i="3" l="1"/>
  <c r="CG69" i="3" s="1"/>
  <c r="CG73" i="3" s="1"/>
  <c r="CU32" i="3"/>
  <c r="CV14" i="3"/>
  <c r="CV25" i="3"/>
  <c r="CV26" i="3" s="1"/>
  <c r="CH21" i="3"/>
  <c r="CG64" i="3"/>
  <c r="CH30" i="3"/>
  <c r="CH17" i="3"/>
  <c r="CI13" i="3" s="1"/>
  <c r="CI15" i="3" s="1"/>
  <c r="CV62" i="3"/>
  <c r="CV68" i="3"/>
  <c r="CU52" i="3"/>
  <c r="CV49" i="3" s="1"/>
  <c r="CG70" i="3" l="1"/>
  <c r="CV72" i="3"/>
  <c r="CH35" i="3"/>
  <c r="CH36" i="3"/>
  <c r="CV27" i="3"/>
  <c r="CV28" i="3" s="1"/>
  <c r="CW24" i="3" s="1"/>
  <c r="CU57" i="3"/>
  <c r="CU58" i="3"/>
  <c r="CV51" i="3"/>
  <c r="CV54" i="3" s="1"/>
  <c r="CW131" i="3"/>
  <c r="CX133" i="3" s="1"/>
  <c r="CI16" i="3"/>
  <c r="CI19" i="3" s="1"/>
  <c r="CH38" i="3" l="1"/>
  <c r="CH42" i="3" s="1"/>
  <c r="CH69" i="3" s="1"/>
  <c r="CH70" i="3" s="1"/>
  <c r="CV32" i="3"/>
  <c r="CW14" i="3"/>
  <c r="CW25" i="3"/>
  <c r="CW26" i="3" s="1"/>
  <c r="CI21" i="3"/>
  <c r="CV52" i="3"/>
  <c r="CW49" i="3" s="1"/>
  <c r="CI30" i="3"/>
  <c r="CV57" i="3"/>
  <c r="CW62" i="3"/>
  <c r="CW68" i="3"/>
  <c r="CI17" i="3"/>
  <c r="CJ13" i="3" s="1"/>
  <c r="CJ15" i="3" s="1"/>
  <c r="CH41" i="3" l="1"/>
  <c r="CH63" i="3" s="1"/>
  <c r="CH64" i="3" s="1"/>
  <c r="CW72" i="3"/>
  <c r="CI36" i="3"/>
  <c r="CI35" i="3"/>
  <c r="CW27" i="3"/>
  <c r="CW28" i="3" s="1"/>
  <c r="CX24" i="3" s="1"/>
  <c r="CV58" i="3"/>
  <c r="CX131" i="3"/>
  <c r="CY133" i="3" s="1"/>
  <c r="CW51" i="3"/>
  <c r="CW54" i="3" s="1"/>
  <c r="CJ16" i="3"/>
  <c r="CJ19" i="3" s="1"/>
  <c r="CH73" i="3" l="1"/>
  <c r="CI38" i="3"/>
  <c r="CI42" i="3" s="1"/>
  <c r="CI69" i="3" s="1"/>
  <c r="CW32" i="3"/>
  <c r="CX14" i="3"/>
  <c r="CX25" i="3"/>
  <c r="CX26" i="3" s="1"/>
  <c r="CJ21" i="3"/>
  <c r="CW52" i="3"/>
  <c r="CX49" i="3" s="1"/>
  <c r="CJ30" i="3"/>
  <c r="CX62" i="3"/>
  <c r="CX68" i="3"/>
  <c r="CJ17" i="3"/>
  <c r="CK13" i="3" s="1"/>
  <c r="CK15" i="3" s="1"/>
  <c r="CI41" i="3" l="1"/>
  <c r="CI63" i="3" s="1"/>
  <c r="CI73" i="3" s="1"/>
  <c r="CX72" i="3"/>
  <c r="CJ35" i="3"/>
  <c r="CJ36" i="3"/>
  <c r="CI70" i="3"/>
  <c r="CX51" i="3"/>
  <c r="CX54" i="3" s="1"/>
  <c r="CX27" i="3"/>
  <c r="CX28" i="3" s="1"/>
  <c r="CY24" i="3" s="1"/>
  <c r="CY131" i="3"/>
  <c r="CZ133" i="3" s="1"/>
  <c r="CW57" i="3"/>
  <c r="CW58" i="3"/>
  <c r="CI64" i="3" l="1"/>
  <c r="CX32" i="3"/>
  <c r="CY14" i="3"/>
  <c r="CY25" i="3"/>
  <c r="CY26" i="3" s="1"/>
  <c r="CJ38" i="3"/>
  <c r="CJ42" i="3" s="1"/>
  <c r="CJ69" i="3" s="1"/>
  <c r="CX52" i="3"/>
  <c r="CY49" i="3" s="1"/>
  <c r="CX58" i="3"/>
  <c r="CY62" i="3"/>
  <c r="CY68" i="3"/>
  <c r="CK16" i="3"/>
  <c r="CK19" i="3" s="1"/>
  <c r="CY72" i="3" l="1"/>
  <c r="CJ41" i="3"/>
  <c r="CJ63" i="3" s="1"/>
  <c r="CJ73" i="3" s="1"/>
  <c r="CJ70" i="3"/>
  <c r="CK21" i="3"/>
  <c r="CK30" i="3"/>
  <c r="CX57" i="3"/>
  <c r="CK17" i="3"/>
  <c r="CL13" i="3" s="1"/>
  <c r="CL15" i="3" s="1"/>
  <c r="CY51" i="3"/>
  <c r="CY54" i="3" s="1"/>
  <c r="CY27" i="3"/>
  <c r="CY28" i="3" s="1"/>
  <c r="CZ24" i="3" s="1"/>
  <c r="CZ131" i="3"/>
  <c r="DA133" i="3" s="1"/>
  <c r="CJ64" i="3" l="1"/>
  <c r="CY32" i="3"/>
  <c r="CZ14" i="3"/>
  <c r="CZ25" i="3"/>
  <c r="CZ26" i="3" s="1"/>
  <c r="CK36" i="3"/>
  <c r="CK35" i="3"/>
  <c r="CY52" i="3"/>
  <c r="CZ49" i="3" s="1"/>
  <c r="CY57" i="3"/>
  <c r="CZ68" i="3"/>
  <c r="CZ62" i="3"/>
  <c r="CL16" i="3"/>
  <c r="CL19" i="3" s="1"/>
  <c r="CK38" i="3" l="1"/>
  <c r="CK42" i="3" s="1"/>
  <c r="CK69" i="3" s="1"/>
  <c r="CZ72" i="3"/>
  <c r="CL21" i="3"/>
  <c r="CY58" i="3"/>
  <c r="CL30" i="3"/>
  <c r="CZ27" i="3"/>
  <c r="CZ28" i="3" s="1"/>
  <c r="DA24" i="3" s="1"/>
  <c r="CZ51" i="3"/>
  <c r="CZ54" i="3" s="1"/>
  <c r="DA131" i="3"/>
  <c r="DB133" i="3" s="1"/>
  <c r="CL17" i="3"/>
  <c r="CM13" i="3" s="1"/>
  <c r="CM15" i="3" s="1"/>
  <c r="CK41" i="3" l="1"/>
  <c r="CK63" i="3" s="1"/>
  <c r="CK73" i="3" s="1"/>
  <c r="CK70" i="3"/>
  <c r="CZ32" i="3"/>
  <c r="DA14" i="3"/>
  <c r="DA25" i="3"/>
  <c r="DA26" i="3" s="1"/>
  <c r="CL35" i="3"/>
  <c r="CL36" i="3"/>
  <c r="DA62" i="3"/>
  <c r="DA68" i="3"/>
  <c r="CZ52" i="3"/>
  <c r="DA49" i="3" s="1"/>
  <c r="CL38" i="3" l="1"/>
  <c r="CL42" i="3" s="1"/>
  <c r="CL69" i="3" s="1"/>
  <c r="DA72" i="3"/>
  <c r="CK64" i="3"/>
  <c r="DA27" i="3"/>
  <c r="DA28" i="3" s="1"/>
  <c r="DB24" i="3" s="1"/>
  <c r="CZ57" i="3"/>
  <c r="CZ58" i="3"/>
  <c r="DA51" i="3"/>
  <c r="DA54" i="3" s="1"/>
  <c r="DB131" i="3"/>
  <c r="DC133" i="3" s="1"/>
  <c r="CM16" i="3"/>
  <c r="CM19" i="3" s="1"/>
  <c r="CL41" i="3" l="1"/>
  <c r="CL63" i="3" s="1"/>
  <c r="CL73" i="3" s="1"/>
  <c r="DA32" i="3"/>
  <c r="DB25" i="3"/>
  <c r="DB26" i="3" s="1"/>
  <c r="DB14" i="3"/>
  <c r="CL70" i="3"/>
  <c r="CM21" i="3"/>
  <c r="DA52" i="3"/>
  <c r="DB49" i="3" s="1"/>
  <c r="CM30" i="3"/>
  <c r="DB62" i="3"/>
  <c r="DB68" i="3"/>
  <c r="CM17" i="3"/>
  <c r="CN13" i="3" s="1"/>
  <c r="CN15" i="3" s="1"/>
  <c r="CL64" i="3" l="1"/>
  <c r="DB72" i="3"/>
  <c r="CM36" i="3"/>
  <c r="CM35" i="3"/>
  <c r="DB27" i="3"/>
  <c r="DB28" i="3" s="1"/>
  <c r="DC24" i="3" s="1"/>
  <c r="DB51" i="3"/>
  <c r="DB54" i="3" s="1"/>
  <c r="DA58" i="3"/>
  <c r="DA57" i="3"/>
  <c r="DC131" i="3"/>
  <c r="DD133" i="3" s="1"/>
  <c r="CN16" i="3"/>
  <c r="CN19" i="3" s="1"/>
  <c r="CM38" i="3" l="1"/>
  <c r="CM41" i="3" s="1"/>
  <c r="CM63" i="3" s="1"/>
  <c r="DB32" i="3"/>
  <c r="DC25" i="3"/>
  <c r="DC26" i="3" s="1"/>
  <c r="DC14" i="3"/>
  <c r="CN21" i="3"/>
  <c r="DB52" i="3"/>
  <c r="DC49" i="3" s="1"/>
  <c r="CN30" i="3"/>
  <c r="DC62" i="3"/>
  <c r="DC68" i="3"/>
  <c r="CN17" i="3"/>
  <c r="CO13" i="3" s="1"/>
  <c r="CO15" i="3" s="1"/>
  <c r="CM42" i="3" l="1"/>
  <c r="CM69" i="3" s="1"/>
  <c r="CM73" i="3" s="1"/>
  <c r="DC72" i="3"/>
  <c r="CN36" i="3"/>
  <c r="CN35" i="3"/>
  <c r="CM64" i="3"/>
  <c r="DB57" i="3"/>
  <c r="DB58" i="3"/>
  <c r="DC51" i="3"/>
  <c r="DC54" i="3" s="1"/>
  <c r="DC27" i="3"/>
  <c r="DC28" i="3" s="1"/>
  <c r="DD24" i="3" s="1"/>
  <c r="DD131" i="3"/>
  <c r="DE133" i="3" s="1"/>
  <c r="CM70" i="3" l="1"/>
  <c r="CN38" i="3"/>
  <c r="CN41" i="3" s="1"/>
  <c r="CN63" i="3" s="1"/>
  <c r="DC32" i="3"/>
  <c r="DD25" i="3"/>
  <c r="DD26" i="3" s="1"/>
  <c r="DD14" i="3"/>
  <c r="DC52" i="3"/>
  <c r="DD49" i="3" s="1"/>
  <c r="DC58" i="3"/>
  <c r="DC57" i="3"/>
  <c r="DD62" i="3"/>
  <c r="DD68" i="3"/>
  <c r="CO16" i="3"/>
  <c r="CO19" i="3" s="1"/>
  <c r="CN42" i="3" l="1"/>
  <c r="CN69" i="3" s="1"/>
  <c r="CN70" i="3" s="1"/>
  <c r="DD72" i="3"/>
  <c r="CN64" i="3"/>
  <c r="CO21" i="3"/>
  <c r="CO30" i="3"/>
  <c r="DD27" i="3"/>
  <c r="DD28" i="3" s="1"/>
  <c r="DE24" i="3" s="1"/>
  <c r="DD51" i="3"/>
  <c r="DD54" i="3" s="1"/>
  <c r="DE131" i="3"/>
  <c r="DF133" i="3" s="1"/>
  <c r="CO17" i="3"/>
  <c r="CP13" i="3" s="1"/>
  <c r="CP15" i="3" s="1"/>
  <c r="CN73" i="3" l="1"/>
  <c r="DD32" i="3"/>
  <c r="DE14" i="3"/>
  <c r="DE25" i="3"/>
  <c r="DE26" i="3" s="1"/>
  <c r="CO36" i="3"/>
  <c r="CO35" i="3"/>
  <c r="DD52" i="3"/>
  <c r="DE49" i="3" s="1"/>
  <c r="DD58" i="3"/>
  <c r="DE62" i="3"/>
  <c r="DE68" i="3"/>
  <c r="CP16" i="3"/>
  <c r="CP19" i="3" s="1"/>
  <c r="DE72" i="3" l="1"/>
  <c r="CO38" i="3"/>
  <c r="CO42" i="3" s="1"/>
  <c r="CO69" i="3" s="1"/>
  <c r="CP21" i="3"/>
  <c r="CP30" i="3"/>
  <c r="DD57" i="3"/>
  <c r="DE27" i="3"/>
  <c r="DE28" i="3" s="1"/>
  <c r="DF24" i="3" s="1"/>
  <c r="DE51" i="3"/>
  <c r="DE54" i="3" s="1"/>
  <c r="DF131" i="3"/>
  <c r="DG133" i="3" s="1"/>
  <c r="CP17" i="3"/>
  <c r="CQ13" i="3" s="1"/>
  <c r="CQ15" i="3" s="1"/>
  <c r="DE32" i="3" l="1"/>
  <c r="CO41" i="3"/>
  <c r="CO63" i="3" s="1"/>
  <c r="DF14" i="3"/>
  <c r="DF25" i="3"/>
  <c r="CP36" i="3"/>
  <c r="CP35" i="3"/>
  <c r="CO70" i="3"/>
  <c r="DE52" i="3"/>
  <c r="DF49" i="3" s="1"/>
  <c r="DE58" i="3"/>
  <c r="DF62" i="3"/>
  <c r="DF68" i="3"/>
  <c r="DE57" i="3"/>
  <c r="CQ16" i="3"/>
  <c r="CQ19" i="3" s="1"/>
  <c r="CP38" i="3" l="1"/>
  <c r="CP41" i="3" s="1"/>
  <c r="CP63" i="3" s="1"/>
  <c r="DF72" i="3"/>
  <c r="CO64" i="3"/>
  <c r="CO73" i="3"/>
  <c r="DF26" i="3"/>
  <c r="DF27" i="3" s="1"/>
  <c r="DF28" i="3" s="1"/>
  <c r="DG24" i="3" s="1"/>
  <c r="CQ21" i="3"/>
  <c r="CQ30" i="3"/>
  <c r="DF51" i="3"/>
  <c r="DF54" i="3" s="1"/>
  <c r="DG131" i="3"/>
  <c r="DH133" i="3" s="1"/>
  <c r="CQ17" i="3"/>
  <c r="CR13" i="3" s="1"/>
  <c r="CR15" i="3" s="1"/>
  <c r="CP42" i="3" l="1"/>
  <c r="CP69" i="3" s="1"/>
  <c r="CP73" i="3" s="1"/>
  <c r="DF32" i="3"/>
  <c r="DG14" i="3"/>
  <c r="DG25" i="3"/>
  <c r="DG26" i="3" s="1"/>
  <c r="CQ35" i="3"/>
  <c r="CQ36" i="3"/>
  <c r="CP64" i="3"/>
  <c r="DF52" i="3"/>
  <c r="DG49" i="3" s="1"/>
  <c r="DF57" i="3"/>
  <c r="DG62" i="3"/>
  <c r="DG68" i="3"/>
  <c r="CP70" i="3" l="1"/>
  <c r="CQ38" i="3"/>
  <c r="CQ42" i="3" s="1"/>
  <c r="CQ69" i="3" s="1"/>
  <c r="DG72" i="3"/>
  <c r="DF58" i="3"/>
  <c r="DG51" i="3"/>
  <c r="DG54" i="3" s="1"/>
  <c r="DG27" i="3"/>
  <c r="DG28" i="3" s="1"/>
  <c r="DH24" i="3" s="1"/>
  <c r="DH131" i="3"/>
  <c r="DI133" i="3" s="1"/>
  <c r="CR16" i="3"/>
  <c r="CR19" i="3" s="1"/>
  <c r="CQ41" i="3" l="1"/>
  <c r="CQ63" i="3" s="1"/>
  <c r="CQ64" i="3" s="1"/>
  <c r="DG32" i="3"/>
  <c r="DH14" i="3"/>
  <c r="DH25" i="3"/>
  <c r="DH26" i="3" s="1"/>
  <c r="CQ70" i="3"/>
  <c r="CR21" i="3"/>
  <c r="DG52" i="3"/>
  <c r="DH49" i="3" s="1"/>
  <c r="CR30" i="3"/>
  <c r="DG57" i="3"/>
  <c r="CR17" i="3"/>
  <c r="CS13" i="3" s="1"/>
  <c r="CS15" i="3" s="1"/>
  <c r="DH68" i="3"/>
  <c r="DH62" i="3"/>
  <c r="CQ73" i="3" l="1"/>
  <c r="DH72" i="3"/>
  <c r="CR35" i="3"/>
  <c r="CR36" i="3"/>
  <c r="DG58" i="3"/>
  <c r="DH27" i="3"/>
  <c r="DH28" i="3" s="1"/>
  <c r="DI24" i="3" s="1"/>
  <c r="DH51" i="3"/>
  <c r="DH54" i="3" s="1"/>
  <c r="DI131" i="3"/>
  <c r="DJ133" i="3" s="1"/>
  <c r="CS16" i="3"/>
  <c r="CS19" i="3" s="1"/>
  <c r="CR38" i="3" l="1"/>
  <c r="CR41" i="3" s="1"/>
  <c r="CR63" i="3" s="1"/>
  <c r="DH32" i="3"/>
  <c r="DI14" i="3"/>
  <c r="DI25" i="3"/>
  <c r="DI26" i="3" s="1"/>
  <c r="CS21" i="3"/>
  <c r="CS30" i="3"/>
  <c r="CS17" i="3"/>
  <c r="CT13" i="3" s="1"/>
  <c r="DI62" i="3"/>
  <c r="DI68" i="3"/>
  <c r="DH52" i="3"/>
  <c r="DI49" i="3" s="1"/>
  <c r="CR42" i="3" l="1"/>
  <c r="CR69" i="3" s="1"/>
  <c r="CR73" i="3" s="1"/>
  <c r="CR64" i="3"/>
  <c r="DI72" i="3"/>
  <c r="CS35" i="3"/>
  <c r="CS36" i="3"/>
  <c r="CT15" i="3"/>
  <c r="CT16" i="3" s="1"/>
  <c r="CT19" i="3" s="1"/>
  <c r="DI27" i="3"/>
  <c r="DI28" i="3" s="1"/>
  <c r="DJ24" i="3" s="1"/>
  <c r="DH57" i="3"/>
  <c r="DH58" i="3"/>
  <c r="DI51" i="3"/>
  <c r="DI54" i="3" s="1"/>
  <c r="DJ131" i="3"/>
  <c r="DK133" i="3" s="1"/>
  <c r="CR70" i="3" l="1"/>
  <c r="DI32" i="3"/>
  <c r="DJ14" i="3"/>
  <c r="DJ25" i="3"/>
  <c r="DJ26" i="3" s="1"/>
  <c r="CS38" i="3"/>
  <c r="CS42" i="3" s="1"/>
  <c r="CS69" i="3" s="1"/>
  <c r="CS70" i="3" s="1"/>
  <c r="CT17" i="3"/>
  <c r="CU13" i="3" s="1"/>
  <c r="CU15" i="3" s="1"/>
  <c r="CT21" i="3"/>
  <c r="CT30" i="3"/>
  <c r="DI52" i="3"/>
  <c r="DJ49" i="3" s="1"/>
  <c r="DJ68" i="3"/>
  <c r="DJ62" i="3"/>
  <c r="DJ72" i="3" l="1"/>
  <c r="CS41" i="3"/>
  <c r="CS63" i="3" s="1"/>
  <c r="CS64" i="3" s="1"/>
  <c r="CT35" i="3"/>
  <c r="CT36" i="3"/>
  <c r="CU16" i="3"/>
  <c r="CU19" i="3" s="1"/>
  <c r="DJ27" i="3"/>
  <c r="DJ32" i="3" s="1"/>
  <c r="DJ51" i="3"/>
  <c r="DJ54" i="3" s="1"/>
  <c r="DI58" i="3"/>
  <c r="DI57" i="3"/>
  <c r="DK131" i="3"/>
  <c r="DL133" i="3" s="1"/>
  <c r="CS73" i="3" l="1"/>
  <c r="CU21" i="3"/>
  <c r="CT38" i="3"/>
  <c r="CT41" i="3" s="1"/>
  <c r="CT63" i="3" s="1"/>
  <c r="DK25" i="3"/>
  <c r="DK14" i="3"/>
  <c r="CU17" i="3"/>
  <c r="CV13" i="3" s="1"/>
  <c r="CV15" i="3" s="1"/>
  <c r="CU30" i="3"/>
  <c r="DJ52" i="3"/>
  <c r="DK49" i="3" s="1"/>
  <c r="DJ57" i="3"/>
  <c r="DJ28" i="3"/>
  <c r="DK24" i="3" s="1"/>
  <c r="DK68" i="3"/>
  <c r="DK62" i="3"/>
  <c r="CT42" i="3" l="1"/>
  <c r="CT69" i="3" s="1"/>
  <c r="CT73" i="3" s="1"/>
  <c r="DK72" i="3"/>
  <c r="CT64" i="3"/>
  <c r="DK26" i="3"/>
  <c r="DK27" i="3" s="1"/>
  <c r="DK28" i="3" s="1"/>
  <c r="DL24" i="3" s="1"/>
  <c r="CV16" i="3"/>
  <c r="CV19" i="3" s="1"/>
  <c r="CU35" i="3"/>
  <c r="CU36" i="3"/>
  <c r="DJ58" i="3"/>
  <c r="DK51" i="3"/>
  <c r="DK54" i="3" s="1"/>
  <c r="DL131" i="3"/>
  <c r="DM133" i="3" s="1"/>
  <c r="CT70" i="3" l="1"/>
  <c r="CV17" i="3"/>
  <c r="CW13" i="3" s="1"/>
  <c r="CW15" i="3" s="1"/>
  <c r="CV21" i="3"/>
  <c r="CV30" i="3"/>
  <c r="CV35" i="3" s="1"/>
  <c r="DK32" i="3"/>
  <c r="DL14" i="3"/>
  <c r="DL25" i="3"/>
  <c r="DL26" i="3" s="1"/>
  <c r="CU38" i="3"/>
  <c r="DK52" i="3"/>
  <c r="DL49" i="3" s="1"/>
  <c r="DK57" i="3"/>
  <c r="DL68" i="3"/>
  <c r="DL62" i="3"/>
  <c r="DK58" i="3"/>
  <c r="CV36" i="3" l="1"/>
  <c r="CV38" i="3" s="1"/>
  <c r="DL72" i="3"/>
  <c r="CU42" i="3"/>
  <c r="CU69" i="3" s="1"/>
  <c r="CU41" i="3"/>
  <c r="CU63" i="3" s="1"/>
  <c r="DL27" i="3"/>
  <c r="DL28" i="3" s="1"/>
  <c r="DM24" i="3" s="1"/>
  <c r="DL51" i="3"/>
  <c r="DL54" i="3" s="1"/>
  <c r="DM131" i="3"/>
  <c r="DN133" i="3" s="1"/>
  <c r="CW16" i="3"/>
  <c r="CW19" i="3" s="1"/>
  <c r="CV41" i="3" l="1"/>
  <c r="CV63" i="3" s="1"/>
  <c r="CV64" i="3" s="1"/>
  <c r="CV42" i="3"/>
  <c r="CV69" i="3" s="1"/>
  <c r="CU64" i="3"/>
  <c r="CU73" i="3"/>
  <c r="DL32" i="3"/>
  <c r="DM25" i="3"/>
  <c r="DM26" i="3" s="1"/>
  <c r="DM14" i="3"/>
  <c r="CU70" i="3"/>
  <c r="CW21" i="3"/>
  <c r="CW30" i="3"/>
  <c r="CW17" i="3"/>
  <c r="CX13" i="3" s="1"/>
  <c r="DM62" i="3"/>
  <c r="DM68" i="3"/>
  <c r="DL52" i="3"/>
  <c r="DM49" i="3" s="1"/>
  <c r="CV70" i="3" l="1"/>
  <c r="CV73" i="3"/>
  <c r="DM72" i="3"/>
  <c r="CW36" i="3"/>
  <c r="CW35" i="3"/>
  <c r="CX15" i="3"/>
  <c r="CX16" i="3" s="1"/>
  <c r="CX19" i="3" s="1"/>
  <c r="DM27" i="3"/>
  <c r="DM28" i="3" s="1"/>
  <c r="DN24" i="3" s="1"/>
  <c r="DM51" i="3"/>
  <c r="DM54" i="3" s="1"/>
  <c r="DL57" i="3"/>
  <c r="DL58" i="3"/>
  <c r="DN131" i="3"/>
  <c r="DO133" i="3" s="1"/>
  <c r="CW38" i="3" l="1"/>
  <c r="CW42" i="3" s="1"/>
  <c r="CW69" i="3" s="1"/>
  <c r="CW70" i="3" s="1"/>
  <c r="DM32" i="3"/>
  <c r="DN14" i="3"/>
  <c r="DN25" i="3"/>
  <c r="DN26" i="3" s="1"/>
  <c r="CX17" i="3"/>
  <c r="CY13" i="3" s="1"/>
  <c r="CX30" i="3"/>
  <c r="CX21" i="3"/>
  <c r="DM52" i="3"/>
  <c r="DN49" i="3" s="1"/>
  <c r="DM57" i="3"/>
  <c r="DN68" i="3"/>
  <c r="DN62" i="3"/>
  <c r="DN72" i="3" l="1"/>
  <c r="CW41" i="3"/>
  <c r="CW63" i="3" s="1"/>
  <c r="CW73" i="3" s="1"/>
  <c r="CX36" i="3"/>
  <c r="CX35" i="3"/>
  <c r="CY15" i="3"/>
  <c r="DM58" i="3"/>
  <c r="DN27" i="3"/>
  <c r="DN28" i="3" s="1"/>
  <c r="DO24" i="3" s="1"/>
  <c r="DO131" i="3"/>
  <c r="DP133" i="3" s="1"/>
  <c r="DN51" i="3"/>
  <c r="DN54" i="3" s="1"/>
  <c r="CW64" i="3" l="1"/>
  <c r="CX38" i="3"/>
  <c r="CX42" i="3" s="1"/>
  <c r="CX69" i="3" s="1"/>
  <c r="DN32" i="3"/>
  <c r="DO14" i="3"/>
  <c r="DO25" i="3"/>
  <c r="DO26" i="3" s="1"/>
  <c r="CY16" i="3"/>
  <c r="CY19" i="3" s="1"/>
  <c r="DN52" i="3"/>
  <c r="DO49" i="3" s="1"/>
  <c r="DO68" i="3"/>
  <c r="DO62" i="3"/>
  <c r="DO72" i="3" l="1"/>
  <c r="CX41" i="3"/>
  <c r="CX63" i="3" s="1"/>
  <c r="CX64" i="3" s="1"/>
  <c r="CX70" i="3"/>
  <c r="CY30" i="3"/>
  <c r="CY21" i="3"/>
  <c r="CY17" i="3"/>
  <c r="CZ13" i="3" s="1"/>
  <c r="DO27" i="3"/>
  <c r="DO28" i="3" s="1"/>
  <c r="DP24" i="3" s="1"/>
  <c r="DP131" i="3"/>
  <c r="DQ133" i="3" s="1"/>
  <c r="DN58" i="3"/>
  <c r="DN57" i="3"/>
  <c r="DO51" i="3"/>
  <c r="DO54" i="3" s="1"/>
  <c r="CX73" i="3" l="1"/>
  <c r="DO32" i="3"/>
  <c r="DP14" i="3"/>
  <c r="DP25" i="3"/>
  <c r="DP26" i="3" s="1"/>
  <c r="CY36" i="3"/>
  <c r="CY35" i="3"/>
  <c r="CZ15" i="3"/>
  <c r="CZ16" i="3" s="1"/>
  <c r="CZ19" i="3" s="1"/>
  <c r="DO52" i="3"/>
  <c r="DP49" i="3" s="1"/>
  <c r="DP68" i="3"/>
  <c r="DP62" i="3"/>
  <c r="CY38" i="3" l="1"/>
  <c r="CY42" i="3" s="1"/>
  <c r="CY69" i="3" s="1"/>
  <c r="DP72" i="3"/>
  <c r="CZ17" i="3"/>
  <c r="DA13" i="3" s="1"/>
  <c r="DA15" i="3" s="1"/>
  <c r="CZ21" i="3"/>
  <c r="CZ30" i="3"/>
  <c r="DP27" i="3"/>
  <c r="DP28" i="3" s="1"/>
  <c r="DQ24" i="3" s="1"/>
  <c r="DQ131" i="3"/>
  <c r="DR133" i="3" s="1"/>
  <c r="DP51" i="3"/>
  <c r="DP54" i="3" s="1"/>
  <c r="DO57" i="3"/>
  <c r="DO58" i="3"/>
  <c r="CY41" i="3" l="1"/>
  <c r="CY63" i="3" s="1"/>
  <c r="CY64" i="3" s="1"/>
  <c r="CY70" i="3"/>
  <c r="DA16" i="3"/>
  <c r="DA19" i="3" s="1"/>
  <c r="DP32" i="3"/>
  <c r="DQ14" i="3"/>
  <c r="DQ25" i="3"/>
  <c r="DQ26" i="3" s="1"/>
  <c r="CZ36" i="3"/>
  <c r="CZ35" i="3"/>
  <c r="DP52" i="3"/>
  <c r="DQ49" i="3" s="1"/>
  <c r="DQ62" i="3"/>
  <c r="DQ68" i="3"/>
  <c r="CY73" i="3" l="1"/>
  <c r="CZ38" i="3"/>
  <c r="CZ42" i="3" s="1"/>
  <c r="CZ69" i="3" s="1"/>
  <c r="DA17" i="3"/>
  <c r="DB13" i="3" s="1"/>
  <c r="DB15" i="3" s="1"/>
  <c r="DA30" i="3"/>
  <c r="DA35" i="3" s="1"/>
  <c r="DA21" i="3"/>
  <c r="DQ72" i="3"/>
  <c r="DQ27" i="3"/>
  <c r="DQ28" i="3" s="1"/>
  <c r="DR24" i="3" s="1"/>
  <c r="DR131" i="3"/>
  <c r="DS133" i="3" s="1"/>
  <c r="DP58" i="3"/>
  <c r="DP57" i="3"/>
  <c r="DQ51" i="3"/>
  <c r="DQ54" i="3" s="1"/>
  <c r="CZ41" i="3" l="1"/>
  <c r="CZ63" i="3" s="1"/>
  <c r="CZ73" i="3" s="1"/>
  <c r="DA36" i="3"/>
  <c r="DA38" i="3" s="1"/>
  <c r="DQ32" i="3"/>
  <c r="DR14" i="3"/>
  <c r="DR25" i="3"/>
  <c r="DR26" i="3" s="1"/>
  <c r="CZ70" i="3"/>
  <c r="DQ52" i="3"/>
  <c r="DR49" i="3" s="1"/>
  <c r="DR68" i="3"/>
  <c r="DR62" i="3"/>
  <c r="DB16" i="3"/>
  <c r="DB19" i="3" s="1"/>
  <c r="CZ64" i="3" l="1"/>
  <c r="DA42" i="3"/>
  <c r="DA69" i="3" s="1"/>
  <c r="DA70" i="3" s="1"/>
  <c r="DA41" i="3"/>
  <c r="DA63" i="3" s="1"/>
  <c r="DA64" i="3" s="1"/>
  <c r="DR72" i="3"/>
  <c r="DB21" i="3"/>
  <c r="DB30" i="3"/>
  <c r="DB17" i="3"/>
  <c r="DC13" i="3" s="1"/>
  <c r="DC15" i="3" s="1"/>
  <c r="DR27" i="3"/>
  <c r="DR28" i="3" s="1"/>
  <c r="DS24" i="3" s="1"/>
  <c r="DS131" i="3"/>
  <c r="DT133" i="3" s="1"/>
  <c r="DQ57" i="3"/>
  <c r="DQ58" i="3"/>
  <c r="DR51" i="3"/>
  <c r="DR54" i="3" s="1"/>
  <c r="DA73" i="3" l="1"/>
  <c r="DR32" i="3"/>
  <c r="DS25" i="3"/>
  <c r="DS26" i="3" s="1"/>
  <c r="DS14" i="3"/>
  <c r="DB36" i="3"/>
  <c r="DB35" i="3"/>
  <c r="DR52" i="3"/>
  <c r="DS49" i="3" s="1"/>
  <c r="DR58" i="3"/>
  <c r="DS62" i="3"/>
  <c r="DS68" i="3"/>
  <c r="DC16" i="3"/>
  <c r="DC19" i="3" s="1"/>
  <c r="DS72" i="3" l="1"/>
  <c r="DB38" i="3"/>
  <c r="DB41" i="3" s="1"/>
  <c r="DB63" i="3" s="1"/>
  <c r="DB64" i="3" s="1"/>
  <c r="DC21" i="3"/>
  <c r="DC30" i="3"/>
  <c r="DR57" i="3"/>
  <c r="DC17" i="3"/>
  <c r="DD13" i="3" s="1"/>
  <c r="DD15" i="3" s="1"/>
  <c r="DS27" i="3"/>
  <c r="DS28" i="3" s="1"/>
  <c r="DT24" i="3" s="1"/>
  <c r="DS51" i="3"/>
  <c r="DS54" i="3" s="1"/>
  <c r="DT131" i="3"/>
  <c r="DU133" i="3" s="1"/>
  <c r="DB42" i="3" l="1"/>
  <c r="DB69" i="3" s="1"/>
  <c r="DB70" i="3" s="1"/>
  <c r="DS32" i="3"/>
  <c r="DT25" i="3"/>
  <c r="DT26" i="3" s="1"/>
  <c r="DT14" i="3"/>
  <c r="DC35" i="3"/>
  <c r="DC36" i="3"/>
  <c r="DT68" i="3"/>
  <c r="DT62" i="3"/>
  <c r="DS52" i="3"/>
  <c r="DT49" i="3" s="1"/>
  <c r="DD16" i="3"/>
  <c r="DD19" i="3" s="1"/>
  <c r="DT72" i="3" l="1"/>
  <c r="DB73" i="3"/>
  <c r="DC38" i="3"/>
  <c r="DC42" i="3" s="1"/>
  <c r="DC69" i="3" s="1"/>
  <c r="DD21" i="3"/>
  <c r="DD30" i="3"/>
  <c r="DD17" i="3"/>
  <c r="DE13" i="3" s="1"/>
  <c r="DE15" i="3" s="1"/>
  <c r="DT27" i="3"/>
  <c r="DT28" i="3" s="1"/>
  <c r="DU24" i="3" s="1"/>
  <c r="DS57" i="3"/>
  <c r="DS58" i="3"/>
  <c r="DT51" i="3"/>
  <c r="DT54" i="3" s="1"/>
  <c r="DU131" i="3"/>
  <c r="DV133" i="3" s="1"/>
  <c r="DC70" i="3" l="1"/>
  <c r="DC41" i="3"/>
  <c r="DC63" i="3" s="1"/>
  <c r="DC64" i="3" s="1"/>
  <c r="DT32" i="3"/>
  <c r="DU14" i="3"/>
  <c r="DU25" i="3"/>
  <c r="DU26" i="3" s="1"/>
  <c r="DD36" i="3"/>
  <c r="DD35" i="3"/>
  <c r="DT52" i="3"/>
  <c r="DU49" i="3" s="1"/>
  <c r="DU68" i="3"/>
  <c r="DU62" i="3"/>
  <c r="DE16" i="3"/>
  <c r="DE19" i="3" s="1"/>
  <c r="DC73" i="3" l="1"/>
  <c r="DU72" i="3"/>
  <c r="DD38" i="3"/>
  <c r="DD42" i="3" s="1"/>
  <c r="DD69" i="3" s="1"/>
  <c r="DD70" i="3" s="1"/>
  <c r="DE21" i="3"/>
  <c r="DU27" i="3"/>
  <c r="DU28" i="3" s="1"/>
  <c r="DV24" i="3" s="1"/>
  <c r="DE30" i="3"/>
  <c r="DU51" i="3"/>
  <c r="DU54" i="3" s="1"/>
  <c r="DT57" i="3"/>
  <c r="DT58" i="3"/>
  <c r="DV131" i="3"/>
  <c r="DW133" i="3" s="1"/>
  <c r="DE17" i="3"/>
  <c r="DF13" i="3" s="1"/>
  <c r="DF15" i="3" s="1"/>
  <c r="DD41" i="3" l="1"/>
  <c r="DD63" i="3" s="1"/>
  <c r="DD73" i="3" s="1"/>
  <c r="DU32" i="3"/>
  <c r="DV14" i="3"/>
  <c r="DV25" i="3"/>
  <c r="DV26" i="3" s="1"/>
  <c r="DE35" i="3"/>
  <c r="DE36" i="3"/>
  <c r="DU52" i="3"/>
  <c r="DV49" i="3" s="1"/>
  <c r="DU58" i="3"/>
  <c r="DU57" i="3"/>
  <c r="DV68" i="3"/>
  <c r="DV62" i="3"/>
  <c r="DD64" i="3" l="1"/>
  <c r="DV72" i="3"/>
  <c r="DE38" i="3"/>
  <c r="DE42" i="3" s="1"/>
  <c r="DE69" i="3" s="1"/>
  <c r="DV27" i="3"/>
  <c r="DV28" i="3" s="1"/>
  <c r="DW24" i="3" s="1"/>
  <c r="DW131" i="3"/>
  <c r="DX133" i="3" s="1"/>
  <c r="DV51" i="3"/>
  <c r="DV54" i="3" s="1"/>
  <c r="DF16" i="3"/>
  <c r="DF19" i="3" s="1"/>
  <c r="DE41" i="3" l="1"/>
  <c r="DE63" i="3" s="1"/>
  <c r="DE64" i="3" s="1"/>
  <c r="DV32" i="3"/>
  <c r="DW14" i="3"/>
  <c r="DW25" i="3"/>
  <c r="DW26" i="3" s="1"/>
  <c r="DE70" i="3"/>
  <c r="DF21" i="3"/>
  <c r="DF30" i="3"/>
  <c r="DF17" i="3"/>
  <c r="DG13" i="3" s="1"/>
  <c r="DV52" i="3"/>
  <c r="DW49" i="3" s="1"/>
  <c r="DW62" i="3"/>
  <c r="DW68" i="3"/>
  <c r="DE73" i="3" l="1"/>
  <c r="DW72" i="3"/>
  <c r="DF36" i="3"/>
  <c r="DF35" i="3"/>
  <c r="DW51" i="3"/>
  <c r="DW54" i="3" s="1"/>
  <c r="DW58" i="3" s="1"/>
  <c r="DG15" i="3"/>
  <c r="DG16" i="3" s="1"/>
  <c r="DG19" i="3" s="1"/>
  <c r="DW27" i="3"/>
  <c r="DW28" i="3" s="1"/>
  <c r="DX24" i="3" s="1"/>
  <c r="DV58" i="3"/>
  <c r="DV57" i="3"/>
  <c r="DX131" i="3"/>
  <c r="DY133" i="3" s="1"/>
  <c r="DF38" i="3" l="1"/>
  <c r="DF41" i="3" s="1"/>
  <c r="DF63" i="3" s="1"/>
  <c r="DW52" i="3"/>
  <c r="DX49" i="3" s="1"/>
  <c r="DW32" i="3"/>
  <c r="DX14" i="3"/>
  <c r="DX25" i="3"/>
  <c r="DX26" i="3" s="1"/>
  <c r="DG21" i="3"/>
  <c r="DG30" i="3"/>
  <c r="DG17" i="3"/>
  <c r="DH13" i="3" s="1"/>
  <c r="DH15" i="3" s="1"/>
  <c r="DF64" i="3"/>
  <c r="DW57" i="3"/>
  <c r="DX62" i="3"/>
  <c r="DX68" i="3"/>
  <c r="DF42" i="3" l="1"/>
  <c r="DF69" i="3" s="1"/>
  <c r="DF73" i="3" s="1"/>
  <c r="DX72" i="3"/>
  <c r="DG36" i="3"/>
  <c r="DG35" i="3"/>
  <c r="DH16" i="3"/>
  <c r="DH19" i="3" s="1"/>
  <c r="DX51" i="3"/>
  <c r="DX54" i="3" s="1"/>
  <c r="DX27" i="3"/>
  <c r="DX28" i="3" s="1"/>
  <c r="DY24" i="3" s="1"/>
  <c r="DY131" i="3"/>
  <c r="DZ133" i="3" s="1"/>
  <c r="DF70" i="3" l="1"/>
  <c r="DG38" i="3"/>
  <c r="DX32" i="3"/>
  <c r="DH21" i="3"/>
  <c r="DH17" i="3"/>
  <c r="DI13" i="3" s="1"/>
  <c r="DI15" i="3" s="1"/>
  <c r="DI16" i="3" s="1"/>
  <c r="DI19" i="3" s="1"/>
  <c r="DY14" i="3"/>
  <c r="DY25" i="3"/>
  <c r="DH30" i="3"/>
  <c r="DX52" i="3"/>
  <c r="DY49" i="3" s="1"/>
  <c r="DX58" i="3"/>
  <c r="DY62" i="3"/>
  <c r="DY68" i="3"/>
  <c r="DY72" i="3" l="1"/>
  <c r="DG41" i="3"/>
  <c r="DG63" i="3" s="1"/>
  <c r="DG42" i="3"/>
  <c r="DG69" i="3" s="1"/>
  <c r="DY26" i="3"/>
  <c r="DY27" i="3" s="1"/>
  <c r="DH36" i="3"/>
  <c r="DH35" i="3"/>
  <c r="DI21" i="3"/>
  <c r="DI17" i="3"/>
  <c r="DJ13" i="3" s="1"/>
  <c r="DJ15" i="3" s="1"/>
  <c r="DI30" i="3"/>
  <c r="DX57" i="3"/>
  <c r="DY51" i="3"/>
  <c r="DY54" i="3" s="1"/>
  <c r="DZ131" i="3"/>
  <c r="EA133" i="3" s="1"/>
  <c r="DY28" i="3" l="1"/>
  <c r="DZ24" i="3" s="1"/>
  <c r="DY32" i="3"/>
  <c r="DG70" i="3"/>
  <c r="DG73" i="3"/>
  <c r="DG64" i="3"/>
  <c r="DH38" i="3"/>
  <c r="DH41" i="3" s="1"/>
  <c r="DH63" i="3" s="1"/>
  <c r="DZ14" i="3"/>
  <c r="DZ25" i="3"/>
  <c r="DI36" i="3"/>
  <c r="DI35" i="3"/>
  <c r="DJ16" i="3"/>
  <c r="DJ19" i="3" s="1"/>
  <c r="DY52" i="3"/>
  <c r="DZ49" i="3" s="1"/>
  <c r="DZ68" i="3"/>
  <c r="DZ62" i="3"/>
  <c r="DI38" i="3" l="1"/>
  <c r="DI42" i="3" s="1"/>
  <c r="DI69" i="3" s="1"/>
  <c r="DZ72" i="3"/>
  <c r="DH42" i="3"/>
  <c r="DH69" i="3" s="1"/>
  <c r="DH64" i="3"/>
  <c r="DZ26" i="3"/>
  <c r="DZ27" i="3" s="1"/>
  <c r="DZ28" i="3" s="1"/>
  <c r="EA24" i="3" s="1"/>
  <c r="DJ21" i="3"/>
  <c r="DJ17" i="3"/>
  <c r="DK13" i="3" s="1"/>
  <c r="DK15" i="3" s="1"/>
  <c r="DJ30" i="3"/>
  <c r="DY57" i="3"/>
  <c r="DY58" i="3"/>
  <c r="DZ51" i="3"/>
  <c r="DZ54" i="3" s="1"/>
  <c r="EA131" i="3"/>
  <c r="EB133" i="3" s="1"/>
  <c r="DI41" i="3" l="1"/>
  <c r="DI63" i="3" s="1"/>
  <c r="DI64" i="3" s="1"/>
  <c r="DH73" i="3"/>
  <c r="DH70" i="3"/>
  <c r="DZ32" i="3"/>
  <c r="DK16" i="3"/>
  <c r="DK19" i="3" s="1"/>
  <c r="EA14" i="3"/>
  <c r="EA25" i="3"/>
  <c r="DJ35" i="3"/>
  <c r="DJ36" i="3"/>
  <c r="DI70" i="3"/>
  <c r="DZ52" i="3"/>
  <c r="EA49" i="3" s="1"/>
  <c r="DZ57" i="3"/>
  <c r="EA68" i="3"/>
  <c r="EA62" i="3"/>
  <c r="DI73" i="3" l="1"/>
  <c r="DK17" i="3"/>
  <c r="DL13" i="3" s="1"/>
  <c r="DL15" i="3" s="1"/>
  <c r="DK30" i="3"/>
  <c r="DK35" i="3" s="1"/>
  <c r="EA72" i="3"/>
  <c r="DK21" i="3"/>
  <c r="EA26" i="3"/>
  <c r="EA27" i="3" s="1"/>
  <c r="DJ38" i="3"/>
  <c r="DJ42" i="3" s="1"/>
  <c r="DJ69" i="3" s="1"/>
  <c r="DZ58" i="3"/>
  <c r="EA51" i="3"/>
  <c r="EA54" i="3" s="1"/>
  <c r="EB131" i="3"/>
  <c r="EC133" i="3" s="1"/>
  <c r="DL16" i="3" l="1"/>
  <c r="DL19" i="3" s="1"/>
  <c r="DK36" i="3"/>
  <c r="DK38" i="3" s="1"/>
  <c r="DK42" i="3" s="1"/>
  <c r="DK69" i="3" s="1"/>
  <c r="DJ41" i="3"/>
  <c r="DJ63" i="3" s="1"/>
  <c r="DJ64" i="3" s="1"/>
  <c r="EA28" i="3"/>
  <c r="EB24" i="3" s="1"/>
  <c r="EA32" i="3"/>
  <c r="EB25" i="3"/>
  <c r="EB14" i="3"/>
  <c r="DJ70" i="3"/>
  <c r="EA52" i="3"/>
  <c r="EB49" i="3" s="1"/>
  <c r="EB68" i="3"/>
  <c r="EB62" i="3"/>
  <c r="DL30" i="3" l="1"/>
  <c r="DL17" i="3"/>
  <c r="DM13" i="3" s="1"/>
  <c r="DM15" i="3" s="1"/>
  <c r="DM16" i="3" s="1"/>
  <c r="DM19" i="3" s="1"/>
  <c r="EB72" i="3"/>
  <c r="DL21" i="3"/>
  <c r="DJ73" i="3"/>
  <c r="EB26" i="3"/>
  <c r="EB27" i="3" s="1"/>
  <c r="EB28" i="3" s="1"/>
  <c r="EC24" i="3" s="1"/>
  <c r="DK41" i="3"/>
  <c r="DK63" i="3" s="1"/>
  <c r="DK73" i="3" s="1"/>
  <c r="DK70" i="3"/>
  <c r="DL36" i="3"/>
  <c r="DL35" i="3"/>
  <c r="EA57" i="3"/>
  <c r="EA58" i="3"/>
  <c r="EB51" i="3"/>
  <c r="EB54" i="3" s="1"/>
  <c r="EC131" i="3"/>
  <c r="ED133" i="3" s="1"/>
  <c r="DL38" i="3" l="1"/>
  <c r="DL41" i="3" s="1"/>
  <c r="DL63" i="3" s="1"/>
  <c r="DK64" i="3"/>
  <c r="EB32" i="3"/>
  <c r="EC25" i="3"/>
  <c r="EC26" i="3" s="1"/>
  <c r="EC14" i="3"/>
  <c r="DM21" i="3"/>
  <c r="EB52" i="3"/>
  <c r="EC49" i="3" s="1"/>
  <c r="DM30" i="3"/>
  <c r="EB57" i="3"/>
  <c r="EC68" i="3"/>
  <c r="EC62" i="3"/>
  <c r="EB58" i="3"/>
  <c r="DM17" i="3"/>
  <c r="DN13" i="3" s="1"/>
  <c r="DN15" i="3" s="1"/>
  <c r="EC72" i="3" l="1"/>
  <c r="DL42" i="3"/>
  <c r="DL69" i="3" s="1"/>
  <c r="DL70" i="3" s="1"/>
  <c r="DM36" i="3"/>
  <c r="DM35" i="3"/>
  <c r="DL64" i="3"/>
  <c r="EC51" i="3"/>
  <c r="EC54" i="3" s="1"/>
  <c r="EC27" i="3"/>
  <c r="EC28" i="3" s="1"/>
  <c r="ED24" i="3" s="1"/>
  <c r="ED131" i="3"/>
  <c r="EE133" i="3" s="1"/>
  <c r="DL73" i="3" l="1"/>
  <c r="DM38" i="3"/>
  <c r="DM42" i="3" s="1"/>
  <c r="DM69" i="3" s="1"/>
  <c r="EC32" i="3"/>
  <c r="ED14" i="3"/>
  <c r="ED25" i="3"/>
  <c r="ED26" i="3" s="1"/>
  <c r="EC52" i="3"/>
  <c r="ED49" i="3" s="1"/>
  <c r="EC58" i="3"/>
  <c r="ED68" i="3"/>
  <c r="ED62" i="3"/>
  <c r="DN16" i="3"/>
  <c r="DN19" i="3" s="1"/>
  <c r="DM41" i="3" l="1"/>
  <c r="DM63" i="3" s="1"/>
  <c r="DM73" i="3" s="1"/>
  <c r="ED72" i="3"/>
  <c r="DM70" i="3"/>
  <c r="DN21" i="3"/>
  <c r="DN30" i="3"/>
  <c r="EC57" i="3"/>
  <c r="DN17" i="3"/>
  <c r="DO13" i="3" s="1"/>
  <c r="ED27" i="3"/>
  <c r="ED28" i="3" s="1"/>
  <c r="EE24" i="3" s="1"/>
  <c r="ED51" i="3"/>
  <c r="ED54" i="3" s="1"/>
  <c r="EE131" i="3"/>
  <c r="EF133" i="3" s="1"/>
  <c r="DM64" i="3" l="1"/>
  <c r="ED32" i="3"/>
  <c r="EE14" i="3"/>
  <c r="EE25" i="3"/>
  <c r="EE26" i="3" s="1"/>
  <c r="DN36" i="3"/>
  <c r="DN35" i="3"/>
  <c r="DO15" i="3"/>
  <c r="DO16" i="3" s="1"/>
  <c r="DO19" i="3" s="1"/>
  <c r="ED52" i="3"/>
  <c r="EE49" i="3" s="1"/>
  <c r="ED58" i="3"/>
  <c r="EE62" i="3"/>
  <c r="EE68" i="3"/>
  <c r="DN38" i="3" l="1"/>
  <c r="DN42" i="3" s="1"/>
  <c r="DN69" i="3" s="1"/>
  <c r="DN70" i="3" s="1"/>
  <c r="EE72" i="3"/>
  <c r="DO30" i="3"/>
  <c r="DO17" i="3"/>
  <c r="DP13" i="3" s="1"/>
  <c r="DP15" i="3" s="1"/>
  <c r="DP16" i="3" s="1"/>
  <c r="DP19" i="3" s="1"/>
  <c r="DO21" i="3"/>
  <c r="ED57" i="3"/>
  <c r="EE51" i="3"/>
  <c r="EE54" i="3" s="1"/>
  <c r="EE27" i="3"/>
  <c r="EE28" i="3" s="1"/>
  <c r="EF24" i="3" s="1"/>
  <c r="EF131" i="3"/>
  <c r="EG133" i="3" s="1"/>
  <c r="DN41" i="3" l="1"/>
  <c r="DN63" i="3" s="1"/>
  <c r="DN73" i="3" s="1"/>
  <c r="EE32" i="3"/>
  <c r="EF14" i="3"/>
  <c r="EF25" i="3"/>
  <c r="EF26" i="3" s="1"/>
  <c r="DO36" i="3"/>
  <c r="DO35" i="3"/>
  <c r="DP21" i="3"/>
  <c r="EE52" i="3"/>
  <c r="EF49" i="3" s="1"/>
  <c r="DP30" i="3"/>
  <c r="EE57" i="3"/>
  <c r="DP17" i="3"/>
  <c r="DQ13" i="3" s="1"/>
  <c r="DQ15" i="3" s="1"/>
  <c r="EF62" i="3"/>
  <c r="EF68" i="3"/>
  <c r="DN64" i="3" l="1"/>
  <c r="EF72" i="3"/>
  <c r="DO38" i="3"/>
  <c r="DO41" i="3" s="1"/>
  <c r="DO63" i="3" s="1"/>
  <c r="DO64" i="3" s="1"/>
  <c r="DP35" i="3"/>
  <c r="DP36" i="3"/>
  <c r="EE58" i="3"/>
  <c r="EF27" i="3"/>
  <c r="EF28" i="3" s="1"/>
  <c r="EG24" i="3" s="1"/>
  <c r="EF51" i="3"/>
  <c r="EF54" i="3" s="1"/>
  <c r="EG131" i="3"/>
  <c r="EH133" i="3" s="1"/>
  <c r="DQ16" i="3"/>
  <c r="DQ19" i="3" s="1"/>
  <c r="DP38" i="3" l="1"/>
  <c r="DP42" i="3" s="1"/>
  <c r="DP69" i="3" s="1"/>
  <c r="DP70" i="3" s="1"/>
  <c r="DO42" i="3"/>
  <c r="DO69" i="3" s="1"/>
  <c r="DO70" i="3" s="1"/>
  <c r="EF32" i="3"/>
  <c r="EG14" i="3"/>
  <c r="EG25" i="3"/>
  <c r="EG26" i="3" s="1"/>
  <c r="DQ21" i="3"/>
  <c r="EF52" i="3"/>
  <c r="EG49" i="3" s="1"/>
  <c r="DQ30" i="3"/>
  <c r="DQ17" i="3"/>
  <c r="DR13" i="3" s="1"/>
  <c r="EG68" i="3"/>
  <c r="EG62" i="3"/>
  <c r="DP41" i="3" l="1"/>
  <c r="DP63" i="3" s="1"/>
  <c r="DP73" i="3" s="1"/>
  <c r="DO73" i="3"/>
  <c r="EG72" i="3"/>
  <c r="DQ36" i="3"/>
  <c r="DQ35" i="3"/>
  <c r="DR15" i="3"/>
  <c r="DR16" i="3" s="1"/>
  <c r="DR19" i="3" s="1"/>
  <c r="EG27" i="3"/>
  <c r="EG28" i="3" s="1"/>
  <c r="EH24" i="3" s="1"/>
  <c r="EF57" i="3"/>
  <c r="EF58" i="3"/>
  <c r="EH131" i="3"/>
  <c r="EI133" i="3" s="1"/>
  <c r="EG51" i="3"/>
  <c r="EG54" i="3" s="1"/>
  <c r="DP64" i="3" l="1"/>
  <c r="DQ38" i="3"/>
  <c r="DQ42" i="3" s="1"/>
  <c r="DQ69" i="3" s="1"/>
  <c r="DQ70" i="3" s="1"/>
  <c r="EG32" i="3"/>
  <c r="EH14" i="3"/>
  <c r="EH25" i="3"/>
  <c r="EH26" i="3" s="1"/>
  <c r="DR30" i="3"/>
  <c r="DR17" i="3"/>
  <c r="DS13" i="3" s="1"/>
  <c r="DS15" i="3" s="1"/>
  <c r="DR21" i="3"/>
  <c r="EG52" i="3"/>
  <c r="EH49" i="3" s="1"/>
  <c r="EH62" i="3"/>
  <c r="EH68" i="3"/>
  <c r="DQ41" i="3" l="1"/>
  <c r="DQ63" i="3" s="1"/>
  <c r="DQ73" i="3" s="1"/>
  <c r="EH72" i="3"/>
  <c r="DR36" i="3"/>
  <c r="DR35" i="3"/>
  <c r="DS16" i="3"/>
  <c r="DS19" i="3" s="1"/>
  <c r="EH51" i="3"/>
  <c r="EH54" i="3" s="1"/>
  <c r="EH57" i="3" s="1"/>
  <c r="EH27" i="3"/>
  <c r="EH28" i="3" s="1"/>
  <c r="EI24" i="3" s="1"/>
  <c r="EG57" i="3"/>
  <c r="EG58" i="3"/>
  <c r="EI131" i="3"/>
  <c r="EJ133" i="3" s="1"/>
  <c r="DQ64" i="3" l="1"/>
  <c r="DR38" i="3"/>
  <c r="DR42" i="3" s="1"/>
  <c r="DR69" i="3" s="1"/>
  <c r="EH32" i="3"/>
  <c r="DS30" i="3"/>
  <c r="DS36" i="3" s="1"/>
  <c r="DS17" i="3"/>
  <c r="DT13" i="3" s="1"/>
  <c r="DT15" i="3" s="1"/>
  <c r="EI14" i="3"/>
  <c r="EI25" i="3"/>
  <c r="DS21" i="3"/>
  <c r="EH52" i="3"/>
  <c r="EI49" i="3" s="1"/>
  <c r="EH58" i="3"/>
  <c r="EI62" i="3"/>
  <c r="EI68" i="3"/>
  <c r="DR41" i="3" l="1"/>
  <c r="DR63" i="3" s="1"/>
  <c r="DR73" i="3" s="1"/>
  <c r="EI72" i="3"/>
  <c r="DS35" i="3"/>
  <c r="DS38" i="3" s="1"/>
  <c r="DS42" i="3" s="1"/>
  <c r="DS69" i="3" s="1"/>
  <c r="EI26" i="3"/>
  <c r="EI27" i="3" s="1"/>
  <c r="EI28" i="3" s="1"/>
  <c r="EJ24" i="3" s="1"/>
  <c r="DR70" i="3"/>
  <c r="EJ131" i="3"/>
  <c r="EK133" i="3" s="1"/>
  <c r="EI51" i="3"/>
  <c r="EI54" i="3" s="1"/>
  <c r="DT16" i="3"/>
  <c r="DT19" i="3" s="1"/>
  <c r="DR64" i="3" l="1"/>
  <c r="DS41" i="3"/>
  <c r="DS63" i="3" s="1"/>
  <c r="DS73" i="3" s="1"/>
  <c r="EI32" i="3"/>
  <c r="EJ25" i="3"/>
  <c r="EJ26" i="3" s="1"/>
  <c r="EJ14" i="3"/>
  <c r="DS70" i="3"/>
  <c r="DT21" i="3"/>
  <c r="EI52" i="3"/>
  <c r="EJ49" i="3" s="1"/>
  <c r="DT30" i="3"/>
  <c r="EI58" i="3"/>
  <c r="EJ62" i="3"/>
  <c r="EJ68" i="3"/>
  <c r="DT17" i="3"/>
  <c r="DU13" i="3" s="1"/>
  <c r="DU15" i="3" s="1"/>
  <c r="DS64" i="3" l="1"/>
  <c r="EJ72" i="3"/>
  <c r="DT36" i="3"/>
  <c r="DT35" i="3"/>
  <c r="EI57" i="3"/>
  <c r="EJ27" i="3"/>
  <c r="EJ28" i="3" s="1"/>
  <c r="EK24" i="3" s="1"/>
  <c r="EJ51" i="3"/>
  <c r="EJ54" i="3" s="1"/>
  <c r="EK131" i="3"/>
  <c r="EL133" i="3" s="1"/>
  <c r="DT38" i="3" l="1"/>
  <c r="DT42" i="3" s="1"/>
  <c r="DT69" i="3" s="1"/>
  <c r="EJ32" i="3"/>
  <c r="EK14" i="3"/>
  <c r="EK25" i="3"/>
  <c r="EK26" i="3" s="1"/>
  <c r="EJ52" i="3"/>
  <c r="EK49" i="3" s="1"/>
  <c r="EJ58" i="3"/>
  <c r="EK68" i="3"/>
  <c r="EK62" i="3"/>
  <c r="DU16" i="3"/>
  <c r="DU19" i="3" s="1"/>
  <c r="DT41" i="3" l="1"/>
  <c r="DT63" i="3" s="1"/>
  <c r="DT73" i="3" s="1"/>
  <c r="EK72" i="3"/>
  <c r="DT70" i="3"/>
  <c r="DU21" i="3"/>
  <c r="DT64" i="3"/>
  <c r="EJ57" i="3"/>
  <c r="DU30" i="3"/>
  <c r="EK27" i="3"/>
  <c r="EK28" i="3" s="1"/>
  <c r="EL24" i="3" s="1"/>
  <c r="EL131" i="3"/>
  <c r="EM133" i="3" s="1"/>
  <c r="EK51" i="3"/>
  <c r="EK54" i="3" s="1"/>
  <c r="DU17" i="3"/>
  <c r="DV13" i="3" s="1"/>
  <c r="DV15" i="3" s="1"/>
  <c r="EK32" i="3" l="1"/>
  <c r="EL25" i="3"/>
  <c r="EL14" i="3"/>
  <c r="DU35" i="3"/>
  <c r="DU36" i="3"/>
  <c r="EK52" i="3"/>
  <c r="EL49" i="3" s="1"/>
  <c r="EL68" i="3"/>
  <c r="EL62" i="3"/>
  <c r="DU38" i="3" l="1"/>
  <c r="DU41" i="3" s="1"/>
  <c r="DU63" i="3" s="1"/>
  <c r="EL72" i="3"/>
  <c r="EL26" i="3"/>
  <c r="EL27" i="3" s="1"/>
  <c r="EL28" i="3" s="1"/>
  <c r="EM24" i="3" s="1"/>
  <c r="EL51" i="3"/>
  <c r="EL54" i="3" s="1"/>
  <c r="EK58" i="3"/>
  <c r="EK57" i="3"/>
  <c r="EM131" i="3"/>
  <c r="EN133" i="3" s="1"/>
  <c r="DV16" i="3"/>
  <c r="DV19" i="3" s="1"/>
  <c r="DU42" i="3" l="1"/>
  <c r="DU69" i="3" s="1"/>
  <c r="DU73" i="3" s="1"/>
  <c r="EL32" i="3"/>
  <c r="EM25" i="3"/>
  <c r="EM26" i="3" s="1"/>
  <c r="EM14" i="3"/>
  <c r="DV21" i="3"/>
  <c r="DU64" i="3"/>
  <c r="EL52" i="3"/>
  <c r="EM49" i="3" s="1"/>
  <c r="EL57" i="3"/>
  <c r="DV30" i="3"/>
  <c r="EM62" i="3"/>
  <c r="EM68" i="3"/>
  <c r="DV17" i="3"/>
  <c r="DW13" i="3" s="1"/>
  <c r="DW15" i="3" s="1"/>
  <c r="DU70" i="3" l="1"/>
  <c r="EM72" i="3"/>
  <c r="DV35" i="3"/>
  <c r="DV36" i="3"/>
  <c r="EM27" i="3"/>
  <c r="EM28" i="3" s="1"/>
  <c r="EN24" i="3" s="1"/>
  <c r="EL58" i="3"/>
  <c r="EM51" i="3"/>
  <c r="EM54" i="3" s="1"/>
  <c r="EN131" i="3"/>
  <c r="EO133" i="3" s="1"/>
  <c r="DV38" i="3" l="1"/>
  <c r="DV41" i="3" s="1"/>
  <c r="DV63" i="3" s="1"/>
  <c r="EM32" i="3"/>
  <c r="EN14" i="3"/>
  <c r="EN25" i="3"/>
  <c r="EN26" i="3" s="1"/>
  <c r="EM52" i="3"/>
  <c r="EN49" i="3" s="1"/>
  <c r="EM57" i="3"/>
  <c r="EN68" i="3"/>
  <c r="EN62" i="3"/>
  <c r="DW16" i="3"/>
  <c r="DW19" i="3" s="1"/>
  <c r="DV42" i="3" l="1"/>
  <c r="DV69" i="3" s="1"/>
  <c r="DV70" i="3" s="1"/>
  <c r="EN72" i="3"/>
  <c r="DW21" i="3"/>
  <c r="DV64" i="3"/>
  <c r="DW30" i="3"/>
  <c r="EM58" i="3"/>
  <c r="DW17" i="3"/>
  <c r="DX13" i="3" s="1"/>
  <c r="DX15" i="3" s="1"/>
  <c r="EN27" i="3"/>
  <c r="EN28" i="3" s="1"/>
  <c r="EO24" i="3" s="1"/>
  <c r="EN51" i="3"/>
  <c r="EN54" i="3" s="1"/>
  <c r="EO131" i="3"/>
  <c r="EP133" i="3" s="1"/>
  <c r="DV73" i="3" l="1"/>
  <c r="EN32" i="3"/>
  <c r="EO25" i="3"/>
  <c r="EO26" i="3" s="1"/>
  <c r="EO14" i="3"/>
  <c r="DW35" i="3"/>
  <c r="DW36" i="3"/>
  <c r="EN52" i="3"/>
  <c r="EO49" i="3" s="1"/>
  <c r="EN57" i="3"/>
  <c r="EN58" i="3"/>
  <c r="EO62" i="3"/>
  <c r="EO68" i="3"/>
  <c r="DX16" i="3"/>
  <c r="DX19" i="3" s="1"/>
  <c r="DW38" i="3" l="1"/>
  <c r="DW41" i="3" s="1"/>
  <c r="DW63" i="3" s="1"/>
  <c r="EO72" i="3"/>
  <c r="DX21" i="3"/>
  <c r="DX30" i="3"/>
  <c r="EO27" i="3"/>
  <c r="EO28" i="3" s="1"/>
  <c r="EP24" i="3" s="1"/>
  <c r="EO51" i="3"/>
  <c r="EO54" i="3" s="1"/>
  <c r="EP131" i="3"/>
  <c r="EQ133" i="3" s="1"/>
  <c r="DX17" i="3"/>
  <c r="DY13" i="3" s="1"/>
  <c r="DY15" i="3" s="1"/>
  <c r="DW42" i="3" l="1"/>
  <c r="DW69" i="3" s="1"/>
  <c r="DW70" i="3" s="1"/>
  <c r="DW64" i="3"/>
  <c r="EO32" i="3"/>
  <c r="EP14" i="3"/>
  <c r="EP25" i="3"/>
  <c r="EP26" i="3" s="1"/>
  <c r="DX35" i="3"/>
  <c r="DX36" i="3"/>
  <c r="EO52" i="3"/>
  <c r="EP49" i="3" s="1"/>
  <c r="EO57" i="3"/>
  <c r="EO58" i="3"/>
  <c r="EP62" i="3"/>
  <c r="EP68" i="3"/>
  <c r="DW73" i="3" l="1"/>
  <c r="EQ131" i="3"/>
  <c r="ER133" i="3" s="1"/>
  <c r="EP72" i="3"/>
  <c r="DX38" i="3"/>
  <c r="DX42" i="3" s="1"/>
  <c r="DX69" i="3" s="1"/>
  <c r="EP27" i="3"/>
  <c r="EP28" i="3" s="1"/>
  <c r="EQ24" i="3" s="1"/>
  <c r="EP51" i="3"/>
  <c r="EP54" i="3" s="1"/>
  <c r="DY16" i="3"/>
  <c r="DY19" i="3" s="1"/>
  <c r="DX41" i="3" l="1"/>
  <c r="DX63" i="3" s="1"/>
  <c r="DX73" i="3" s="1"/>
  <c r="EP32" i="3"/>
  <c r="EQ14" i="3"/>
  <c r="EQ25" i="3"/>
  <c r="EQ26" i="3" s="1"/>
  <c r="DX70" i="3"/>
  <c r="DY21" i="3"/>
  <c r="EP52" i="3"/>
  <c r="EQ49" i="3" s="1"/>
  <c r="DY30" i="3"/>
  <c r="DY17" i="3"/>
  <c r="DZ13" i="3" s="1"/>
  <c r="DZ15" i="3" s="1"/>
  <c r="ER131" i="3"/>
  <c r="ES133" i="3" s="1"/>
  <c r="EP57" i="3"/>
  <c r="EQ62" i="3"/>
  <c r="EQ68" i="3"/>
  <c r="DX64" i="3" l="1"/>
  <c r="EQ72" i="3"/>
  <c r="ER25" i="3"/>
  <c r="ER14" i="3"/>
  <c r="DY36" i="3"/>
  <c r="DY35" i="3"/>
  <c r="EP58" i="3"/>
  <c r="ES131" i="3"/>
  <c r="ET133" i="3" s="1"/>
  <c r="EQ27" i="3"/>
  <c r="EQ28" i="3" s="1"/>
  <c r="ER24" i="3" s="1"/>
  <c r="ER68" i="3"/>
  <c r="ER62" i="3"/>
  <c r="EQ51" i="3"/>
  <c r="EQ54" i="3" s="1"/>
  <c r="DZ16" i="3"/>
  <c r="DZ19" i="3" s="1"/>
  <c r="ER72" i="3" l="1"/>
  <c r="ER26" i="3"/>
  <c r="DY38" i="3"/>
  <c r="DY42" i="3" s="1"/>
  <c r="DY69" i="3" s="1"/>
  <c r="EQ32" i="3"/>
  <c r="DZ21" i="3"/>
  <c r="DZ30" i="3"/>
  <c r="EQ52" i="3"/>
  <c r="ER49" i="3" s="1"/>
  <c r="DZ17" i="3"/>
  <c r="EA13" i="3" s="1"/>
  <c r="EA15" i="3" s="1"/>
  <c r="ER27" i="3" l="1"/>
  <c r="ER32" i="3" s="1"/>
  <c r="DY41" i="3"/>
  <c r="DY63" i="3" s="1"/>
  <c r="DY64" i="3" s="1"/>
  <c r="ER51" i="3"/>
  <c r="ER54" i="3" s="1"/>
  <c r="ER57" i="3" s="1"/>
  <c r="ES68" i="3"/>
  <c r="ES62" i="3"/>
  <c r="ES14" i="3"/>
  <c r="ES25" i="3"/>
  <c r="DZ36" i="3"/>
  <c r="DZ35" i="3"/>
  <c r="DY70" i="3"/>
  <c r="ET131" i="3"/>
  <c r="EU133" i="3" s="1"/>
  <c r="EQ57" i="3"/>
  <c r="EQ58" i="3"/>
  <c r="DY73" i="3" l="1"/>
  <c r="ER52" i="3"/>
  <c r="ES49" i="3" s="1"/>
  <c r="ES51" i="3" s="1"/>
  <c r="ES54" i="3" s="1"/>
  <c r="ER28" i="3"/>
  <c r="ES24" i="3" s="1"/>
  <c r="ES26" i="3" s="1"/>
  <c r="ES27" i="3" s="1"/>
  <c r="ES32" i="3" s="1"/>
  <c r="ES72" i="3"/>
  <c r="DZ38" i="3"/>
  <c r="DZ42" i="3" s="1"/>
  <c r="DZ69" i="3" s="1"/>
  <c r="ET14" i="3"/>
  <c r="ET25" i="3"/>
  <c r="ER58" i="3"/>
  <c r="ET62" i="3"/>
  <c r="ET68" i="3"/>
  <c r="EA16" i="3"/>
  <c r="EA19" i="3" s="1"/>
  <c r="DZ41" i="3" l="1"/>
  <c r="DZ63" i="3" s="1"/>
  <c r="DZ73" i="3" s="1"/>
  <c r="ET72" i="3"/>
  <c r="ES52" i="3"/>
  <c r="ET49" i="3" s="1"/>
  <c r="DZ70" i="3"/>
  <c r="EA21" i="3"/>
  <c r="EA30" i="3"/>
  <c r="ES28" i="3"/>
  <c r="ET24" i="3" s="1"/>
  <c r="EU131" i="3"/>
  <c r="EV133" i="3" s="1"/>
  <c r="EA17" i="3"/>
  <c r="EB13" i="3" s="1"/>
  <c r="EB15" i="3" s="1"/>
  <c r="ES58" i="3"/>
  <c r="ES57" i="3"/>
  <c r="ET51" i="3" l="1"/>
  <c r="ET54" i="3" s="1"/>
  <c r="ET57" i="3" s="1"/>
  <c r="DZ64" i="3"/>
  <c r="EU25" i="3"/>
  <c r="EU14" i="3"/>
  <c r="EA36" i="3"/>
  <c r="EA35" i="3"/>
  <c r="ET26" i="3"/>
  <c r="ET27" i="3" s="1"/>
  <c r="ET32" i="3" s="1"/>
  <c r="EU68" i="3"/>
  <c r="EU62" i="3"/>
  <c r="EB16" i="3"/>
  <c r="EB19" i="3" s="1"/>
  <c r="ET52" i="3" l="1"/>
  <c r="EU49" i="3" s="1"/>
  <c r="EU51" i="3" s="1"/>
  <c r="EU54" i="3" s="1"/>
  <c r="ET58" i="3"/>
  <c r="EU72" i="3"/>
  <c r="EA38" i="3"/>
  <c r="EA42" i="3" s="1"/>
  <c r="EA69" i="3" s="1"/>
  <c r="EA70" i="3" s="1"/>
  <c r="EV131" i="3"/>
  <c r="EW133" i="3" s="1"/>
  <c r="ET28" i="3"/>
  <c r="EU24" i="3" s="1"/>
  <c r="EU26" i="3" s="1"/>
  <c r="EB21" i="3"/>
  <c r="EB30" i="3"/>
  <c r="EB17" i="3"/>
  <c r="EC13" i="3" s="1"/>
  <c r="EA41" i="3" l="1"/>
  <c r="EA63" i="3" s="1"/>
  <c r="EA64" i="3" s="1"/>
  <c r="EV68" i="3"/>
  <c r="EV14" i="3"/>
  <c r="EV25" i="3"/>
  <c r="EB36" i="3"/>
  <c r="EB35" i="3"/>
  <c r="EU27" i="3"/>
  <c r="EC15" i="3"/>
  <c r="EC16" i="3" s="1"/>
  <c r="EC19" i="3" s="1"/>
  <c r="EU52" i="3"/>
  <c r="EV49" i="3" s="1"/>
  <c r="EV62" i="3"/>
  <c r="EU57" i="3"/>
  <c r="EW131" i="3" l="1"/>
  <c r="EX133" i="3" s="1"/>
  <c r="EA73" i="3"/>
  <c r="EV72" i="3"/>
  <c r="EU28" i="3"/>
  <c r="EV24" i="3" s="1"/>
  <c r="EV26" i="3" s="1"/>
  <c r="EV27" i="3" s="1"/>
  <c r="EV28" i="3" s="1"/>
  <c r="EW24" i="3" s="1"/>
  <c r="EU32" i="3"/>
  <c r="EB38" i="3"/>
  <c r="EB42" i="3" s="1"/>
  <c r="EB69" i="3" s="1"/>
  <c r="EW68" i="3"/>
  <c r="EC21" i="3"/>
  <c r="EC17" i="3"/>
  <c r="ED13" i="3" s="1"/>
  <c r="ED15" i="3" s="1"/>
  <c r="ED16" i="3" s="1"/>
  <c r="ED19" i="3" s="1"/>
  <c r="EC30" i="3"/>
  <c r="EU58" i="3"/>
  <c r="EV51" i="3"/>
  <c r="EV54" i="3" s="1"/>
  <c r="EW25" i="3" l="1"/>
  <c r="EW26" i="3" s="1"/>
  <c r="EW14" i="3"/>
  <c r="EB70" i="3"/>
  <c r="EB41" i="3"/>
  <c r="EB63" i="3" s="1"/>
  <c r="EV32" i="3"/>
  <c r="EW62" i="3"/>
  <c r="EW72" i="3" s="1"/>
  <c r="EC35" i="3"/>
  <c r="EC36" i="3"/>
  <c r="ED21" i="3"/>
  <c r="EV52" i="3"/>
  <c r="EW49" i="3" s="1"/>
  <c r="ED30" i="3"/>
  <c r="EV58" i="3"/>
  <c r="ED17" i="3"/>
  <c r="EE13" i="3" s="1"/>
  <c r="EE15" i="3" s="1"/>
  <c r="EX131" i="3" l="1"/>
  <c r="EY133" i="3" s="1"/>
  <c r="EX25" i="3"/>
  <c r="EX14" i="3"/>
  <c r="EB64" i="3"/>
  <c r="EB73" i="3"/>
  <c r="EX68" i="3"/>
  <c r="EX62" i="3"/>
  <c r="EC38" i="3"/>
  <c r="EC42" i="3" s="1"/>
  <c r="EC69" i="3" s="1"/>
  <c r="ED35" i="3"/>
  <c r="ED36" i="3"/>
  <c r="EW27" i="3"/>
  <c r="EV57" i="3"/>
  <c r="EW51" i="3"/>
  <c r="EW54" i="3" s="1"/>
  <c r="EX72" i="3" l="1"/>
  <c r="EW28" i="3"/>
  <c r="EX24" i="3" s="1"/>
  <c r="EX26" i="3" s="1"/>
  <c r="EW32" i="3"/>
  <c r="EC41" i="3"/>
  <c r="EC63" i="3" s="1"/>
  <c r="ED38" i="3"/>
  <c r="ED41" i="3" s="1"/>
  <c r="ED63" i="3" s="1"/>
  <c r="EC70" i="3"/>
  <c r="EW52" i="3"/>
  <c r="EX49" i="3" s="1"/>
  <c r="EE16" i="3"/>
  <c r="EE19" i="3" s="1"/>
  <c r="EY131" i="3" l="1"/>
  <c r="EZ133" i="3" s="1"/>
  <c r="EC64" i="3"/>
  <c r="EC73" i="3"/>
  <c r="ED42" i="3"/>
  <c r="ED69" i="3" s="1"/>
  <c r="EE21" i="3"/>
  <c r="ED64" i="3"/>
  <c r="EX27" i="3"/>
  <c r="EE30" i="3"/>
  <c r="EW58" i="3"/>
  <c r="EW57" i="3"/>
  <c r="EX51" i="3"/>
  <c r="EX54" i="3" s="1"/>
  <c r="EE17" i="3"/>
  <c r="EF13" i="3" s="1"/>
  <c r="EF15" i="3" s="1"/>
  <c r="EY62" i="3" l="1"/>
  <c r="EY25" i="3"/>
  <c r="EY14" i="3"/>
  <c r="EY68" i="3"/>
  <c r="ED70" i="3"/>
  <c r="ED73" i="3"/>
  <c r="EX28" i="3"/>
  <c r="EY24" i="3" s="1"/>
  <c r="EX32" i="3"/>
  <c r="EE36" i="3"/>
  <c r="EE35" i="3"/>
  <c r="EX52" i="3"/>
  <c r="EY49" i="3" s="1"/>
  <c r="EF16" i="3"/>
  <c r="EF19" i="3" s="1"/>
  <c r="EY26" i="3" l="1"/>
  <c r="EY27" i="3" s="1"/>
  <c r="EZ131" i="3"/>
  <c r="FA133" i="3" s="1"/>
  <c r="EY72" i="3"/>
  <c r="EE38" i="3"/>
  <c r="EE42" i="3" s="1"/>
  <c r="EE69" i="3" s="1"/>
  <c r="EF21" i="3"/>
  <c r="EF30" i="3"/>
  <c r="EX58" i="3"/>
  <c r="EX57" i="3"/>
  <c r="EY51" i="3"/>
  <c r="EY54" i="3" s="1"/>
  <c r="EF17" i="3"/>
  <c r="EG13" i="3" s="1"/>
  <c r="EG15" i="3" s="1"/>
  <c r="EZ14" i="3" l="1"/>
  <c r="EZ68" i="3"/>
  <c r="EZ62" i="3"/>
  <c r="EZ25" i="3"/>
  <c r="EE41" i="3"/>
  <c r="EE63" i="3" s="1"/>
  <c r="EE64" i="3" s="1"/>
  <c r="EY28" i="3"/>
  <c r="EZ24" i="3" s="1"/>
  <c r="EY32" i="3"/>
  <c r="EF35" i="3"/>
  <c r="EF36" i="3"/>
  <c r="EE70" i="3"/>
  <c r="EY52" i="3"/>
  <c r="EZ49" i="3" s="1"/>
  <c r="EG16" i="3"/>
  <c r="EG19" i="3" s="1"/>
  <c r="EZ72" i="3" l="1"/>
  <c r="EZ26" i="3"/>
  <c r="EZ27" i="3" s="1"/>
  <c r="EZ32" i="3" s="1"/>
  <c r="FA131" i="3"/>
  <c r="FB133" i="3" s="1"/>
  <c r="EE73" i="3"/>
  <c r="EF38" i="3"/>
  <c r="EF42" i="3" s="1"/>
  <c r="EF69" i="3" s="1"/>
  <c r="EG21" i="3"/>
  <c r="EG30" i="3"/>
  <c r="EY57" i="3"/>
  <c r="EY58" i="3"/>
  <c r="EZ51" i="3"/>
  <c r="EZ54" i="3" s="1"/>
  <c r="EG17" i="3"/>
  <c r="EH13" i="3" s="1"/>
  <c r="EH15" i="3" s="1"/>
  <c r="FA25" i="3" l="1"/>
  <c r="FA62" i="3"/>
  <c r="FA68" i="3"/>
  <c r="FA14" i="3"/>
  <c r="EF41" i="3"/>
  <c r="EF63" i="3" s="1"/>
  <c r="EF73" i="3" s="1"/>
  <c r="EF70" i="3"/>
  <c r="EG36" i="3"/>
  <c r="EG35" i="3"/>
  <c r="EZ28" i="3"/>
  <c r="FA24" i="3" s="1"/>
  <c r="FA26" i="3" s="1"/>
  <c r="EZ52" i="3"/>
  <c r="FA49" i="3" s="1"/>
  <c r="EF64" i="3" l="1"/>
  <c r="FA72" i="3"/>
  <c r="FB131" i="3"/>
  <c r="FC133" i="3" s="1"/>
  <c r="EG38" i="3"/>
  <c r="EG42" i="3" s="1"/>
  <c r="EG69" i="3" s="1"/>
  <c r="FA27" i="3"/>
  <c r="FA32" i="3" s="1"/>
  <c r="EZ58" i="3"/>
  <c r="EZ57" i="3"/>
  <c r="FA51" i="3"/>
  <c r="FA54" i="3" s="1"/>
  <c r="EH16" i="3"/>
  <c r="EH19" i="3" s="1"/>
  <c r="FB62" i="3" l="1"/>
  <c r="FB68" i="3"/>
  <c r="FB14" i="3"/>
  <c r="FB25" i="3"/>
  <c r="EG41" i="3"/>
  <c r="EG63" i="3" s="1"/>
  <c r="EG73" i="3" s="1"/>
  <c r="FA28" i="3"/>
  <c r="FB24" i="3" s="1"/>
  <c r="EG70" i="3"/>
  <c r="EH21" i="3"/>
  <c r="FA52" i="3"/>
  <c r="FB49" i="3" s="1"/>
  <c r="EH30" i="3"/>
  <c r="EH17" i="3"/>
  <c r="EI13" i="3" s="1"/>
  <c r="EI15" i="3" s="1"/>
  <c r="FB26" i="3" l="1"/>
  <c r="FB27" i="3" s="1"/>
  <c r="FC131" i="3"/>
  <c r="FD133" i="3" s="1"/>
  <c r="FB72" i="3"/>
  <c r="EG64" i="3"/>
  <c r="EH36" i="3"/>
  <c r="EH35" i="3"/>
  <c r="FA58" i="3"/>
  <c r="FA57" i="3"/>
  <c r="FB51" i="3"/>
  <c r="FB54" i="3" s="1"/>
  <c r="FC68" i="3" l="1"/>
  <c r="FC14" i="3"/>
  <c r="FC62" i="3"/>
  <c r="FC25" i="3"/>
  <c r="EH38" i="3"/>
  <c r="EH42" i="3" s="1"/>
  <c r="EH69" i="3" s="1"/>
  <c r="FB28" i="3"/>
  <c r="FC24" i="3" s="1"/>
  <c r="FB32" i="3"/>
  <c r="FB52" i="3"/>
  <c r="FC49" i="3" s="1"/>
  <c r="EI16" i="3"/>
  <c r="EI19" i="3" s="1"/>
  <c r="FC72" i="3" l="1"/>
  <c r="FC26" i="3"/>
  <c r="FC27" i="3" s="1"/>
  <c r="FD131" i="3"/>
  <c r="FE133" i="3" s="1"/>
  <c r="EH41" i="3"/>
  <c r="EH63" i="3" s="1"/>
  <c r="EH73" i="3" s="1"/>
  <c r="EH70" i="3"/>
  <c r="EI21" i="3"/>
  <c r="EI30" i="3"/>
  <c r="FC51" i="3"/>
  <c r="FC54" i="3" s="1"/>
  <c r="FB57" i="3"/>
  <c r="FB58" i="3"/>
  <c r="EI17" i="3"/>
  <c r="EJ13" i="3" s="1"/>
  <c r="EJ15" i="3" s="1"/>
  <c r="FD14" i="3" l="1"/>
  <c r="FD25" i="3"/>
  <c r="FD62" i="3"/>
  <c r="FD68" i="3"/>
  <c r="EH64" i="3"/>
  <c r="FC28" i="3"/>
  <c r="FD24" i="3" s="1"/>
  <c r="FD26" i="3" s="1"/>
  <c r="FC32" i="3"/>
  <c r="EI36" i="3"/>
  <c r="EI35" i="3"/>
  <c r="FC52" i="3"/>
  <c r="FD49" i="3" s="1"/>
  <c r="FC57" i="3"/>
  <c r="FC58" i="3"/>
  <c r="FE131" i="3" l="1"/>
  <c r="FF133" i="3" s="1"/>
  <c r="FD72" i="3"/>
  <c r="EI38" i="3"/>
  <c r="EI41" i="3" s="1"/>
  <c r="EI63" i="3" s="1"/>
  <c r="FD27" i="3"/>
  <c r="FD51" i="3"/>
  <c r="FD54" i="3" s="1"/>
  <c r="EJ16" i="3"/>
  <c r="EJ19" i="3" s="1"/>
  <c r="FE25" i="3" l="1"/>
  <c r="FE62" i="3"/>
  <c r="FE14" i="3"/>
  <c r="FE68" i="3"/>
  <c r="EI42" i="3"/>
  <c r="EI69" i="3" s="1"/>
  <c r="EI73" i="3" s="1"/>
  <c r="FD28" i="3"/>
  <c r="FE24" i="3" s="1"/>
  <c r="FD32" i="3"/>
  <c r="EJ21" i="3"/>
  <c r="EI64" i="3"/>
  <c r="FD52" i="3"/>
  <c r="FE49" i="3" s="1"/>
  <c r="EJ30" i="3"/>
  <c r="EJ17" i="3"/>
  <c r="EK13" i="3" s="1"/>
  <c r="EK15" i="3" s="1"/>
  <c r="FE26" i="3" l="1"/>
  <c r="FE72" i="3"/>
  <c r="EI70" i="3"/>
  <c r="FF131" i="3"/>
  <c r="FG133" i="3" s="1"/>
  <c r="EJ36" i="3"/>
  <c r="EJ35" i="3"/>
  <c r="FE27" i="3"/>
  <c r="FD58" i="3"/>
  <c r="FD57" i="3"/>
  <c r="FE51" i="3"/>
  <c r="FE54" i="3" s="1"/>
  <c r="FF25" i="3" l="1"/>
  <c r="FF68" i="3"/>
  <c r="FF14" i="3"/>
  <c r="FF62" i="3"/>
  <c r="FE28" i="3"/>
  <c r="FF24" i="3" s="1"/>
  <c r="FE32" i="3"/>
  <c r="EJ38" i="3"/>
  <c r="EJ42" i="3" s="1"/>
  <c r="EJ69" i="3" s="1"/>
  <c r="FE52" i="3"/>
  <c r="FF49" i="3" s="1"/>
  <c r="EK16" i="3"/>
  <c r="EK19" i="3" s="1"/>
  <c r="FF72" i="3" l="1"/>
  <c r="FF26" i="3"/>
  <c r="FF27" i="3" s="1"/>
  <c r="FG131" i="3"/>
  <c r="FH133" i="3" s="1"/>
  <c r="EJ41" i="3"/>
  <c r="EJ63" i="3" s="1"/>
  <c r="EJ73" i="3" s="1"/>
  <c r="EJ70" i="3"/>
  <c r="EK21" i="3"/>
  <c r="EK30" i="3"/>
  <c r="FE58" i="3"/>
  <c r="FE57" i="3"/>
  <c r="FF51" i="3"/>
  <c r="FF54" i="3" s="1"/>
  <c r="EK17" i="3"/>
  <c r="EL13" i="3" s="1"/>
  <c r="EL15" i="3" s="1"/>
  <c r="FG14" i="3" l="1"/>
  <c r="FG62" i="3"/>
  <c r="FG25" i="3"/>
  <c r="FG68" i="3"/>
  <c r="EJ64" i="3"/>
  <c r="FF28" i="3"/>
  <c r="FG24" i="3" s="1"/>
  <c r="FF32" i="3"/>
  <c r="EK36" i="3"/>
  <c r="EK35" i="3"/>
  <c r="FF52" i="3"/>
  <c r="FG49" i="3" s="1"/>
  <c r="EL16" i="3"/>
  <c r="EL19" i="3" s="1"/>
  <c r="FG26" i="3" l="1"/>
  <c r="FG72" i="3"/>
  <c r="FH131" i="3"/>
  <c r="FI133" i="3" s="1"/>
  <c r="EK38" i="3"/>
  <c r="EK41" i="3" s="1"/>
  <c r="EK63" i="3" s="1"/>
  <c r="EL21" i="3"/>
  <c r="EL30" i="3"/>
  <c r="FG27" i="3"/>
  <c r="FF57" i="3"/>
  <c r="FF58" i="3"/>
  <c r="FG51" i="3"/>
  <c r="FG54" i="3" s="1"/>
  <c r="EL17" i="3"/>
  <c r="EM13" i="3" s="1"/>
  <c r="EM15" i="3" s="1"/>
  <c r="FH25" i="3" l="1"/>
  <c r="FH62" i="3"/>
  <c r="FH14" i="3"/>
  <c r="FH68" i="3"/>
  <c r="EK42" i="3"/>
  <c r="EK69" i="3" s="1"/>
  <c r="FG28" i="3"/>
  <c r="FH24" i="3" s="1"/>
  <c r="FG32" i="3"/>
  <c r="EL35" i="3"/>
  <c r="EL36" i="3"/>
  <c r="EK64" i="3"/>
  <c r="FG52" i="3"/>
  <c r="FH49" i="3" s="1"/>
  <c r="FH26" i="3" l="1"/>
  <c r="FH27" i="3" s="1"/>
  <c r="FH72" i="3"/>
  <c r="FI131" i="3"/>
  <c r="FJ133" i="3" s="1"/>
  <c r="EK70" i="3"/>
  <c r="EK73" i="3"/>
  <c r="EL38" i="3"/>
  <c r="EL42" i="3" s="1"/>
  <c r="EL69" i="3" s="1"/>
  <c r="FH51" i="3"/>
  <c r="FH54" i="3" s="1"/>
  <c r="FG57" i="3"/>
  <c r="FG58" i="3"/>
  <c r="EM16" i="3"/>
  <c r="EM19" i="3" s="1"/>
  <c r="FI25" i="3" l="1"/>
  <c r="FI14" i="3"/>
  <c r="FI68" i="3"/>
  <c r="FI62" i="3"/>
  <c r="EL41" i="3"/>
  <c r="EL63" i="3" s="1"/>
  <c r="EL73" i="3" s="1"/>
  <c r="FH28" i="3"/>
  <c r="FI24" i="3" s="1"/>
  <c r="FI26" i="3" s="1"/>
  <c r="FH32" i="3"/>
  <c r="EL70" i="3"/>
  <c r="EM21" i="3"/>
  <c r="FH52" i="3"/>
  <c r="FI49" i="3" s="1"/>
  <c r="EM30" i="3"/>
  <c r="EM17" i="3"/>
  <c r="EN13" i="3" s="1"/>
  <c r="EN15" i="3" s="1"/>
  <c r="FI72" i="3" l="1"/>
  <c r="FJ131" i="3"/>
  <c r="FK133" i="3" s="1"/>
  <c r="EL64" i="3"/>
  <c r="EM35" i="3"/>
  <c r="EM36" i="3"/>
  <c r="FI27" i="3"/>
  <c r="FH58" i="3"/>
  <c r="FH57" i="3"/>
  <c r="FI51" i="3"/>
  <c r="FI54" i="3" s="1"/>
  <c r="FJ68" i="3" l="1"/>
  <c r="FJ62" i="3"/>
  <c r="FJ14" i="3"/>
  <c r="FJ25" i="3"/>
  <c r="EM38" i="3"/>
  <c r="EM42" i="3" s="1"/>
  <c r="EM69" i="3" s="1"/>
  <c r="FI28" i="3"/>
  <c r="FJ24" i="3" s="1"/>
  <c r="FI32" i="3"/>
  <c r="FI52" i="3"/>
  <c r="FJ49" i="3" s="1"/>
  <c r="EN16" i="3"/>
  <c r="EN19" i="3" s="1"/>
  <c r="FJ26" i="3" l="1"/>
  <c r="FJ27" i="3" s="1"/>
  <c r="FJ72" i="3"/>
  <c r="FK131" i="3"/>
  <c r="FL133" i="3" s="1"/>
  <c r="EM41" i="3"/>
  <c r="EM63" i="3" s="1"/>
  <c r="EM73" i="3" s="1"/>
  <c r="EM70" i="3"/>
  <c r="EN21" i="3"/>
  <c r="EN30" i="3"/>
  <c r="FJ51" i="3"/>
  <c r="FJ54" i="3" s="1"/>
  <c r="FI58" i="3"/>
  <c r="FI57" i="3"/>
  <c r="EN17" i="3"/>
  <c r="EO13" i="3" s="1"/>
  <c r="EO15" i="3" s="1"/>
  <c r="FK14" i="3" l="1"/>
  <c r="FK25" i="3"/>
  <c r="FK68" i="3"/>
  <c r="FK62" i="3"/>
  <c r="EM64" i="3"/>
  <c r="FJ28" i="3"/>
  <c r="FK24" i="3" s="1"/>
  <c r="FK26" i="3" s="1"/>
  <c r="FJ32" i="3"/>
  <c r="EN35" i="3"/>
  <c r="EN36" i="3"/>
  <c r="FJ52" i="3"/>
  <c r="FK49" i="3" s="1"/>
  <c r="FJ57" i="3"/>
  <c r="FJ58" i="3"/>
  <c r="EO16" i="3"/>
  <c r="EO19" i="3" s="1"/>
  <c r="FK72" i="3" l="1"/>
  <c r="FL131" i="3"/>
  <c r="FM133" i="3" s="1"/>
  <c r="EN38" i="3"/>
  <c r="EN42" i="3" s="1"/>
  <c r="EN69" i="3" s="1"/>
  <c r="EO21" i="3"/>
  <c r="EO30" i="3"/>
  <c r="FK27" i="3"/>
  <c r="FK51" i="3"/>
  <c r="FK54" i="3" s="1"/>
  <c r="EO17" i="3"/>
  <c r="EP13" i="3" s="1"/>
  <c r="EP15" i="3" s="1"/>
  <c r="FL14" i="3" l="1"/>
  <c r="FL62" i="3"/>
  <c r="FL25" i="3"/>
  <c r="FL68" i="3"/>
  <c r="EN41" i="3"/>
  <c r="EN63" i="3" s="1"/>
  <c r="EN73" i="3" s="1"/>
  <c r="FK28" i="3"/>
  <c r="FL24" i="3" s="1"/>
  <c r="FK32" i="3"/>
  <c r="EO35" i="3"/>
  <c r="EO36" i="3"/>
  <c r="EN70" i="3"/>
  <c r="FK52" i="3"/>
  <c r="FL49" i="3" s="1"/>
  <c r="FK58" i="3"/>
  <c r="FL26" i="3" l="1"/>
  <c r="FL27" i="3" s="1"/>
  <c r="FL72" i="3"/>
  <c r="FM131" i="3"/>
  <c r="FN133" i="3" s="1"/>
  <c r="EN64" i="3"/>
  <c r="EO38" i="3"/>
  <c r="EO42" i="3" s="1"/>
  <c r="EO69" i="3" s="1"/>
  <c r="FK57" i="3"/>
  <c r="FL51" i="3"/>
  <c r="FL54" i="3" s="1"/>
  <c r="EP16" i="3"/>
  <c r="EP19" i="3" s="1"/>
  <c r="FM25" i="3" l="1"/>
  <c r="FM14" i="3"/>
  <c r="FM68" i="3"/>
  <c r="FM62" i="3"/>
  <c r="EO41" i="3"/>
  <c r="EO63" i="3" s="1"/>
  <c r="EO73" i="3" s="1"/>
  <c r="FL28" i="3"/>
  <c r="FM24" i="3" s="1"/>
  <c r="FL32" i="3"/>
  <c r="EO70" i="3"/>
  <c r="EP21" i="3"/>
  <c r="EP30" i="3"/>
  <c r="FL52" i="3"/>
  <c r="FM49" i="3" s="1"/>
  <c r="EP17" i="3"/>
  <c r="EQ13" i="3" s="1"/>
  <c r="EQ15" i="3" s="1"/>
  <c r="EO64" i="3" l="1"/>
  <c r="FM26" i="3"/>
  <c r="FM27" i="3" s="1"/>
  <c r="FM72" i="3"/>
  <c r="FN131" i="3"/>
  <c r="FO133" i="3" s="1"/>
  <c r="EP36" i="3"/>
  <c r="EP35" i="3"/>
  <c r="FM51" i="3"/>
  <c r="FM54" i="3" s="1"/>
  <c r="FL58" i="3"/>
  <c r="FL57" i="3"/>
  <c r="FN14" i="3" l="1"/>
  <c r="FN25" i="3"/>
  <c r="FN68" i="3"/>
  <c r="FN62" i="3"/>
  <c r="EP38" i="3"/>
  <c r="EP42" i="3" s="1"/>
  <c r="EP69" i="3" s="1"/>
  <c r="FM28" i="3"/>
  <c r="FN24" i="3" s="1"/>
  <c r="FN26" i="3" s="1"/>
  <c r="FM32" i="3"/>
  <c r="FM52" i="3"/>
  <c r="FN49" i="3" s="1"/>
  <c r="FM57" i="3"/>
  <c r="EQ16" i="3"/>
  <c r="EQ19" i="3" s="1"/>
  <c r="FN72" i="3" l="1"/>
  <c r="FO131" i="3"/>
  <c r="FP133" i="3" s="1"/>
  <c r="EP41" i="3"/>
  <c r="EP63" i="3" s="1"/>
  <c r="EP64" i="3" s="1"/>
  <c r="EP70" i="3"/>
  <c r="EQ21" i="3"/>
  <c r="EQ30" i="3"/>
  <c r="FN27" i="3"/>
  <c r="FN32" i="3" s="1"/>
  <c r="FM58" i="3"/>
  <c r="FN51" i="3"/>
  <c r="FN54" i="3" s="1"/>
  <c r="EQ17" i="3"/>
  <c r="ER13" i="3" s="1"/>
  <c r="ER15" i="3" s="1"/>
  <c r="FO68" i="3" l="1"/>
  <c r="FO14" i="3"/>
  <c r="FO25" i="3"/>
  <c r="FO62" i="3"/>
  <c r="EP73" i="3"/>
  <c r="EQ36" i="3"/>
  <c r="EQ35" i="3"/>
  <c r="FN28" i="3"/>
  <c r="FO24" i="3" s="1"/>
  <c r="FN52" i="3"/>
  <c r="FO49" i="3" s="1"/>
  <c r="FO26" i="3" l="1"/>
  <c r="FO27" i="3" s="1"/>
  <c r="FO72" i="3"/>
  <c r="FP131" i="3"/>
  <c r="FQ133" i="3" s="1"/>
  <c r="EQ38" i="3"/>
  <c r="EQ41" i="3" s="1"/>
  <c r="EQ63" i="3" s="1"/>
  <c r="FO51" i="3"/>
  <c r="FO54" i="3" s="1"/>
  <c r="FN57" i="3"/>
  <c r="FN58" i="3"/>
  <c r="ER16" i="3"/>
  <c r="ER19" i="3" s="1"/>
  <c r="FP25" i="3" l="1"/>
  <c r="FP62" i="3"/>
  <c r="FP68" i="3"/>
  <c r="FP14" i="3"/>
  <c r="EQ42" i="3"/>
  <c r="EQ69" i="3" s="1"/>
  <c r="EQ73" i="3" s="1"/>
  <c r="FO28" i="3"/>
  <c r="FP24" i="3" s="1"/>
  <c r="FP26" i="3" s="1"/>
  <c r="FO32" i="3"/>
  <c r="ER21" i="3"/>
  <c r="EQ64" i="3"/>
  <c r="FO52" i="3"/>
  <c r="FP49" i="3" s="1"/>
  <c r="ER30" i="3"/>
  <c r="ER17" i="3"/>
  <c r="ES13" i="3" s="1"/>
  <c r="ES15" i="3" s="1"/>
  <c r="FO57" i="3"/>
  <c r="FO58" i="3"/>
  <c r="EQ70" i="3" l="1"/>
  <c r="FP72" i="3"/>
  <c r="FQ131" i="3"/>
  <c r="FR133" i="3" s="1"/>
  <c r="ER36" i="3"/>
  <c r="ER35" i="3"/>
  <c r="FP27" i="3"/>
  <c r="FP51" i="3"/>
  <c r="FP54" i="3" s="1"/>
  <c r="ES16" i="3"/>
  <c r="ES19" i="3" s="1"/>
  <c r="FQ14" i="3" l="1"/>
  <c r="FQ62" i="3"/>
  <c r="FQ25" i="3"/>
  <c r="FQ68" i="3"/>
  <c r="FP28" i="3"/>
  <c r="FQ24" i="3" s="1"/>
  <c r="FP32" i="3"/>
  <c r="ER38" i="3"/>
  <c r="ER42" i="3" s="1"/>
  <c r="ER69" i="3" s="1"/>
  <c r="ES21" i="3"/>
  <c r="ES30" i="3"/>
  <c r="FP52" i="3"/>
  <c r="FQ49" i="3" s="1"/>
  <c r="ES17" i="3"/>
  <c r="ET13" i="3" s="1"/>
  <c r="ET15" i="3" s="1"/>
  <c r="FQ72" i="3" l="1"/>
  <c r="FQ26" i="3"/>
  <c r="FQ27" i="3" s="1"/>
  <c r="FR131" i="3"/>
  <c r="FS133" i="3" s="1"/>
  <c r="ER41" i="3"/>
  <c r="ER63" i="3" s="1"/>
  <c r="ER64" i="3" s="1"/>
  <c r="ER70" i="3"/>
  <c r="ES36" i="3"/>
  <c r="ES35" i="3"/>
  <c r="FP57" i="3"/>
  <c r="FP58" i="3"/>
  <c r="FQ51" i="3"/>
  <c r="FQ54" i="3" s="1"/>
  <c r="FR68" i="3" l="1"/>
  <c r="FR14" i="3"/>
  <c r="FR25" i="3"/>
  <c r="FR62" i="3"/>
  <c r="ER73" i="3"/>
  <c r="ES38" i="3"/>
  <c r="ES42" i="3" s="1"/>
  <c r="ES69" i="3" s="1"/>
  <c r="FQ28" i="3"/>
  <c r="FR24" i="3" s="1"/>
  <c r="FR26" i="3" s="1"/>
  <c r="FQ32" i="3"/>
  <c r="FQ52" i="3"/>
  <c r="FR49" i="3" s="1"/>
  <c r="ES41" i="3"/>
  <c r="ES63" i="3" s="1"/>
  <c r="ET16" i="3"/>
  <c r="ET19" i="3" s="1"/>
  <c r="FS131" i="3" l="1"/>
  <c r="FT133" i="3" s="1"/>
  <c r="FR72" i="3"/>
  <c r="ES73" i="3"/>
  <c r="ES70" i="3"/>
  <c r="ET21" i="3"/>
  <c r="ES64" i="3"/>
  <c r="ET30" i="3"/>
  <c r="ET17" i="3"/>
  <c r="EU13" i="3" s="1"/>
  <c r="EU15" i="3" s="1"/>
  <c r="FR27" i="3"/>
  <c r="FQ57" i="3"/>
  <c r="FQ58" i="3"/>
  <c r="FR51" i="3"/>
  <c r="FR54" i="3" s="1"/>
  <c r="FS14" i="3" l="1"/>
  <c r="FS25" i="3"/>
  <c r="FS62" i="3"/>
  <c r="FS68" i="3"/>
  <c r="FR28" i="3"/>
  <c r="FS24" i="3" s="1"/>
  <c r="FR32" i="3"/>
  <c r="ET36" i="3"/>
  <c r="ET35" i="3"/>
  <c r="FR52" i="3"/>
  <c r="FS49" i="3" s="1"/>
  <c r="EU16" i="3"/>
  <c r="EU19" i="3" s="1"/>
  <c r="FR58" i="3"/>
  <c r="FS72" i="3" l="1"/>
  <c r="FT131" i="3"/>
  <c r="FU133" i="3" s="1"/>
  <c r="FS26" i="3"/>
  <c r="FS27" i="3" s="1"/>
  <c r="ET38" i="3"/>
  <c r="ET41" i="3" s="1"/>
  <c r="ET63" i="3" s="1"/>
  <c r="EU21" i="3"/>
  <c r="EU30" i="3"/>
  <c r="EU17" i="3"/>
  <c r="EV13" i="3" s="1"/>
  <c r="EV15" i="3" s="1"/>
  <c r="FR57" i="3"/>
  <c r="FS51" i="3"/>
  <c r="FS54" i="3" s="1"/>
  <c r="FT14" i="3" l="1"/>
  <c r="FT68" i="3"/>
  <c r="FT25" i="3"/>
  <c r="FT62" i="3"/>
  <c r="FT72" i="3" s="1"/>
  <c r="ET64" i="3"/>
  <c r="ET42" i="3"/>
  <c r="ET69" i="3" s="1"/>
  <c r="FS28" i="3"/>
  <c r="FT24" i="3" s="1"/>
  <c r="FS32" i="3"/>
  <c r="EU35" i="3"/>
  <c r="EU36" i="3"/>
  <c r="FS52" i="3"/>
  <c r="FT49" i="3" s="1"/>
  <c r="EV16" i="3"/>
  <c r="EV19" i="3" s="1"/>
  <c r="FS57" i="3"/>
  <c r="FT26" i="3" l="1"/>
  <c r="FT27" i="3" s="1"/>
  <c r="FU131" i="3"/>
  <c r="FV133" i="3" s="1"/>
  <c r="ET73" i="3"/>
  <c r="ET70" i="3"/>
  <c r="EU38" i="3"/>
  <c r="EU42" i="3" s="1"/>
  <c r="EU69" i="3" s="1"/>
  <c r="EV21" i="3"/>
  <c r="EV30" i="3"/>
  <c r="EV17" i="3"/>
  <c r="EW13" i="3" s="1"/>
  <c r="EW15" i="3" s="1"/>
  <c r="FT51" i="3"/>
  <c r="FT54" i="3" s="1"/>
  <c r="FS58" i="3"/>
  <c r="FU14" i="3" l="1"/>
  <c r="FU68" i="3"/>
  <c r="FU25" i="3"/>
  <c r="FU62" i="3"/>
  <c r="EU41" i="3"/>
  <c r="EU63" i="3" s="1"/>
  <c r="EU73" i="3" s="1"/>
  <c r="FT28" i="3"/>
  <c r="FU24" i="3" s="1"/>
  <c r="FT32" i="3"/>
  <c r="EV35" i="3"/>
  <c r="EV36" i="3"/>
  <c r="EU70" i="3"/>
  <c r="EW16" i="3"/>
  <c r="EW19" i="3" s="1"/>
  <c r="FT52" i="3"/>
  <c r="FU49" i="3" s="1"/>
  <c r="FT58" i="3"/>
  <c r="FU72" i="3" l="1"/>
  <c r="FV131" i="3"/>
  <c r="FW133" i="3" s="1"/>
  <c r="FU26" i="3"/>
  <c r="FU27" i="3" s="1"/>
  <c r="EU64" i="3"/>
  <c r="EV38" i="3"/>
  <c r="EV41" i="3" s="1"/>
  <c r="EV63" i="3" s="1"/>
  <c r="EW30" i="3"/>
  <c r="EW35" i="3" s="1"/>
  <c r="EW21" i="3"/>
  <c r="EW17" i="3"/>
  <c r="EX13" i="3" s="1"/>
  <c r="FT57" i="3"/>
  <c r="FU51" i="3"/>
  <c r="FU54" i="3" s="1"/>
  <c r="FV25" i="3" l="1"/>
  <c r="FV62" i="3"/>
  <c r="FV68" i="3"/>
  <c r="FV14" i="3"/>
  <c r="EV42" i="3"/>
  <c r="EV69" i="3" s="1"/>
  <c r="EV73" i="3" s="1"/>
  <c r="EW36" i="3"/>
  <c r="EW38" i="3" s="1"/>
  <c r="EV64" i="3"/>
  <c r="FU28" i="3"/>
  <c r="FV24" i="3" s="1"/>
  <c r="FU32" i="3"/>
  <c r="EX15" i="3"/>
  <c r="EX16" i="3" s="1"/>
  <c r="EX19" i="3" s="1"/>
  <c r="FU52" i="3"/>
  <c r="FV49" i="3" s="1"/>
  <c r="FU57" i="3"/>
  <c r="FV26" i="3" l="1"/>
  <c r="FV27" i="3" s="1"/>
  <c r="FV72" i="3"/>
  <c r="FW131" i="3"/>
  <c r="FX133" i="3" s="1"/>
  <c r="EV70" i="3"/>
  <c r="EW42" i="3"/>
  <c r="EW69" i="3" s="1"/>
  <c r="EW41" i="3"/>
  <c r="EW63" i="3" s="1"/>
  <c r="EW64" i="3" s="1"/>
  <c r="EX21" i="3"/>
  <c r="EX17" i="3"/>
  <c r="EY13" i="3" s="1"/>
  <c r="EY15" i="3" s="1"/>
  <c r="EY16" i="3" s="1"/>
  <c r="EY19" i="3" s="1"/>
  <c r="EX30" i="3"/>
  <c r="FU58" i="3"/>
  <c r="FV51" i="3"/>
  <c r="FV54" i="3" s="1"/>
  <c r="FW25" i="3" l="1"/>
  <c r="FW68" i="3"/>
  <c r="FW14" i="3"/>
  <c r="FW62" i="3"/>
  <c r="EW73" i="3"/>
  <c r="EW70" i="3"/>
  <c r="FV28" i="3"/>
  <c r="FW24" i="3" s="1"/>
  <c r="FW26" i="3" s="1"/>
  <c r="FV32" i="3"/>
  <c r="EX36" i="3"/>
  <c r="EX35" i="3"/>
  <c r="EY21" i="3"/>
  <c r="FV52" i="3"/>
  <c r="FW49" i="3" s="1"/>
  <c r="EY30" i="3"/>
  <c r="FV58" i="3"/>
  <c r="EY17" i="3"/>
  <c r="EZ13" i="3" s="1"/>
  <c r="EZ15" i="3" s="1"/>
  <c r="FW72" i="3" l="1"/>
  <c r="FX131" i="3"/>
  <c r="FY133" i="3" s="1"/>
  <c r="EX38" i="3"/>
  <c r="EX42" i="3" s="1"/>
  <c r="EX69" i="3" s="1"/>
  <c r="EY36" i="3"/>
  <c r="EY35" i="3"/>
  <c r="FW27" i="3"/>
  <c r="FV57" i="3"/>
  <c r="FW51" i="3"/>
  <c r="FW54" i="3" s="1"/>
  <c r="FX14" i="3" l="1"/>
  <c r="FX62" i="3"/>
  <c r="FX68" i="3"/>
  <c r="FX25" i="3"/>
  <c r="EX70" i="3"/>
  <c r="EX41" i="3"/>
  <c r="EX63" i="3" s="1"/>
  <c r="EX64" i="3" s="1"/>
  <c r="FW28" i="3"/>
  <c r="FX24" i="3" s="1"/>
  <c r="FW32" i="3"/>
  <c r="EY38" i="3"/>
  <c r="EY42" i="3" s="1"/>
  <c r="EY69" i="3" s="1"/>
  <c r="FW52" i="3"/>
  <c r="FX49" i="3" s="1"/>
  <c r="FW57" i="3"/>
  <c r="EZ16" i="3"/>
  <c r="EZ19" i="3" s="1"/>
  <c r="FX26" i="3" l="1"/>
  <c r="FX27" i="3" s="1"/>
  <c r="FX72" i="3"/>
  <c r="FY131" i="3"/>
  <c r="FZ133" i="3" s="1"/>
  <c r="EX73" i="3"/>
  <c r="EY41" i="3"/>
  <c r="EY63" i="3" s="1"/>
  <c r="EY73" i="3" s="1"/>
  <c r="EY70" i="3"/>
  <c r="EZ21" i="3"/>
  <c r="EZ30" i="3"/>
  <c r="FX51" i="3"/>
  <c r="FX54" i="3" s="1"/>
  <c r="FW58" i="3"/>
  <c r="EZ17" i="3"/>
  <c r="FA13" i="3" s="1"/>
  <c r="FA15" i="3" s="1"/>
  <c r="FY14" i="3" l="1"/>
  <c r="FY25" i="3"/>
  <c r="FY62" i="3"/>
  <c r="FY68" i="3"/>
  <c r="EY64" i="3"/>
  <c r="FX28" i="3"/>
  <c r="FY24" i="3" s="1"/>
  <c r="FX32" i="3"/>
  <c r="EZ36" i="3"/>
  <c r="EZ35" i="3"/>
  <c r="FX52" i="3"/>
  <c r="FY49" i="3" s="1"/>
  <c r="FX57" i="3"/>
  <c r="FX58" i="3"/>
  <c r="FA16" i="3"/>
  <c r="FA19" i="3" s="1"/>
  <c r="FY26" i="3" l="1"/>
  <c r="FY27" i="3" s="1"/>
  <c r="FY72" i="3"/>
  <c r="FZ131" i="3"/>
  <c r="GA133" i="3" s="1"/>
  <c r="EZ38" i="3"/>
  <c r="EZ42" i="3" s="1"/>
  <c r="EZ69" i="3" s="1"/>
  <c r="FA21" i="3"/>
  <c r="FA30" i="3"/>
  <c r="FY51" i="3"/>
  <c r="FY54" i="3" s="1"/>
  <c r="FA17" i="3"/>
  <c r="FB13" i="3" s="1"/>
  <c r="FB15" i="3" s="1"/>
  <c r="FZ14" i="3" l="1"/>
  <c r="FZ62" i="3"/>
  <c r="FZ68" i="3"/>
  <c r="FZ25" i="3"/>
  <c r="EZ41" i="3"/>
  <c r="EZ63" i="3" s="1"/>
  <c r="EZ73" i="3" s="1"/>
  <c r="FY28" i="3"/>
  <c r="FZ24" i="3" s="1"/>
  <c r="FY32" i="3"/>
  <c r="EZ70" i="3"/>
  <c r="FA36" i="3"/>
  <c r="FA35" i="3"/>
  <c r="FY52" i="3"/>
  <c r="FZ49" i="3" s="1"/>
  <c r="FB16" i="3"/>
  <c r="FB19" i="3" s="1"/>
  <c r="EZ64" i="3" l="1"/>
  <c r="GA131" i="3"/>
  <c r="GB133" i="3" s="1"/>
  <c r="FZ26" i="3"/>
  <c r="FZ27" i="3" s="1"/>
  <c r="FZ72" i="3"/>
  <c r="FA38" i="3"/>
  <c r="FA41" i="3" s="1"/>
  <c r="FA63" i="3" s="1"/>
  <c r="FB21" i="3"/>
  <c r="FB30" i="3"/>
  <c r="FY58" i="3"/>
  <c r="FY57" i="3"/>
  <c r="FZ51" i="3"/>
  <c r="FZ54" i="3" s="1"/>
  <c r="FB17" i="3"/>
  <c r="FC13" i="3" s="1"/>
  <c r="FC15" i="3" s="1"/>
  <c r="GA68" i="3" l="1"/>
  <c r="GA62" i="3"/>
  <c r="GA25" i="3"/>
  <c r="GA14" i="3"/>
  <c r="FA42" i="3"/>
  <c r="FA69" i="3" s="1"/>
  <c r="FZ28" i="3"/>
  <c r="GA24" i="3" s="1"/>
  <c r="FZ32" i="3"/>
  <c r="FB36" i="3"/>
  <c r="FB35" i="3"/>
  <c r="FA64" i="3"/>
  <c r="FZ52" i="3"/>
  <c r="GA49" i="3" s="1"/>
  <c r="FC16" i="3"/>
  <c r="FC19" i="3" s="1"/>
  <c r="GA72" i="3" l="1"/>
  <c r="GA26" i="3"/>
  <c r="GA27" i="3" s="1"/>
  <c r="GA32" i="3" s="1"/>
  <c r="GB131" i="3"/>
  <c r="GC133" i="3" s="1"/>
  <c r="FA70" i="3"/>
  <c r="FA73" i="3"/>
  <c r="FB38" i="3"/>
  <c r="FB42" i="3" s="1"/>
  <c r="FB69" i="3" s="1"/>
  <c r="FC21" i="3"/>
  <c r="FC30" i="3"/>
  <c r="GA51" i="3"/>
  <c r="GA54" i="3" s="1"/>
  <c r="FZ57" i="3"/>
  <c r="FZ58" i="3"/>
  <c r="FC17" i="3"/>
  <c r="FD13" i="3" s="1"/>
  <c r="FD15" i="3" s="1"/>
  <c r="GB62" i="3" l="1"/>
  <c r="GB14" i="3"/>
  <c r="GB68" i="3"/>
  <c r="GB25" i="3"/>
  <c r="FB41" i="3"/>
  <c r="FB63" i="3" s="1"/>
  <c r="FB73" i="3" s="1"/>
  <c r="FC36" i="3"/>
  <c r="FC35" i="3"/>
  <c r="FB70" i="3"/>
  <c r="GA28" i="3"/>
  <c r="GB24" i="3" s="1"/>
  <c r="GA52" i="3"/>
  <c r="GB49" i="3" s="1"/>
  <c r="GA58" i="3"/>
  <c r="GB26" i="3" l="1"/>
  <c r="GB27" i="3" s="1"/>
  <c r="GB72" i="3"/>
  <c r="GC131" i="3"/>
  <c r="GD133" i="3" s="1"/>
  <c r="FC38" i="3"/>
  <c r="FC42" i="3" s="1"/>
  <c r="FC69" i="3" s="1"/>
  <c r="FB64" i="3"/>
  <c r="GA57" i="3"/>
  <c r="GB51" i="3"/>
  <c r="GB54" i="3" s="1"/>
  <c r="FD16" i="3"/>
  <c r="FD19" i="3" s="1"/>
  <c r="FC41" i="3" l="1"/>
  <c r="FC63" i="3" s="1"/>
  <c r="FC73" i="3" s="1"/>
  <c r="GC14" i="3"/>
  <c r="GC25" i="3"/>
  <c r="GC62" i="3"/>
  <c r="GC68" i="3"/>
  <c r="GB28" i="3"/>
  <c r="GC24" i="3" s="1"/>
  <c r="GB32" i="3"/>
  <c r="FC70" i="3"/>
  <c r="FD21" i="3"/>
  <c r="FD30" i="3"/>
  <c r="GB52" i="3"/>
  <c r="GC49" i="3" s="1"/>
  <c r="FD17" i="3"/>
  <c r="FE13" i="3" s="1"/>
  <c r="FE15" i="3" s="1"/>
  <c r="FC64" i="3" l="1"/>
  <c r="GC72" i="3"/>
  <c r="GD131" i="3"/>
  <c r="GE133" i="3" s="1"/>
  <c r="GC26" i="3"/>
  <c r="GC27" i="3" s="1"/>
  <c r="FD35" i="3"/>
  <c r="FD36" i="3"/>
  <c r="GB57" i="3"/>
  <c r="GB58" i="3"/>
  <c r="GC51" i="3"/>
  <c r="GC54" i="3" s="1"/>
  <c r="GD25" i="3" l="1"/>
  <c r="GD68" i="3"/>
  <c r="GD14" i="3"/>
  <c r="GD62" i="3"/>
  <c r="FD38" i="3"/>
  <c r="FD41" i="3" s="1"/>
  <c r="FD63" i="3" s="1"/>
  <c r="GC28" i="3"/>
  <c r="GD24" i="3" s="1"/>
  <c r="GC32" i="3"/>
  <c r="GC52" i="3"/>
  <c r="GD49" i="3" s="1"/>
  <c r="FE16" i="3"/>
  <c r="FE19" i="3" s="1"/>
  <c r="FD42" i="3" l="1"/>
  <c r="FD69" i="3" s="1"/>
  <c r="FD70" i="3" s="1"/>
  <c r="GD26" i="3"/>
  <c r="GD27" i="3" s="1"/>
  <c r="GD72" i="3"/>
  <c r="GE131" i="3"/>
  <c r="GF133" i="3" s="1"/>
  <c r="FD73" i="3"/>
  <c r="FE21" i="3"/>
  <c r="FD64" i="3"/>
  <c r="FE30" i="3"/>
  <c r="FE17" i="3"/>
  <c r="FF13" i="3" s="1"/>
  <c r="FF15" i="3" s="1"/>
  <c r="GD51" i="3"/>
  <c r="GD54" i="3" s="1"/>
  <c r="GC57" i="3"/>
  <c r="GC58" i="3"/>
  <c r="GE68" i="3" l="1"/>
  <c r="GE25" i="3"/>
  <c r="GE14" i="3"/>
  <c r="GE62" i="3"/>
  <c r="GD28" i="3"/>
  <c r="GE24" i="3" s="1"/>
  <c r="GD32" i="3"/>
  <c r="FE35" i="3"/>
  <c r="FE36" i="3"/>
  <c r="GD52" i="3"/>
  <c r="GE49" i="3" s="1"/>
  <c r="GD58" i="3"/>
  <c r="FF16" i="3"/>
  <c r="FF19" i="3" s="1"/>
  <c r="GE72" i="3" l="1"/>
  <c r="GE26" i="3"/>
  <c r="GE27" i="3" s="1"/>
  <c r="GF131" i="3"/>
  <c r="GG133" i="3" s="1"/>
  <c r="FE38" i="3"/>
  <c r="FE42" i="3" s="1"/>
  <c r="FE69" i="3" s="1"/>
  <c r="FF21" i="3"/>
  <c r="FF30" i="3"/>
  <c r="GD57" i="3"/>
  <c r="GE51" i="3"/>
  <c r="GE54" i="3" s="1"/>
  <c r="FF17" i="3"/>
  <c r="FG13" i="3" s="1"/>
  <c r="FG15" i="3" s="1"/>
  <c r="FE41" i="3" l="1"/>
  <c r="FE63" i="3" s="1"/>
  <c r="FE73" i="3" s="1"/>
  <c r="GF25" i="3"/>
  <c r="GF68" i="3"/>
  <c r="GF14" i="3"/>
  <c r="GF62" i="3"/>
  <c r="FE70" i="3"/>
  <c r="GE28" i="3"/>
  <c r="GF24" i="3" s="1"/>
  <c r="GE32" i="3"/>
  <c r="FF35" i="3"/>
  <c r="FF36" i="3"/>
  <c r="GE52" i="3"/>
  <c r="GF49" i="3" s="1"/>
  <c r="FE64" i="3" l="1"/>
  <c r="GF26" i="3"/>
  <c r="GF72" i="3"/>
  <c r="GG131" i="3"/>
  <c r="GH133" i="3" s="1"/>
  <c r="FF38" i="3"/>
  <c r="FF42" i="3" s="1"/>
  <c r="FF69" i="3" s="1"/>
  <c r="GF27" i="3"/>
  <c r="GE58" i="3"/>
  <c r="GE57" i="3"/>
  <c r="GF51" i="3"/>
  <c r="GF54" i="3" s="1"/>
  <c r="FG16" i="3"/>
  <c r="FG19" i="3" s="1"/>
  <c r="GG25" i="3" l="1"/>
  <c r="GG62" i="3"/>
  <c r="GG68" i="3"/>
  <c r="GG14" i="3"/>
  <c r="FF41" i="3"/>
  <c r="FF63" i="3" s="1"/>
  <c r="FF73" i="3" s="1"/>
  <c r="GF28" i="3"/>
  <c r="GG24" i="3" s="1"/>
  <c r="GF32" i="3"/>
  <c r="FF70" i="3"/>
  <c r="FG21" i="3"/>
  <c r="GF52" i="3"/>
  <c r="GG49" i="3" s="1"/>
  <c r="FG30" i="3"/>
  <c r="FG17" i="3"/>
  <c r="FH13" i="3" s="1"/>
  <c r="FH15" i="3" s="1"/>
  <c r="GF57" i="3"/>
  <c r="GG26" i="3" l="1"/>
  <c r="GG27" i="3" s="1"/>
  <c r="GG28" i="3" s="1"/>
  <c r="GH24" i="3" s="1"/>
  <c r="GG72" i="3"/>
  <c r="GH131" i="3"/>
  <c r="GI133" i="3" s="1"/>
  <c r="FF64" i="3"/>
  <c r="FG35" i="3"/>
  <c r="FG36" i="3"/>
  <c r="GF58" i="3"/>
  <c r="GG51" i="3"/>
  <c r="GG54" i="3" s="1"/>
  <c r="FH16" i="3"/>
  <c r="FH19" i="3" s="1"/>
  <c r="GH68" i="3" l="1"/>
  <c r="GH25" i="3"/>
  <c r="GH26" i="3" s="1"/>
  <c r="GH14" i="3"/>
  <c r="GH62" i="3"/>
  <c r="GG32" i="3"/>
  <c r="FG38" i="3"/>
  <c r="FG41" i="3" s="1"/>
  <c r="FG63" i="3" s="1"/>
  <c r="FG64" i="3" s="1"/>
  <c r="FH21" i="3"/>
  <c r="GG52" i="3"/>
  <c r="GH49" i="3" s="1"/>
  <c r="FH30" i="3"/>
  <c r="GG57" i="3"/>
  <c r="FH17" i="3"/>
  <c r="FI13" i="3" s="1"/>
  <c r="FI15" i="3" s="1"/>
  <c r="GI131" i="3" l="1"/>
  <c r="GJ133" i="3" s="1"/>
  <c r="GH72" i="3"/>
  <c r="FG42" i="3"/>
  <c r="FG69" i="3" s="1"/>
  <c r="FH36" i="3"/>
  <c r="FH35" i="3"/>
  <c r="GH27" i="3"/>
  <c r="GG58" i="3"/>
  <c r="GH51" i="3"/>
  <c r="GH54" i="3" s="1"/>
  <c r="GI14" i="3" l="1"/>
  <c r="GI68" i="3"/>
  <c r="GI62" i="3"/>
  <c r="GI25" i="3"/>
  <c r="FG70" i="3"/>
  <c r="FG73" i="3"/>
  <c r="FH38" i="3"/>
  <c r="FH42" i="3" s="1"/>
  <c r="FH69" i="3" s="1"/>
  <c r="GH28" i="3"/>
  <c r="GI24" i="3" s="1"/>
  <c r="GH32" i="3"/>
  <c r="GH52" i="3"/>
  <c r="GI49" i="3" s="1"/>
  <c r="GH58" i="3"/>
  <c r="FI16" i="3"/>
  <c r="FI19" i="3" s="1"/>
  <c r="GI72" i="3" l="1"/>
  <c r="GJ131" i="3"/>
  <c r="GK133" i="3" s="1"/>
  <c r="GI26" i="3"/>
  <c r="GI27" i="3" s="1"/>
  <c r="FH41" i="3"/>
  <c r="FH63" i="3" s="1"/>
  <c r="FH64" i="3" s="1"/>
  <c r="FH70" i="3"/>
  <c r="FI21" i="3"/>
  <c r="FI30" i="3"/>
  <c r="GH57" i="3"/>
  <c r="GI51" i="3"/>
  <c r="GI54" i="3" s="1"/>
  <c r="FI17" i="3"/>
  <c r="FJ13" i="3" s="1"/>
  <c r="FJ15" i="3" s="1"/>
  <c r="GJ25" i="3" l="1"/>
  <c r="GJ62" i="3"/>
  <c r="GJ68" i="3"/>
  <c r="GJ14" i="3"/>
  <c r="FH73" i="3"/>
  <c r="GI28" i="3"/>
  <c r="GJ24" i="3" s="1"/>
  <c r="GJ26" i="3" s="1"/>
  <c r="GI32" i="3"/>
  <c r="FI36" i="3"/>
  <c r="FI35" i="3"/>
  <c r="GI52" i="3"/>
  <c r="GJ49" i="3" s="1"/>
  <c r="GI57" i="3"/>
  <c r="GJ72" i="3" l="1"/>
  <c r="GK131" i="3"/>
  <c r="GL133" i="3" s="1"/>
  <c r="FI38" i="3"/>
  <c r="FI41" i="3" s="1"/>
  <c r="FI63" i="3" s="1"/>
  <c r="GJ27" i="3"/>
  <c r="GI58" i="3"/>
  <c r="GJ51" i="3"/>
  <c r="GJ54" i="3" s="1"/>
  <c r="FJ16" i="3"/>
  <c r="FJ19" i="3" s="1"/>
  <c r="GK68" i="3" l="1"/>
  <c r="GK25" i="3"/>
  <c r="GK14" i="3"/>
  <c r="GK62" i="3"/>
  <c r="FI42" i="3"/>
  <c r="FI69" i="3" s="1"/>
  <c r="FI70" i="3" s="1"/>
  <c r="GJ28" i="3"/>
  <c r="GK24" i="3" s="1"/>
  <c r="GJ32" i="3"/>
  <c r="FJ21" i="3"/>
  <c r="FI64" i="3"/>
  <c r="FJ30" i="3"/>
  <c r="FJ17" i="3"/>
  <c r="FK13" i="3" s="1"/>
  <c r="FK15" i="3" s="1"/>
  <c r="GJ52" i="3"/>
  <c r="GK49" i="3" s="1"/>
  <c r="GK26" i="3" l="1"/>
  <c r="GK27" i="3" s="1"/>
  <c r="GL131" i="3"/>
  <c r="GM133" i="3" s="1"/>
  <c r="GK72" i="3"/>
  <c r="FI73" i="3"/>
  <c r="FJ36" i="3"/>
  <c r="FJ35" i="3"/>
  <c r="GK51" i="3"/>
  <c r="GK54" i="3" s="1"/>
  <c r="GJ58" i="3"/>
  <c r="GJ57" i="3"/>
  <c r="FK16" i="3"/>
  <c r="FK19" i="3" s="1"/>
  <c r="GL25" i="3" l="1"/>
  <c r="GL68" i="3"/>
  <c r="GL14" i="3"/>
  <c r="GL62" i="3"/>
  <c r="FJ38" i="3"/>
  <c r="FJ41" i="3" s="1"/>
  <c r="FJ63" i="3" s="1"/>
  <c r="GK28" i="3"/>
  <c r="GL24" i="3" s="1"/>
  <c r="GK32" i="3"/>
  <c r="FK21" i="3"/>
  <c r="GK52" i="3"/>
  <c r="GL49" i="3" s="1"/>
  <c r="FK30" i="3"/>
  <c r="GK58" i="3"/>
  <c r="FK17" i="3"/>
  <c r="FL13" i="3" s="1"/>
  <c r="FL15" i="3" s="1"/>
  <c r="GL26" i="3" l="1"/>
  <c r="GL27" i="3" s="1"/>
  <c r="GL72" i="3"/>
  <c r="GM131" i="3"/>
  <c r="GN133" i="3" s="1"/>
  <c r="FJ42" i="3"/>
  <c r="FJ69" i="3" s="1"/>
  <c r="FJ73" i="3" s="1"/>
  <c r="FJ64" i="3"/>
  <c r="FK36" i="3"/>
  <c r="FK35" i="3"/>
  <c r="GK57" i="3"/>
  <c r="GL51" i="3"/>
  <c r="GL54" i="3" s="1"/>
  <c r="FJ70" i="3" l="1"/>
  <c r="GM62" i="3"/>
  <c r="GM25" i="3"/>
  <c r="GM14" i="3"/>
  <c r="GM68" i="3"/>
  <c r="FK38" i="3"/>
  <c r="FK41" i="3" s="1"/>
  <c r="FK63" i="3" s="1"/>
  <c r="GL28" i="3"/>
  <c r="GM24" i="3" s="1"/>
  <c r="GL32" i="3"/>
  <c r="GL52" i="3"/>
  <c r="GM49" i="3" s="1"/>
  <c r="GL58" i="3"/>
  <c r="FL16" i="3"/>
  <c r="FL19" i="3" s="1"/>
  <c r="FK42" i="3" l="1"/>
  <c r="FK69" i="3" s="1"/>
  <c r="FK73" i="3" s="1"/>
  <c r="GM26" i="3"/>
  <c r="GM27" i="3" s="1"/>
  <c r="GN131" i="3"/>
  <c r="GO133" i="3" s="1"/>
  <c r="GM72" i="3"/>
  <c r="FK64" i="3"/>
  <c r="FL21" i="3"/>
  <c r="FL30" i="3"/>
  <c r="GL57" i="3"/>
  <c r="GM51" i="3"/>
  <c r="GM54" i="3" s="1"/>
  <c r="FL17" i="3"/>
  <c r="FM13" i="3" s="1"/>
  <c r="FM15" i="3" s="1"/>
  <c r="FK70" i="3" l="1"/>
  <c r="GN25" i="3"/>
  <c r="GN14" i="3"/>
  <c r="GN62" i="3"/>
  <c r="GN68" i="3"/>
  <c r="GM28" i="3"/>
  <c r="GN24" i="3" s="1"/>
  <c r="GM32" i="3"/>
  <c r="FL35" i="3"/>
  <c r="FL36" i="3"/>
  <c r="GM52" i="3"/>
  <c r="GN49" i="3" s="1"/>
  <c r="FM16" i="3"/>
  <c r="FM19" i="3" s="1"/>
  <c r="GN26" i="3" l="1"/>
  <c r="GN27" i="3" s="1"/>
  <c r="GN72" i="3"/>
  <c r="GO131" i="3"/>
  <c r="GP133" i="3" s="1"/>
  <c r="FL38" i="3"/>
  <c r="FL42" i="3" s="1"/>
  <c r="FL69" i="3" s="1"/>
  <c r="FM21" i="3"/>
  <c r="FM30" i="3"/>
  <c r="GN51" i="3"/>
  <c r="GN54" i="3" s="1"/>
  <c r="GM58" i="3"/>
  <c r="GM57" i="3"/>
  <c r="FM17" i="3"/>
  <c r="FN13" i="3" s="1"/>
  <c r="FN15" i="3" s="1"/>
  <c r="GO62" i="3" l="1"/>
  <c r="GO14" i="3"/>
  <c r="GO68" i="3"/>
  <c r="GO25" i="3"/>
  <c r="FL41" i="3"/>
  <c r="FL63" i="3" s="1"/>
  <c r="FL73" i="3" s="1"/>
  <c r="GN28" i="3"/>
  <c r="GO24" i="3" s="1"/>
  <c r="GN32" i="3"/>
  <c r="FM35" i="3"/>
  <c r="FM36" i="3"/>
  <c r="FL70" i="3"/>
  <c r="GN52" i="3"/>
  <c r="GO49" i="3" s="1"/>
  <c r="GO26" i="3" l="1"/>
  <c r="GP131" i="3"/>
  <c r="GQ133" i="3" s="1"/>
  <c r="GO72" i="3"/>
  <c r="FL64" i="3"/>
  <c r="FM38" i="3"/>
  <c r="FM42" i="3" s="1"/>
  <c r="FM69" i="3" s="1"/>
  <c r="GO27" i="3"/>
  <c r="GN58" i="3"/>
  <c r="GN57" i="3"/>
  <c r="GO51" i="3"/>
  <c r="GO54" i="3" s="1"/>
  <c r="FN16" i="3"/>
  <c r="FN19" i="3" s="1"/>
  <c r="GP25" i="3" l="1"/>
  <c r="GP68" i="3"/>
  <c r="GP62" i="3"/>
  <c r="GP14" i="3"/>
  <c r="FM41" i="3"/>
  <c r="FM63" i="3" s="1"/>
  <c r="FM73" i="3" s="1"/>
  <c r="GO28" i="3"/>
  <c r="GP24" i="3" s="1"/>
  <c r="GO32" i="3"/>
  <c r="FM70" i="3"/>
  <c r="FN21" i="3"/>
  <c r="GO52" i="3"/>
  <c r="GP49" i="3" s="1"/>
  <c r="FN30" i="3"/>
  <c r="GO58" i="3"/>
  <c r="FN17" i="3"/>
  <c r="FO13" i="3" s="1"/>
  <c r="FO15" i="3" s="1"/>
  <c r="FM64" i="3" l="1"/>
  <c r="GP26" i="3"/>
  <c r="GP27" i="3" s="1"/>
  <c r="GP72" i="3"/>
  <c r="GQ131" i="3"/>
  <c r="GR133" i="3" s="1"/>
  <c r="FN35" i="3"/>
  <c r="FN36" i="3"/>
  <c r="GO57" i="3"/>
  <c r="GP51" i="3"/>
  <c r="GP54" i="3" s="1"/>
  <c r="GQ14" i="3" l="1"/>
  <c r="GQ62" i="3"/>
  <c r="GQ25" i="3"/>
  <c r="GQ68" i="3"/>
  <c r="FN38" i="3"/>
  <c r="FN41" i="3" s="1"/>
  <c r="FN63" i="3" s="1"/>
  <c r="GP28" i="3"/>
  <c r="GQ24" i="3" s="1"/>
  <c r="GP32" i="3"/>
  <c r="GP52" i="3"/>
  <c r="GQ49" i="3" s="1"/>
  <c r="GP57" i="3"/>
  <c r="FO16" i="3"/>
  <c r="FO19" i="3" s="1"/>
  <c r="GQ26" i="3" l="1"/>
  <c r="GQ27" i="3" s="1"/>
  <c r="GQ72" i="3"/>
  <c r="GR131" i="3"/>
  <c r="GS133" i="3" s="1"/>
  <c r="FN42" i="3"/>
  <c r="FN69" i="3" s="1"/>
  <c r="FN73" i="3" s="1"/>
  <c r="FO21" i="3"/>
  <c r="FN64" i="3"/>
  <c r="FO30" i="3"/>
  <c r="GP58" i="3"/>
  <c r="GQ51" i="3"/>
  <c r="GQ54" i="3" s="1"/>
  <c r="FO17" i="3"/>
  <c r="FP13" i="3" s="1"/>
  <c r="FP15" i="3" s="1"/>
  <c r="FN70" i="3" l="1"/>
  <c r="GR62" i="3"/>
  <c r="GR25" i="3"/>
  <c r="GR68" i="3"/>
  <c r="GR14" i="3"/>
  <c r="GQ28" i="3"/>
  <c r="GR24" i="3" s="1"/>
  <c r="GQ32" i="3"/>
  <c r="FO35" i="3"/>
  <c r="FO36" i="3"/>
  <c r="GQ52" i="3"/>
  <c r="GR49" i="3" s="1"/>
  <c r="GQ58" i="3"/>
  <c r="GR26" i="3" l="1"/>
  <c r="GR72" i="3"/>
  <c r="GS131" i="3"/>
  <c r="GT133" i="3" s="1"/>
  <c r="FO38" i="3"/>
  <c r="FO41" i="3" s="1"/>
  <c r="FO63" i="3" s="1"/>
  <c r="GR27" i="3"/>
  <c r="GQ57" i="3"/>
  <c r="GR51" i="3"/>
  <c r="GR54" i="3" s="1"/>
  <c r="FP16" i="3"/>
  <c r="FP19" i="3" s="1"/>
  <c r="GS68" i="3" l="1"/>
  <c r="GS14" i="3"/>
  <c r="GS62" i="3"/>
  <c r="GS25" i="3"/>
  <c r="FO42" i="3"/>
  <c r="FO69" i="3" s="1"/>
  <c r="GR28" i="3"/>
  <c r="GS24" i="3" s="1"/>
  <c r="GR32" i="3"/>
  <c r="FP21" i="3"/>
  <c r="FO64" i="3"/>
  <c r="FP30" i="3"/>
  <c r="GR52" i="3"/>
  <c r="GS49" i="3" s="1"/>
  <c r="FP17" i="3"/>
  <c r="FQ13" i="3" s="1"/>
  <c r="FQ15" i="3" s="1"/>
  <c r="GS26" i="3" l="1"/>
  <c r="GS27" i="3" s="1"/>
  <c r="GS72" i="3"/>
  <c r="GT131" i="3"/>
  <c r="GU133" i="3" s="1"/>
  <c r="FO70" i="3"/>
  <c r="FO73" i="3"/>
  <c r="FP36" i="3"/>
  <c r="FP35" i="3"/>
  <c r="GS51" i="3"/>
  <c r="GS54" i="3" s="1"/>
  <c r="GR58" i="3"/>
  <c r="GR57" i="3"/>
  <c r="GT25" i="3" l="1"/>
  <c r="GT14" i="3"/>
  <c r="GT68" i="3"/>
  <c r="GT62" i="3"/>
  <c r="FP38" i="3"/>
  <c r="FP41" i="3" s="1"/>
  <c r="FP63" i="3" s="1"/>
  <c r="GS28" i="3"/>
  <c r="GT24" i="3" s="1"/>
  <c r="GS32" i="3"/>
  <c r="GS52" i="3"/>
  <c r="GT49" i="3" s="1"/>
  <c r="FQ16" i="3"/>
  <c r="FQ19" i="3" s="1"/>
  <c r="GT26" i="3" l="1"/>
  <c r="GT27" i="3" s="1"/>
  <c r="GT72" i="3"/>
  <c r="GU131" i="3"/>
  <c r="GV133" i="3" s="1"/>
  <c r="FP42" i="3"/>
  <c r="FP69" i="3" s="1"/>
  <c r="FP73" i="3" s="1"/>
  <c r="FP64" i="3"/>
  <c r="FQ21" i="3"/>
  <c r="FQ30" i="3"/>
  <c r="FQ17" i="3"/>
  <c r="FR13" i="3" s="1"/>
  <c r="FR15" i="3" s="1"/>
  <c r="GS57" i="3"/>
  <c r="GS58" i="3"/>
  <c r="GT51" i="3"/>
  <c r="GT54" i="3" s="1"/>
  <c r="GU68" i="3" l="1"/>
  <c r="GU14" i="3"/>
  <c r="GU62" i="3"/>
  <c r="GU25" i="3"/>
  <c r="FP70" i="3"/>
  <c r="GT28" i="3"/>
  <c r="GU24" i="3" s="1"/>
  <c r="GT32" i="3"/>
  <c r="FQ35" i="3"/>
  <c r="FQ36" i="3"/>
  <c r="GT52" i="3"/>
  <c r="GU49" i="3" s="1"/>
  <c r="GT58" i="3"/>
  <c r="FR16" i="3"/>
  <c r="FR19" i="3" s="1"/>
  <c r="GU26" i="3" l="1"/>
  <c r="GU27" i="3" s="1"/>
  <c r="GU72" i="3"/>
  <c r="GV131" i="3"/>
  <c r="GW133" i="3" s="1"/>
  <c r="FQ38" i="3"/>
  <c r="FQ41" i="3" s="1"/>
  <c r="FQ63" i="3" s="1"/>
  <c r="FQ64" i="3" s="1"/>
  <c r="FR21" i="3"/>
  <c r="FR30" i="3"/>
  <c r="GT57" i="3"/>
  <c r="GU51" i="3"/>
  <c r="GU54" i="3" s="1"/>
  <c r="FR17" i="3"/>
  <c r="FS13" i="3" s="1"/>
  <c r="FS15" i="3" s="1"/>
  <c r="GV25" i="3" l="1"/>
  <c r="GV68" i="3"/>
  <c r="GV14" i="3"/>
  <c r="GV62" i="3"/>
  <c r="FQ42" i="3"/>
  <c r="FQ69" i="3" s="1"/>
  <c r="GU28" i="3"/>
  <c r="GV24" i="3" s="1"/>
  <c r="GU32" i="3"/>
  <c r="FR36" i="3"/>
  <c r="FR35" i="3"/>
  <c r="GU52" i="3"/>
  <c r="GV49" i="3" s="1"/>
  <c r="GV26" i="3" l="1"/>
  <c r="GV72" i="3"/>
  <c r="GW131" i="3"/>
  <c r="GX133" i="3" s="1"/>
  <c r="FQ73" i="3"/>
  <c r="FQ70" i="3"/>
  <c r="FR38" i="3"/>
  <c r="FR42" i="3" s="1"/>
  <c r="FR69" i="3" s="1"/>
  <c r="FR41" i="3"/>
  <c r="FR63" i="3" s="1"/>
  <c r="GV27" i="3"/>
  <c r="GV51" i="3"/>
  <c r="GV54" i="3" s="1"/>
  <c r="GU57" i="3"/>
  <c r="GU58" i="3"/>
  <c r="FS16" i="3"/>
  <c r="FS19" i="3" s="1"/>
  <c r="GW25" i="3" l="1"/>
  <c r="GW68" i="3"/>
  <c r="GW14" i="3"/>
  <c r="GW62" i="3"/>
  <c r="FR73" i="3"/>
  <c r="GV28" i="3"/>
  <c r="GW24" i="3" s="1"/>
  <c r="GV32" i="3"/>
  <c r="FR70" i="3"/>
  <c r="FS21" i="3"/>
  <c r="FR64" i="3"/>
  <c r="GV52" i="3"/>
  <c r="GW49" i="3" s="1"/>
  <c r="FS30" i="3"/>
  <c r="FS17" i="3"/>
  <c r="FT13" i="3" s="1"/>
  <c r="GV58" i="3"/>
  <c r="GW26" i="3" l="1"/>
  <c r="GW72" i="3"/>
  <c r="GX131" i="3"/>
  <c r="GY133" i="3" s="1"/>
  <c r="FS36" i="3"/>
  <c r="FS35" i="3"/>
  <c r="FT15" i="3"/>
  <c r="FT16" i="3" s="1"/>
  <c r="FT19" i="3" s="1"/>
  <c r="GW27" i="3"/>
  <c r="GV57" i="3"/>
  <c r="GW51" i="3"/>
  <c r="GW54" i="3" s="1"/>
  <c r="GX25" i="3" l="1"/>
  <c r="GX62" i="3"/>
  <c r="GX68" i="3"/>
  <c r="GX14" i="3"/>
  <c r="FS38" i="3"/>
  <c r="FS41" i="3" s="1"/>
  <c r="FS63" i="3" s="1"/>
  <c r="GW28" i="3"/>
  <c r="GX24" i="3" s="1"/>
  <c r="GW32" i="3"/>
  <c r="FT21" i="3"/>
  <c r="FT30" i="3"/>
  <c r="FT17" i="3"/>
  <c r="FU13" i="3" s="1"/>
  <c r="FU15" i="3" s="1"/>
  <c r="GW52" i="3"/>
  <c r="GX49" i="3" s="1"/>
  <c r="GW58" i="3"/>
  <c r="GX72" i="3" l="1"/>
  <c r="GY131" i="3"/>
  <c r="GZ133" i="3" s="1"/>
  <c r="GX26" i="3"/>
  <c r="GX27" i="3" s="1"/>
  <c r="FS64" i="3"/>
  <c r="FS42" i="3"/>
  <c r="FS69" i="3" s="1"/>
  <c r="FS73" i="3" s="1"/>
  <c r="FT35" i="3"/>
  <c r="FT36" i="3"/>
  <c r="GW57" i="3"/>
  <c r="GX51" i="3"/>
  <c r="GX54" i="3" s="1"/>
  <c r="FU16" i="3"/>
  <c r="FU19" i="3" s="1"/>
  <c r="GY25" i="3" l="1"/>
  <c r="GY62" i="3"/>
  <c r="GY68" i="3"/>
  <c r="GY14" i="3"/>
  <c r="FS70" i="3"/>
  <c r="FT38" i="3"/>
  <c r="FT41" i="3" s="1"/>
  <c r="FT63" i="3" s="1"/>
  <c r="GX28" i="3"/>
  <c r="GY24" i="3" s="1"/>
  <c r="GX32" i="3"/>
  <c r="FU21" i="3"/>
  <c r="FU30" i="3"/>
  <c r="GX52" i="3"/>
  <c r="GY49" i="3" s="1"/>
  <c r="FU17" i="3"/>
  <c r="FV13" i="3" s="1"/>
  <c r="FV15" i="3" s="1"/>
  <c r="GY72" i="3" l="1"/>
  <c r="GZ131" i="3"/>
  <c r="HA133" i="3" s="1"/>
  <c r="GY26" i="3"/>
  <c r="GY27" i="3" s="1"/>
  <c r="GY32" i="3" s="1"/>
  <c r="FT42" i="3"/>
  <c r="FT69" i="3" s="1"/>
  <c r="FT70" i="3" s="1"/>
  <c r="FT64" i="3"/>
  <c r="FU36" i="3"/>
  <c r="FU35" i="3"/>
  <c r="GY51" i="3"/>
  <c r="GY54" i="3" s="1"/>
  <c r="GX57" i="3"/>
  <c r="GX58" i="3"/>
  <c r="FV16" i="3"/>
  <c r="FV19" i="3" s="1"/>
  <c r="GZ68" i="3" l="1"/>
  <c r="GZ62" i="3"/>
  <c r="GZ14" i="3"/>
  <c r="GZ25" i="3"/>
  <c r="FT73" i="3"/>
  <c r="FU38" i="3"/>
  <c r="FU42" i="3" s="1"/>
  <c r="FU69" i="3" s="1"/>
  <c r="GY28" i="3"/>
  <c r="GZ24" i="3" s="1"/>
  <c r="FV21" i="3"/>
  <c r="GY52" i="3"/>
  <c r="GZ49" i="3" s="1"/>
  <c r="FV30" i="3"/>
  <c r="FV17" i="3"/>
  <c r="FW13" i="3" s="1"/>
  <c r="GZ26" i="3" l="1"/>
  <c r="GZ72" i="3"/>
  <c r="HA131" i="3"/>
  <c r="HB133" i="3" s="1"/>
  <c r="FU41" i="3"/>
  <c r="FU63" i="3" s="1"/>
  <c r="FU64" i="3" s="1"/>
  <c r="FV35" i="3"/>
  <c r="FV36" i="3"/>
  <c r="FU70" i="3"/>
  <c r="FW15" i="3"/>
  <c r="FW16" i="3" s="1"/>
  <c r="FW19" i="3" s="1"/>
  <c r="GZ27" i="3"/>
  <c r="GZ51" i="3"/>
  <c r="GZ54" i="3" s="1"/>
  <c r="GY58" i="3"/>
  <c r="GY57" i="3"/>
  <c r="HA14" i="3" l="1"/>
  <c r="HA62" i="3"/>
  <c r="HA25" i="3"/>
  <c r="HA68" i="3"/>
  <c r="FU73" i="3"/>
  <c r="FV38" i="3"/>
  <c r="FV42" i="3" s="1"/>
  <c r="FV69" i="3" s="1"/>
  <c r="GZ28" i="3"/>
  <c r="HA24" i="3" s="1"/>
  <c r="GZ32" i="3"/>
  <c r="FW21" i="3"/>
  <c r="FW30" i="3"/>
  <c r="FW17" i="3"/>
  <c r="FX13" i="3" s="1"/>
  <c r="FX15" i="3" s="1"/>
  <c r="FX16" i="3" s="1"/>
  <c r="FX19" i="3" s="1"/>
  <c r="GZ52" i="3"/>
  <c r="HA49" i="3" s="1"/>
  <c r="HA26" i="3" l="1"/>
  <c r="HA27" i="3" s="1"/>
  <c r="HB131" i="3"/>
  <c r="HC133" i="3" s="1"/>
  <c r="HA72" i="3"/>
  <c r="FV41" i="3"/>
  <c r="FV63" i="3" s="1"/>
  <c r="FV73" i="3" s="1"/>
  <c r="FW35" i="3"/>
  <c r="FW36" i="3"/>
  <c r="FV70" i="3"/>
  <c r="FX21" i="3"/>
  <c r="FX30" i="3"/>
  <c r="FX17" i="3"/>
  <c r="FY13" i="3" s="1"/>
  <c r="FY15" i="3" s="1"/>
  <c r="GZ57" i="3"/>
  <c r="GZ58" i="3"/>
  <c r="HA51" i="3"/>
  <c r="HA54" i="3" s="1"/>
  <c r="HC131" i="3" l="1"/>
  <c r="HD133" i="3" s="1"/>
  <c r="HB14" i="3"/>
  <c r="HB68" i="3"/>
  <c r="HB25" i="3"/>
  <c r="HB62" i="3"/>
  <c r="FV64" i="3"/>
  <c r="HA28" i="3"/>
  <c r="HB24" i="3" s="1"/>
  <c r="HA32" i="3"/>
  <c r="FW38" i="3"/>
  <c r="FW41" i="3" s="1"/>
  <c r="FW63" i="3" s="1"/>
  <c r="FX36" i="3"/>
  <c r="FX35" i="3"/>
  <c r="HA52" i="3"/>
  <c r="HB49" i="3" s="1"/>
  <c r="FY16" i="3"/>
  <c r="FY19" i="3" s="1"/>
  <c r="HB72" i="3" l="1"/>
  <c r="HB26" i="3"/>
  <c r="HB27" i="3" s="1"/>
  <c r="HB32" i="3" s="1"/>
  <c r="HD131" i="3"/>
  <c r="HE133" i="3" s="1"/>
  <c r="FX38" i="3"/>
  <c r="FX42" i="3" s="1"/>
  <c r="FX69" i="3" s="1"/>
  <c r="FX70" i="3" s="1"/>
  <c r="FW64" i="3"/>
  <c r="FW42" i="3"/>
  <c r="FW69" i="3" s="1"/>
  <c r="FW70" i="3" s="1"/>
  <c r="FY21" i="3"/>
  <c r="FY30" i="3"/>
  <c r="HA58" i="3"/>
  <c r="HA57" i="3"/>
  <c r="HB51" i="3"/>
  <c r="HB54" i="3" s="1"/>
  <c r="FY17" i="3"/>
  <c r="FZ13" i="3" s="1"/>
  <c r="FZ15" i="3" s="1"/>
  <c r="FX41" i="3" l="1"/>
  <c r="FX63" i="3" s="1"/>
  <c r="FX64" i="3" s="1"/>
  <c r="HC68" i="3"/>
  <c r="HC14" i="3"/>
  <c r="HC62" i="3"/>
  <c r="HC25" i="3"/>
  <c r="FW73" i="3"/>
  <c r="FY36" i="3"/>
  <c r="FY35" i="3"/>
  <c r="HB58" i="3"/>
  <c r="HB28" i="3"/>
  <c r="HC24" i="3" s="1"/>
  <c r="HB57" i="3"/>
  <c r="HB52" i="3"/>
  <c r="HC49" i="3" s="1"/>
  <c r="FX73" i="3" l="1"/>
  <c r="HC26" i="3"/>
  <c r="HD62" i="3"/>
  <c r="HD25" i="3"/>
  <c r="HD68" i="3"/>
  <c r="HD14" i="3"/>
  <c r="HE131" i="3"/>
  <c r="HF133" i="3" s="1"/>
  <c r="HC72" i="3"/>
  <c r="FY38" i="3"/>
  <c r="FY41" i="3" s="1"/>
  <c r="FY63" i="3" s="1"/>
  <c r="HC27" i="3"/>
  <c r="HC51" i="3"/>
  <c r="HC54" i="3" s="1"/>
  <c r="FZ16" i="3"/>
  <c r="FZ19" i="3" s="1"/>
  <c r="HE68" i="3" l="1"/>
  <c r="HE25" i="3"/>
  <c r="HE14" i="3"/>
  <c r="HE62" i="3"/>
  <c r="HD72" i="3"/>
  <c r="FY42" i="3"/>
  <c r="FY69" i="3" s="1"/>
  <c r="FY73" i="3" s="1"/>
  <c r="HC28" i="3"/>
  <c r="HD24" i="3" s="1"/>
  <c r="HD26" i="3" s="1"/>
  <c r="HC32" i="3"/>
  <c r="FY64" i="3"/>
  <c r="FZ21" i="3"/>
  <c r="HC52" i="3"/>
  <c r="HD49" i="3" s="1"/>
  <c r="FZ30" i="3"/>
  <c r="HC57" i="3"/>
  <c r="FZ17" i="3"/>
  <c r="GA13" i="3" s="1"/>
  <c r="GA15" i="3" s="1"/>
  <c r="HE72" i="3" l="1"/>
  <c r="HF131" i="3"/>
  <c r="HG133" i="3" s="1"/>
  <c r="FY70" i="3"/>
  <c r="FZ35" i="3"/>
  <c r="FZ36" i="3"/>
  <c r="HD27" i="3"/>
  <c r="HC58" i="3"/>
  <c r="HD51" i="3"/>
  <c r="HD54" i="3" s="1"/>
  <c r="HG131" i="3" l="1"/>
  <c r="HH133" i="3" s="1"/>
  <c r="HF25" i="3"/>
  <c r="HF62" i="3"/>
  <c r="HF14" i="3"/>
  <c r="HF68" i="3"/>
  <c r="FZ38" i="3"/>
  <c r="FZ41" i="3" s="1"/>
  <c r="FZ63" i="3" s="1"/>
  <c r="HD28" i="3"/>
  <c r="HE24" i="3" s="1"/>
  <c r="HE26" i="3" s="1"/>
  <c r="HD32" i="3"/>
  <c r="HD52" i="3"/>
  <c r="HE49" i="3" s="1"/>
  <c r="GA16" i="3"/>
  <c r="GA19" i="3" s="1"/>
  <c r="HH131" i="3" l="1"/>
  <c r="HI133" i="3" s="1"/>
  <c r="HF72" i="3"/>
  <c r="FZ42" i="3"/>
  <c r="FZ69" i="3" s="1"/>
  <c r="FZ70" i="3" s="1"/>
  <c r="GA21" i="3"/>
  <c r="FZ64" i="3"/>
  <c r="HE27" i="3"/>
  <c r="GA30" i="3"/>
  <c r="HD57" i="3"/>
  <c r="HD58" i="3"/>
  <c r="HE51" i="3"/>
  <c r="HE54" i="3" s="1"/>
  <c r="GA17" i="3"/>
  <c r="GB13" i="3" s="1"/>
  <c r="GB15" i="3" s="1"/>
  <c r="HG14" i="3" l="1"/>
  <c r="HG68" i="3"/>
  <c r="HG25" i="3"/>
  <c r="HG62" i="3"/>
  <c r="FZ73" i="3"/>
  <c r="HE28" i="3"/>
  <c r="HF24" i="3" s="1"/>
  <c r="HF26" i="3" s="1"/>
  <c r="HE32" i="3"/>
  <c r="GA36" i="3"/>
  <c r="GA35" i="3"/>
  <c r="HE52" i="3"/>
  <c r="HF49" i="3" s="1"/>
  <c r="GB16" i="3"/>
  <c r="GB19" i="3" s="1"/>
  <c r="HG72" i="3" l="1"/>
  <c r="HH25" i="3"/>
  <c r="HH62" i="3"/>
  <c r="HH68" i="3"/>
  <c r="HH14" i="3"/>
  <c r="HI131" i="3"/>
  <c r="HJ133" i="3" s="1"/>
  <c r="GA38" i="3"/>
  <c r="GA42" i="3" s="1"/>
  <c r="GA69" i="3" s="1"/>
  <c r="GB21" i="3"/>
  <c r="GB30" i="3"/>
  <c r="HF27" i="3"/>
  <c r="HE58" i="3"/>
  <c r="HE57" i="3"/>
  <c r="HF51" i="3"/>
  <c r="HF54" i="3" s="1"/>
  <c r="GB17" i="3"/>
  <c r="GC13" i="3" s="1"/>
  <c r="GC15" i="3" s="1"/>
  <c r="GA41" i="3" l="1"/>
  <c r="GA63" i="3" s="1"/>
  <c r="GA73" i="3" s="1"/>
  <c r="HH72" i="3"/>
  <c r="HI14" i="3"/>
  <c r="HI68" i="3"/>
  <c r="HI25" i="3"/>
  <c r="HI62" i="3"/>
  <c r="HF28" i="3"/>
  <c r="HG24" i="3" s="1"/>
  <c r="HG26" i="3" s="1"/>
  <c r="HF32" i="3"/>
  <c r="GB35" i="3"/>
  <c r="GB36" i="3"/>
  <c r="GA70" i="3"/>
  <c r="HF52" i="3"/>
  <c r="HG49" i="3" s="1"/>
  <c r="HF57" i="3"/>
  <c r="GC16" i="3"/>
  <c r="GC19" i="3" s="1"/>
  <c r="GA64" i="3" l="1"/>
  <c r="HI72" i="3"/>
  <c r="HJ131" i="3"/>
  <c r="HK133" i="3" s="1"/>
  <c r="GB38" i="3"/>
  <c r="GB42" i="3" s="1"/>
  <c r="GB69" i="3" s="1"/>
  <c r="GC21" i="3"/>
  <c r="HG27" i="3"/>
  <c r="GC30" i="3"/>
  <c r="HF58" i="3"/>
  <c r="HG51" i="3"/>
  <c r="HG54" i="3" s="1"/>
  <c r="GC17" i="3"/>
  <c r="GD13" i="3" s="1"/>
  <c r="GD15" i="3" s="1"/>
  <c r="HJ25" i="3" l="1"/>
  <c r="HJ68" i="3"/>
  <c r="HJ14" i="3"/>
  <c r="HJ62" i="3"/>
  <c r="HK131" i="3"/>
  <c r="HL133" i="3" s="1"/>
  <c r="GB41" i="3"/>
  <c r="GB63" i="3" s="1"/>
  <c r="GB73" i="3" s="1"/>
  <c r="HG28" i="3"/>
  <c r="HH24" i="3" s="1"/>
  <c r="HH26" i="3" s="1"/>
  <c r="HG32" i="3"/>
  <c r="GC36" i="3"/>
  <c r="GC35" i="3"/>
  <c r="GB70" i="3"/>
  <c r="HG52" i="3"/>
  <c r="HH49" i="3" s="1"/>
  <c r="GD16" i="3"/>
  <c r="GD19" i="3" s="1"/>
  <c r="HJ72" i="3" l="1"/>
  <c r="HL131" i="3"/>
  <c r="HM133" i="3" s="1"/>
  <c r="GB64" i="3"/>
  <c r="GC38" i="3"/>
  <c r="GC41" i="3" s="1"/>
  <c r="GC63" i="3" s="1"/>
  <c r="GD21" i="3"/>
  <c r="GD30" i="3"/>
  <c r="HH51" i="3"/>
  <c r="HH54" i="3" s="1"/>
  <c r="HH27" i="3"/>
  <c r="HG57" i="3"/>
  <c r="HG58" i="3"/>
  <c r="GD17" i="3"/>
  <c r="GE13" i="3" s="1"/>
  <c r="GE15" i="3" s="1"/>
  <c r="HK68" i="3" l="1"/>
  <c r="HK25" i="3"/>
  <c r="HK14" i="3"/>
  <c r="HK62" i="3"/>
  <c r="HM131" i="3"/>
  <c r="HN133" i="3" s="1"/>
  <c r="GC42" i="3"/>
  <c r="GC69" i="3" s="1"/>
  <c r="GC73" i="3" s="1"/>
  <c r="HH28" i="3"/>
  <c r="HI24" i="3" s="1"/>
  <c r="HI26" i="3" s="1"/>
  <c r="HH32" i="3"/>
  <c r="GD36" i="3"/>
  <c r="GD35" i="3"/>
  <c r="GC64" i="3"/>
  <c r="HH52" i="3"/>
  <c r="HI49" i="3" s="1"/>
  <c r="HH58" i="3"/>
  <c r="HH57" i="3"/>
  <c r="HK72" i="3" l="1"/>
  <c r="HL14" i="3"/>
  <c r="HL68" i="3"/>
  <c r="HL25" i="3"/>
  <c r="HL62" i="3"/>
  <c r="HN131" i="3"/>
  <c r="HO133" i="3" s="1"/>
  <c r="GD38" i="3"/>
  <c r="GD42" i="3" s="1"/>
  <c r="GD69" i="3" s="1"/>
  <c r="GC70" i="3"/>
  <c r="HI27" i="3"/>
  <c r="HI51" i="3"/>
  <c r="HI54" i="3" s="1"/>
  <c r="GE16" i="3"/>
  <c r="GE19" i="3" s="1"/>
  <c r="GD41" i="3" l="1"/>
  <c r="GD63" i="3" s="1"/>
  <c r="GD73" i="3" s="1"/>
  <c r="HL72" i="3"/>
  <c r="HM25" i="3"/>
  <c r="HM14" i="3"/>
  <c r="HM68" i="3"/>
  <c r="HM62" i="3"/>
  <c r="HI28" i="3"/>
  <c r="HJ24" i="3" s="1"/>
  <c r="HJ26" i="3" s="1"/>
  <c r="HI32" i="3"/>
  <c r="GD70" i="3"/>
  <c r="GE21" i="3"/>
  <c r="HI52" i="3"/>
  <c r="HJ49" i="3" s="1"/>
  <c r="GE30" i="3"/>
  <c r="GE17" i="3"/>
  <c r="GF13" i="3" s="1"/>
  <c r="GF15" i="3" s="1"/>
  <c r="HI58" i="3"/>
  <c r="GD64" i="3" l="1"/>
  <c r="HO131" i="3"/>
  <c r="HP133" i="3" s="1"/>
  <c r="HN62" i="3"/>
  <c r="HN14" i="3"/>
  <c r="HN68" i="3"/>
  <c r="HN25" i="3"/>
  <c r="HM72" i="3"/>
  <c r="GE35" i="3"/>
  <c r="GE36" i="3"/>
  <c r="HJ27" i="3"/>
  <c r="HI57" i="3"/>
  <c r="HJ51" i="3"/>
  <c r="HJ54" i="3" s="1"/>
  <c r="GF16" i="3"/>
  <c r="GF19" i="3" s="1"/>
  <c r="HN72" i="3" l="1"/>
  <c r="HO62" i="3"/>
  <c r="HO68" i="3"/>
  <c r="HO14" i="3"/>
  <c r="HO25" i="3"/>
  <c r="GE38" i="3"/>
  <c r="GE41" i="3" s="1"/>
  <c r="GE63" i="3" s="1"/>
  <c r="HJ28" i="3"/>
  <c r="HK24" i="3" s="1"/>
  <c r="HK26" i="3" s="1"/>
  <c r="HJ32" i="3"/>
  <c r="GF21" i="3"/>
  <c r="HJ52" i="3"/>
  <c r="HK49" i="3" s="1"/>
  <c r="GF30" i="3"/>
  <c r="GF17" i="3"/>
  <c r="GG13" i="3" s="1"/>
  <c r="GG15" i="3" s="1"/>
  <c r="HO72" i="3" l="1"/>
  <c r="GE42" i="3"/>
  <c r="GE69" i="3" s="1"/>
  <c r="GE70" i="3" s="1"/>
  <c r="HP131" i="3"/>
  <c r="HQ133" i="3" s="1"/>
  <c r="GE64" i="3"/>
  <c r="GF36" i="3"/>
  <c r="GF35" i="3"/>
  <c r="HK27" i="3"/>
  <c r="HK32" i="3" s="1"/>
  <c r="HJ57" i="3"/>
  <c r="HJ58" i="3"/>
  <c r="HK51" i="3"/>
  <c r="HK54" i="3" s="1"/>
  <c r="GE73" i="3" l="1"/>
  <c r="HP25" i="3"/>
  <c r="HP68" i="3"/>
  <c r="HP62" i="3"/>
  <c r="HP14" i="3"/>
  <c r="GF38" i="3"/>
  <c r="GF42" i="3" s="1"/>
  <c r="GF69" i="3" s="1"/>
  <c r="HK28" i="3"/>
  <c r="HL24" i="3" s="1"/>
  <c r="HL26" i="3" s="1"/>
  <c r="HK52" i="3"/>
  <c r="HL49" i="3" s="1"/>
  <c r="HK57" i="3"/>
  <c r="GG16" i="3"/>
  <c r="GG19" i="3" s="1"/>
  <c r="HP72" i="3" l="1"/>
  <c r="HQ131" i="3"/>
  <c r="HR133" i="3" s="1"/>
  <c r="GF41" i="3"/>
  <c r="GF63" i="3" s="1"/>
  <c r="GF73" i="3" s="1"/>
  <c r="GF70" i="3"/>
  <c r="GG21" i="3"/>
  <c r="GG30" i="3"/>
  <c r="HL27" i="3"/>
  <c r="GG17" i="3"/>
  <c r="GH13" i="3" s="1"/>
  <c r="GH15" i="3" s="1"/>
  <c r="HK58" i="3"/>
  <c r="HL51" i="3"/>
  <c r="HL54" i="3" s="1"/>
  <c r="GF64" i="3" l="1"/>
  <c r="HQ25" i="3"/>
  <c r="HQ68" i="3"/>
  <c r="HQ14" i="3"/>
  <c r="HQ62" i="3"/>
  <c r="HL28" i="3"/>
  <c r="HM24" i="3" s="1"/>
  <c r="HM26" i="3" s="1"/>
  <c r="HL32" i="3"/>
  <c r="GG35" i="3"/>
  <c r="GG36" i="3"/>
  <c r="HL52" i="3"/>
  <c r="HM49" i="3" s="1"/>
  <c r="GH16" i="3"/>
  <c r="GH19" i="3" s="1"/>
  <c r="HQ72" i="3" l="1"/>
  <c r="HR131" i="3"/>
  <c r="HS133" i="3" s="1"/>
  <c r="GG38" i="3"/>
  <c r="GG42" i="3" s="1"/>
  <c r="GG69" i="3" s="1"/>
  <c r="GG70" i="3" s="1"/>
  <c r="GH21" i="3"/>
  <c r="GH30" i="3"/>
  <c r="HM27" i="3"/>
  <c r="GH17" i="3"/>
  <c r="GI13" i="3" s="1"/>
  <c r="HM51" i="3"/>
  <c r="HM54" i="3" s="1"/>
  <c r="HL57" i="3"/>
  <c r="HL58" i="3"/>
  <c r="HR62" i="3" l="1"/>
  <c r="HR68" i="3"/>
  <c r="HR14" i="3"/>
  <c r="HR25" i="3"/>
  <c r="GG41" i="3"/>
  <c r="GG63" i="3" s="1"/>
  <c r="GG73" i="3" s="1"/>
  <c r="HM28" i="3"/>
  <c r="HN24" i="3" s="1"/>
  <c r="HN26" i="3" s="1"/>
  <c r="HM32" i="3"/>
  <c r="GH35" i="3"/>
  <c r="GH36" i="3"/>
  <c r="GI15" i="3"/>
  <c r="GI16" i="3" s="1"/>
  <c r="GI19" i="3" s="1"/>
  <c r="HM52" i="3"/>
  <c r="HN49" i="3" s="1"/>
  <c r="HM58" i="3"/>
  <c r="HS131" i="3" l="1"/>
  <c r="HT133" i="3" s="1"/>
  <c r="HR72" i="3"/>
  <c r="GG64" i="3"/>
  <c r="GH38" i="3"/>
  <c r="GH42" i="3" s="1"/>
  <c r="GH69" i="3" s="1"/>
  <c r="GI30" i="3"/>
  <c r="GI21" i="3"/>
  <c r="GI17" i="3"/>
  <c r="GJ13" i="3" s="1"/>
  <c r="GJ15" i="3" s="1"/>
  <c r="HN27" i="3"/>
  <c r="HM57" i="3"/>
  <c r="HN51" i="3"/>
  <c r="HN54" i="3" s="1"/>
  <c r="HS14" i="3" l="1"/>
  <c r="HS62" i="3"/>
  <c r="HS25" i="3"/>
  <c r="HS68" i="3"/>
  <c r="GH41" i="3"/>
  <c r="GH63" i="3" s="1"/>
  <c r="GH73" i="3" s="1"/>
  <c r="GH70" i="3"/>
  <c r="HN28" i="3"/>
  <c r="HO24" i="3" s="1"/>
  <c r="HO26" i="3" s="1"/>
  <c r="HN32" i="3"/>
  <c r="GI35" i="3"/>
  <c r="GI36" i="3"/>
  <c r="HN52" i="3"/>
  <c r="HO49" i="3" s="1"/>
  <c r="HN58" i="3"/>
  <c r="GJ16" i="3"/>
  <c r="GJ19" i="3" s="1"/>
  <c r="HT131" i="3" l="1"/>
  <c r="HU133" i="3" s="1"/>
  <c r="HS72" i="3"/>
  <c r="GH64" i="3"/>
  <c r="GI38" i="3"/>
  <c r="GI42" i="3" s="1"/>
  <c r="GI69" i="3" s="1"/>
  <c r="GI70" i="3" s="1"/>
  <c r="GJ21" i="3"/>
  <c r="GJ30" i="3"/>
  <c r="HO27" i="3"/>
  <c r="GJ17" i="3"/>
  <c r="GK13" i="3" s="1"/>
  <c r="HN57" i="3"/>
  <c r="HO51" i="3"/>
  <c r="HO54" i="3" s="1"/>
  <c r="HT14" i="3" l="1"/>
  <c r="HT68" i="3"/>
  <c r="HT62" i="3"/>
  <c r="HT25" i="3"/>
  <c r="GI41" i="3"/>
  <c r="GI63" i="3" s="1"/>
  <c r="GI73" i="3" s="1"/>
  <c r="HO28" i="3"/>
  <c r="HP24" i="3" s="1"/>
  <c r="HP26" i="3" s="1"/>
  <c r="HO32" i="3"/>
  <c r="GJ35" i="3"/>
  <c r="GJ36" i="3"/>
  <c r="GK15" i="3"/>
  <c r="GK16" i="3" s="1"/>
  <c r="GK19" i="3" s="1"/>
  <c r="HO52" i="3"/>
  <c r="HP49" i="3" s="1"/>
  <c r="HT72" i="3" l="1"/>
  <c r="HU131" i="3"/>
  <c r="HV133" i="3" s="1"/>
  <c r="GI64" i="3"/>
  <c r="GJ38" i="3"/>
  <c r="GJ42" i="3" s="1"/>
  <c r="GJ69" i="3" s="1"/>
  <c r="GK17" i="3"/>
  <c r="GL13" i="3" s="1"/>
  <c r="GL15" i="3" s="1"/>
  <c r="GK30" i="3"/>
  <c r="GK21" i="3"/>
  <c r="HP27" i="3"/>
  <c r="HP51" i="3"/>
  <c r="HP54" i="3" s="1"/>
  <c r="HO57" i="3"/>
  <c r="HO58" i="3"/>
  <c r="HU68" i="3" l="1"/>
  <c r="HU25" i="3"/>
  <c r="HU62" i="3"/>
  <c r="HU14" i="3"/>
  <c r="HP28" i="3"/>
  <c r="HQ24" i="3" s="1"/>
  <c r="HQ26" i="3" s="1"/>
  <c r="HP32" i="3"/>
  <c r="GJ41" i="3"/>
  <c r="GJ63" i="3" s="1"/>
  <c r="GJ70" i="3"/>
  <c r="GK36" i="3"/>
  <c r="GK35" i="3"/>
  <c r="GL16" i="3"/>
  <c r="GL19" i="3" s="1"/>
  <c r="HP52" i="3"/>
  <c r="HQ49" i="3" s="1"/>
  <c r="HP57" i="3"/>
  <c r="HP58" i="3"/>
  <c r="HV131" i="3" l="1"/>
  <c r="HW133" i="3" s="1"/>
  <c r="HU72" i="3"/>
  <c r="GK38" i="3"/>
  <c r="GK41" i="3" s="1"/>
  <c r="GK63" i="3" s="1"/>
  <c r="GJ64" i="3"/>
  <c r="GJ73" i="3"/>
  <c r="GL30" i="3"/>
  <c r="GL36" i="3" s="1"/>
  <c r="GL21" i="3"/>
  <c r="GL17" i="3"/>
  <c r="GM13" i="3" s="1"/>
  <c r="GM15" i="3" s="1"/>
  <c r="HQ27" i="3"/>
  <c r="HQ51" i="3"/>
  <c r="HQ54" i="3" s="1"/>
  <c r="HV25" i="3" l="1"/>
  <c r="HV62" i="3"/>
  <c r="HV68" i="3"/>
  <c r="HV14" i="3"/>
  <c r="GK42" i="3"/>
  <c r="GK69" i="3" s="1"/>
  <c r="GK70" i="3" s="1"/>
  <c r="GK64" i="3"/>
  <c r="HQ28" i="3"/>
  <c r="HR24" i="3" s="1"/>
  <c r="HR26" i="3" s="1"/>
  <c r="HQ32" i="3"/>
  <c r="GL35" i="3"/>
  <c r="GL38" i="3" s="1"/>
  <c r="HQ52" i="3"/>
  <c r="HR49" i="3" s="1"/>
  <c r="HQ57" i="3"/>
  <c r="GM16" i="3"/>
  <c r="GM19" i="3" s="1"/>
  <c r="HV72" i="3" l="1"/>
  <c r="HW131" i="3"/>
  <c r="HX133" i="3" s="1"/>
  <c r="GK73" i="3"/>
  <c r="GL42" i="3"/>
  <c r="GL69" i="3" s="1"/>
  <c r="GL70" i="3" s="1"/>
  <c r="GL41" i="3"/>
  <c r="GL63" i="3" s="1"/>
  <c r="GL64" i="3" s="1"/>
  <c r="GM21" i="3"/>
  <c r="GM30" i="3"/>
  <c r="HR27" i="3"/>
  <c r="HQ58" i="3"/>
  <c r="HR51" i="3"/>
  <c r="HR54" i="3" s="1"/>
  <c r="GM17" i="3"/>
  <c r="GN13" i="3" s="1"/>
  <c r="GN15" i="3" s="1"/>
  <c r="HW62" i="3" l="1"/>
  <c r="HW68" i="3"/>
  <c r="HW25" i="3"/>
  <c r="HW14" i="3"/>
  <c r="GL73" i="3"/>
  <c r="HR28" i="3"/>
  <c r="HS24" i="3" s="1"/>
  <c r="HS26" i="3" s="1"/>
  <c r="HR32" i="3"/>
  <c r="GM36" i="3"/>
  <c r="GM35" i="3"/>
  <c r="HR52" i="3"/>
  <c r="HS49" i="3" s="1"/>
  <c r="HR57" i="3"/>
  <c r="HW72" i="3" l="1"/>
  <c r="HX131" i="3"/>
  <c r="HY133" i="3" s="1"/>
  <c r="GM38" i="3"/>
  <c r="GM41" i="3" s="1"/>
  <c r="GM63" i="3" s="1"/>
  <c r="HS27" i="3"/>
  <c r="HR58" i="3"/>
  <c r="HS51" i="3"/>
  <c r="HS54" i="3" s="1"/>
  <c r="GN16" i="3"/>
  <c r="GN19" i="3" s="1"/>
  <c r="HX68" i="3" l="1"/>
  <c r="HX62" i="3"/>
  <c r="HX14" i="3"/>
  <c r="HX25" i="3"/>
  <c r="GM42" i="3"/>
  <c r="GM69" i="3" s="1"/>
  <c r="GM70" i="3" s="1"/>
  <c r="HS28" i="3"/>
  <c r="HT24" i="3" s="1"/>
  <c r="HT26" i="3" s="1"/>
  <c r="HS32" i="3"/>
  <c r="GN21" i="3"/>
  <c r="GM64" i="3"/>
  <c r="HS52" i="3"/>
  <c r="HT49" i="3" s="1"/>
  <c r="GN30" i="3"/>
  <c r="GN17" i="3"/>
  <c r="GO13" i="3" s="1"/>
  <c r="GO15" i="3" s="1"/>
  <c r="HX72" i="3" l="1"/>
  <c r="HY131" i="3"/>
  <c r="HZ133" i="3" s="1"/>
  <c r="GM73" i="3"/>
  <c r="GN36" i="3"/>
  <c r="GN35" i="3"/>
  <c r="HT27" i="3"/>
  <c r="HT32" i="3" s="1"/>
  <c r="HS58" i="3"/>
  <c r="HS57" i="3"/>
  <c r="HT51" i="3"/>
  <c r="HT54" i="3" s="1"/>
  <c r="HY25" i="3" l="1"/>
  <c r="HY14" i="3"/>
  <c r="HY68" i="3"/>
  <c r="HY62" i="3"/>
  <c r="GN38" i="3"/>
  <c r="GN42" i="3" s="1"/>
  <c r="GN69" i="3" s="1"/>
  <c r="HT28" i="3"/>
  <c r="HU24" i="3" s="1"/>
  <c r="HU26" i="3" s="1"/>
  <c r="HT52" i="3"/>
  <c r="HU49" i="3" s="1"/>
  <c r="HT58" i="3"/>
  <c r="GO16" i="3"/>
  <c r="GO19" i="3" s="1"/>
  <c r="HY72" i="3" l="1"/>
  <c r="GN41" i="3"/>
  <c r="GN63" i="3" s="1"/>
  <c r="GN73" i="3" s="1"/>
  <c r="HZ131" i="3"/>
  <c r="IA133" i="3" s="1"/>
  <c r="GN70" i="3"/>
  <c r="GO21" i="3"/>
  <c r="GO30" i="3"/>
  <c r="HU27" i="3"/>
  <c r="GO17" i="3"/>
  <c r="GP13" i="3" s="1"/>
  <c r="GP15" i="3" s="1"/>
  <c r="HT57" i="3"/>
  <c r="HU51" i="3"/>
  <c r="HU54" i="3" s="1"/>
  <c r="GN64" i="3" l="1"/>
  <c r="HZ25" i="3"/>
  <c r="HZ68" i="3"/>
  <c r="HZ14" i="3"/>
  <c r="HZ62" i="3"/>
  <c r="HU28" i="3"/>
  <c r="HV24" i="3" s="1"/>
  <c r="HV26" i="3" s="1"/>
  <c r="HU32" i="3"/>
  <c r="GO35" i="3"/>
  <c r="GO36" i="3"/>
  <c r="HU52" i="3"/>
  <c r="HV49" i="3" s="1"/>
  <c r="GP16" i="3"/>
  <c r="GP19" i="3" s="1"/>
  <c r="HZ72" i="3" l="1"/>
  <c r="IA131" i="3"/>
  <c r="IB133" i="3" s="1"/>
  <c r="GO38" i="3"/>
  <c r="GO42" i="3" s="1"/>
  <c r="GO69" i="3" s="1"/>
  <c r="GP21" i="3"/>
  <c r="GP30" i="3"/>
  <c r="HV27" i="3"/>
  <c r="GP17" i="3"/>
  <c r="GQ13" i="3" s="1"/>
  <c r="GQ15" i="3" s="1"/>
  <c r="HV51" i="3"/>
  <c r="HV54" i="3" s="1"/>
  <c r="HU58" i="3"/>
  <c r="HU57" i="3"/>
  <c r="IA14" i="3" l="1"/>
  <c r="IA68" i="3"/>
  <c r="IA62" i="3"/>
  <c r="IA25" i="3"/>
  <c r="GO70" i="3"/>
  <c r="GO41" i="3"/>
  <c r="GO63" i="3" s="1"/>
  <c r="GO73" i="3" s="1"/>
  <c r="HV28" i="3"/>
  <c r="HW24" i="3" s="1"/>
  <c r="HW26" i="3" s="1"/>
  <c r="HV32" i="3"/>
  <c r="GP35" i="3"/>
  <c r="GP36" i="3"/>
  <c r="HV52" i="3"/>
  <c r="HW49" i="3" s="1"/>
  <c r="GQ16" i="3"/>
  <c r="GQ19" i="3" s="1"/>
  <c r="IA72" i="3" l="1"/>
  <c r="IB131" i="3"/>
  <c r="IC133" i="3" s="1"/>
  <c r="GO64" i="3"/>
  <c r="GP38" i="3"/>
  <c r="GP41" i="3" s="1"/>
  <c r="GP63" i="3" s="1"/>
  <c r="GP64" i="3" s="1"/>
  <c r="GQ21" i="3"/>
  <c r="GQ30" i="3"/>
  <c r="HW27" i="3"/>
  <c r="HV57" i="3"/>
  <c r="HV58" i="3"/>
  <c r="HW51" i="3"/>
  <c r="HW54" i="3" s="1"/>
  <c r="GQ17" i="3"/>
  <c r="GR13" i="3" s="1"/>
  <c r="GR15" i="3" s="1"/>
  <c r="IB62" i="3" l="1"/>
  <c r="IB68" i="3"/>
  <c r="IB25" i="3"/>
  <c r="IB14" i="3"/>
  <c r="GP42" i="3"/>
  <c r="GP69" i="3" s="1"/>
  <c r="GP73" i="3" s="1"/>
  <c r="HW28" i="3"/>
  <c r="HX24" i="3" s="1"/>
  <c r="HX26" i="3" s="1"/>
  <c r="HW32" i="3"/>
  <c r="GQ36" i="3"/>
  <c r="GQ35" i="3"/>
  <c r="HW52" i="3"/>
  <c r="HX49" i="3" s="1"/>
  <c r="IC131" i="3" l="1"/>
  <c r="ID133" i="3" s="1"/>
  <c r="IB72" i="3"/>
  <c r="GP70" i="3"/>
  <c r="GQ38" i="3"/>
  <c r="GQ41" i="3" s="1"/>
  <c r="GQ63" i="3" s="1"/>
  <c r="HX27" i="3"/>
  <c r="HW57" i="3"/>
  <c r="HW58" i="3"/>
  <c r="HX51" i="3"/>
  <c r="HX54" i="3" s="1"/>
  <c r="GR16" i="3"/>
  <c r="GR19" i="3" s="1"/>
  <c r="IC14" i="3" l="1"/>
  <c r="IC68" i="3"/>
  <c r="IC25" i="3"/>
  <c r="IC62" i="3"/>
  <c r="GQ42" i="3"/>
  <c r="GQ69" i="3" s="1"/>
  <c r="GQ73" i="3" s="1"/>
  <c r="HX28" i="3"/>
  <c r="HY24" i="3" s="1"/>
  <c r="HY26" i="3" s="1"/>
  <c r="HX32" i="3"/>
  <c r="GR21" i="3"/>
  <c r="GQ64" i="3"/>
  <c r="HX52" i="3"/>
  <c r="HY49" i="3" s="1"/>
  <c r="GR30" i="3"/>
  <c r="GR17" i="3"/>
  <c r="GS13" i="3" s="1"/>
  <c r="GS15" i="3" s="1"/>
  <c r="GQ70" i="3" l="1"/>
  <c r="IC72" i="3"/>
  <c r="ID131" i="3"/>
  <c r="IE133" i="3" s="1"/>
  <c r="GR35" i="3"/>
  <c r="GR36" i="3"/>
  <c r="HY51" i="3"/>
  <c r="HY54" i="3" s="1"/>
  <c r="HY27" i="3"/>
  <c r="HX57" i="3"/>
  <c r="HX58" i="3"/>
  <c r="ID25" i="3" l="1"/>
  <c r="ID68" i="3"/>
  <c r="ID62" i="3"/>
  <c r="ID14" i="3"/>
  <c r="GR38" i="3"/>
  <c r="GR42" i="3" s="1"/>
  <c r="GR69" i="3" s="1"/>
  <c r="HY28" i="3"/>
  <c r="HZ24" i="3" s="1"/>
  <c r="HZ26" i="3" s="1"/>
  <c r="HY32" i="3"/>
  <c r="HY52" i="3"/>
  <c r="HZ49" i="3" s="1"/>
  <c r="GR41" i="3"/>
  <c r="GR63" i="3" s="1"/>
  <c r="HY58" i="3"/>
  <c r="GS16" i="3"/>
  <c r="GS19" i="3" s="1"/>
  <c r="IE131" i="3" l="1"/>
  <c r="IF133" i="3" s="1"/>
  <c r="ID72" i="3"/>
  <c r="GR73" i="3"/>
  <c r="GR70" i="3"/>
  <c r="GS21" i="3"/>
  <c r="GR64" i="3"/>
  <c r="HY57" i="3"/>
  <c r="GS30" i="3"/>
  <c r="GS17" i="3"/>
  <c r="GT13" i="3" s="1"/>
  <c r="GT15" i="3" s="1"/>
  <c r="HZ27" i="3"/>
  <c r="HZ51" i="3"/>
  <c r="HZ54" i="3" s="1"/>
  <c r="IE25" i="3" l="1"/>
  <c r="IE68" i="3"/>
  <c r="IE62" i="3"/>
  <c r="IE14" i="3"/>
  <c r="HZ28" i="3"/>
  <c r="IA24" i="3" s="1"/>
  <c r="IA26" i="3" s="1"/>
  <c r="HZ32" i="3"/>
  <c r="GS36" i="3"/>
  <c r="GS35" i="3"/>
  <c r="HZ52" i="3"/>
  <c r="IA49" i="3" s="1"/>
  <c r="GT16" i="3"/>
  <c r="GT19" i="3" s="1"/>
  <c r="IF131" i="3" l="1"/>
  <c r="IG133" i="3" s="1"/>
  <c r="IE72" i="3"/>
  <c r="GS38" i="3"/>
  <c r="GS42" i="3" s="1"/>
  <c r="GS69" i="3" s="1"/>
  <c r="GT21" i="3"/>
  <c r="IA27" i="3"/>
  <c r="GT30" i="3"/>
  <c r="IA51" i="3"/>
  <c r="IA54" i="3" s="1"/>
  <c r="HZ57" i="3"/>
  <c r="HZ58" i="3"/>
  <c r="GT17" i="3"/>
  <c r="GU13" i="3" s="1"/>
  <c r="GU15" i="3" s="1"/>
  <c r="IF25" i="3" l="1"/>
  <c r="IF62" i="3"/>
  <c r="IF14" i="3"/>
  <c r="IF68" i="3"/>
  <c r="GS41" i="3"/>
  <c r="GS63" i="3" s="1"/>
  <c r="GS64" i="3" s="1"/>
  <c r="IA28" i="3"/>
  <c r="IB24" i="3" s="1"/>
  <c r="IB26" i="3" s="1"/>
  <c r="IA32" i="3"/>
  <c r="GT36" i="3"/>
  <c r="GT35" i="3"/>
  <c r="GS70" i="3"/>
  <c r="IA52" i="3"/>
  <c r="IB49" i="3" s="1"/>
  <c r="IA58" i="3"/>
  <c r="IF72" i="3" l="1"/>
  <c r="IG131" i="3"/>
  <c r="IH133" i="3" s="1"/>
  <c r="GS73" i="3"/>
  <c r="GT38" i="3"/>
  <c r="GT42" i="3" s="1"/>
  <c r="GT69" i="3" s="1"/>
  <c r="IA57" i="3"/>
  <c r="IB27" i="3"/>
  <c r="IB51" i="3"/>
  <c r="IB54" i="3" s="1"/>
  <c r="GU16" i="3"/>
  <c r="GU19" i="3" s="1"/>
  <c r="IG68" i="3" l="1"/>
  <c r="IG14" i="3"/>
  <c r="IG25" i="3"/>
  <c r="IG62" i="3"/>
  <c r="GT41" i="3"/>
  <c r="GT63" i="3" s="1"/>
  <c r="GT73" i="3" s="1"/>
  <c r="IB28" i="3"/>
  <c r="IC24" i="3" s="1"/>
  <c r="IC26" i="3" s="1"/>
  <c r="IB32" i="3"/>
  <c r="GT70" i="3"/>
  <c r="GU21" i="3"/>
  <c r="IB52" i="3"/>
  <c r="IC49" i="3" s="1"/>
  <c r="GU30" i="3"/>
  <c r="GU17" i="3"/>
  <c r="GV13" i="3" s="1"/>
  <c r="GV15" i="3" s="1"/>
  <c r="IB57" i="3"/>
  <c r="IG72" i="3" l="1"/>
  <c r="IH131" i="3"/>
  <c r="II133" i="3" s="1"/>
  <c r="GT64" i="3"/>
  <c r="GU36" i="3"/>
  <c r="GU35" i="3"/>
  <c r="IC51" i="3"/>
  <c r="IC54" i="3" s="1"/>
  <c r="IC27" i="3"/>
  <c r="IB58" i="3"/>
  <c r="GV16" i="3"/>
  <c r="GV19" i="3" s="1"/>
  <c r="IH25" i="3" l="1"/>
  <c r="IH62" i="3"/>
  <c r="IH14" i="3"/>
  <c r="IH68" i="3"/>
  <c r="GU38" i="3"/>
  <c r="GU42" i="3" s="1"/>
  <c r="GU69" i="3" s="1"/>
  <c r="IC28" i="3"/>
  <c r="ID24" i="3" s="1"/>
  <c r="ID26" i="3" s="1"/>
  <c r="IC32" i="3"/>
  <c r="GV21" i="3"/>
  <c r="IC52" i="3"/>
  <c r="ID49" i="3" s="1"/>
  <c r="GV30" i="3"/>
  <c r="GV17" i="3"/>
  <c r="GW13" i="3" s="1"/>
  <c r="GW15" i="3" s="1"/>
  <c r="IC58" i="3"/>
  <c r="IC57" i="3"/>
  <c r="II131" i="3" l="1"/>
  <c r="IJ133" i="3" s="1"/>
  <c r="IH72" i="3"/>
  <c r="GU70" i="3"/>
  <c r="GU41" i="3"/>
  <c r="GU63" i="3" s="1"/>
  <c r="GU64" i="3" s="1"/>
  <c r="GV36" i="3"/>
  <c r="GV35" i="3"/>
  <c r="ID27" i="3"/>
  <c r="ID51" i="3"/>
  <c r="ID54" i="3" s="1"/>
  <c r="GW16" i="3"/>
  <c r="GW19" i="3" s="1"/>
  <c r="II25" i="3" l="1"/>
  <c r="II68" i="3"/>
  <c r="II14" i="3"/>
  <c r="II62" i="3"/>
  <c r="GU73" i="3"/>
  <c r="GV38" i="3"/>
  <c r="GV41" i="3" s="1"/>
  <c r="GV63" i="3" s="1"/>
  <c r="GV64" i="3" s="1"/>
  <c r="ID28" i="3"/>
  <c r="IE24" i="3" s="1"/>
  <c r="IE26" i="3" s="1"/>
  <c r="ID32" i="3"/>
  <c r="GW21" i="3"/>
  <c r="GW30" i="3"/>
  <c r="ID52" i="3"/>
  <c r="IE49" i="3" s="1"/>
  <c r="GW17" i="3"/>
  <c r="GX13" i="3" s="1"/>
  <c r="GX15" i="3" s="1"/>
  <c r="II72" i="3" l="1"/>
  <c r="IJ131" i="3"/>
  <c r="IK133" i="3" s="1"/>
  <c r="GV42" i="3"/>
  <c r="GV69" i="3" s="1"/>
  <c r="GV73" i="3" s="1"/>
  <c r="GW36" i="3"/>
  <c r="GW35" i="3"/>
  <c r="IE27" i="3"/>
  <c r="ID57" i="3"/>
  <c r="ID58" i="3"/>
  <c r="IE51" i="3"/>
  <c r="IE54" i="3" s="1"/>
  <c r="IJ68" i="3" l="1"/>
  <c r="IJ14" i="3"/>
  <c r="IJ62" i="3"/>
  <c r="IJ25" i="3"/>
  <c r="GV70" i="3"/>
  <c r="GW38" i="3"/>
  <c r="GW41" i="3" s="1"/>
  <c r="GW63" i="3" s="1"/>
  <c r="IE28" i="3"/>
  <c r="IF24" i="3" s="1"/>
  <c r="IF26" i="3" s="1"/>
  <c r="IE32" i="3"/>
  <c r="IE52" i="3"/>
  <c r="IF49" i="3" s="1"/>
  <c r="IE57" i="3"/>
  <c r="GX16" i="3"/>
  <c r="GX19" i="3" s="1"/>
  <c r="GW42" i="3" l="1"/>
  <c r="GW69" i="3" s="1"/>
  <c r="GW73" i="3" s="1"/>
  <c r="IJ72" i="3"/>
  <c r="IK131" i="3"/>
  <c r="IL133" i="3" s="1"/>
  <c r="GX21" i="3"/>
  <c r="GW64" i="3"/>
  <c r="GX30" i="3"/>
  <c r="GX17" i="3"/>
  <c r="GY13" i="3" s="1"/>
  <c r="GY15" i="3" s="1"/>
  <c r="IF27" i="3"/>
  <c r="IE58" i="3"/>
  <c r="IF51" i="3"/>
  <c r="IF54" i="3" s="1"/>
  <c r="GW70" i="3" l="1"/>
  <c r="IK62" i="3"/>
  <c r="IK68" i="3"/>
  <c r="IK25" i="3"/>
  <c r="IK14" i="3"/>
  <c r="IF28" i="3"/>
  <c r="IG24" i="3" s="1"/>
  <c r="IG26" i="3" s="1"/>
  <c r="IF32" i="3"/>
  <c r="GX35" i="3"/>
  <c r="GX36" i="3"/>
  <c r="IF52" i="3"/>
  <c r="IG49" i="3" s="1"/>
  <c r="GY16" i="3"/>
  <c r="GY19" i="3" s="1"/>
  <c r="IK72" i="3" l="1"/>
  <c r="IL131" i="3"/>
  <c r="IM133" i="3" s="1"/>
  <c r="GX38" i="3"/>
  <c r="GX42" i="3" s="1"/>
  <c r="GX69" i="3" s="1"/>
  <c r="GX70" i="3" s="1"/>
  <c r="GY21" i="3"/>
  <c r="IG27" i="3"/>
  <c r="GY30" i="3"/>
  <c r="IF58" i="3"/>
  <c r="IF57" i="3"/>
  <c r="IG51" i="3"/>
  <c r="IG54" i="3" s="1"/>
  <c r="GY17" i="3"/>
  <c r="GZ13" i="3" s="1"/>
  <c r="GZ15" i="3" s="1"/>
  <c r="IL62" i="3" l="1"/>
  <c r="IL68" i="3"/>
  <c r="IL25" i="3"/>
  <c r="IL14" i="3"/>
  <c r="GX41" i="3"/>
  <c r="GX63" i="3" s="1"/>
  <c r="GX64" i="3" s="1"/>
  <c r="IG28" i="3"/>
  <c r="IH24" i="3" s="1"/>
  <c r="IH26" i="3" s="1"/>
  <c r="IG32" i="3"/>
  <c r="GY35" i="3"/>
  <c r="GY36" i="3"/>
  <c r="IG52" i="3"/>
  <c r="IH49" i="3" s="1"/>
  <c r="GX73" i="3" l="1"/>
  <c r="IL72" i="3"/>
  <c r="IM131" i="3"/>
  <c r="IN133" i="3" s="1"/>
  <c r="GY38" i="3"/>
  <c r="GY42" i="3" s="1"/>
  <c r="GY69" i="3" s="1"/>
  <c r="IH27" i="3"/>
  <c r="IH51" i="3"/>
  <c r="IH54" i="3" s="1"/>
  <c r="IG58" i="3"/>
  <c r="IG57" i="3"/>
  <c r="GZ16" i="3"/>
  <c r="GZ19" i="3" s="1"/>
  <c r="IM62" i="3" l="1"/>
  <c r="IM14" i="3"/>
  <c r="IM68" i="3"/>
  <c r="IM25" i="3"/>
  <c r="GY41" i="3"/>
  <c r="GY63" i="3" s="1"/>
  <c r="GY73" i="3" s="1"/>
  <c r="IH28" i="3"/>
  <c r="II24" i="3" s="1"/>
  <c r="II26" i="3" s="1"/>
  <c r="IH32" i="3"/>
  <c r="GY70" i="3"/>
  <c r="GZ21" i="3"/>
  <c r="IH52" i="3"/>
  <c r="II49" i="3" s="1"/>
  <c r="GZ30" i="3"/>
  <c r="GZ17" i="3"/>
  <c r="HA13" i="3" s="1"/>
  <c r="IH57" i="3"/>
  <c r="GY64" i="3" l="1"/>
  <c r="IM72" i="3"/>
  <c r="IN131" i="3"/>
  <c r="IO133" i="3" s="1"/>
  <c r="GZ35" i="3"/>
  <c r="GZ36" i="3"/>
  <c r="HA15" i="3"/>
  <c r="HA16" i="3" s="1"/>
  <c r="HA19" i="3" s="1"/>
  <c r="II27" i="3"/>
  <c r="IH58" i="3"/>
  <c r="II51" i="3"/>
  <c r="II54" i="3" s="1"/>
  <c r="IN14" i="3" l="1"/>
  <c r="IN68" i="3"/>
  <c r="IN25" i="3"/>
  <c r="IN62" i="3"/>
  <c r="II28" i="3"/>
  <c r="IJ24" i="3" s="1"/>
  <c r="IJ26" i="3" s="1"/>
  <c r="II32" i="3"/>
  <c r="GZ38" i="3"/>
  <c r="GZ42" i="3" s="1"/>
  <c r="GZ69" i="3" s="1"/>
  <c r="HA21" i="3"/>
  <c r="HA17" i="3"/>
  <c r="HB13" i="3" s="1"/>
  <c r="HB15" i="3" s="1"/>
  <c r="HA30" i="3"/>
  <c r="II52" i="3"/>
  <c r="IJ49" i="3" s="1"/>
  <c r="II58" i="3"/>
  <c r="IN72" i="3" l="1"/>
  <c r="IO131" i="3"/>
  <c r="IP133" i="3" s="1"/>
  <c r="GZ41" i="3"/>
  <c r="GZ63" i="3" s="1"/>
  <c r="GZ64" i="3" s="1"/>
  <c r="GZ70" i="3"/>
  <c r="HA35" i="3"/>
  <c r="HA36" i="3"/>
  <c r="IJ27" i="3"/>
  <c r="IJ32" i="3" s="1"/>
  <c r="II57" i="3"/>
  <c r="IJ51" i="3"/>
  <c r="IJ54" i="3" s="1"/>
  <c r="HB16" i="3"/>
  <c r="HB19" i="3" s="1"/>
  <c r="IO14" i="3" l="1"/>
  <c r="IO62" i="3"/>
  <c r="IO25" i="3"/>
  <c r="IO68" i="3"/>
  <c r="HA38" i="3"/>
  <c r="HA42" i="3" s="1"/>
  <c r="HA69" i="3" s="1"/>
  <c r="GZ73" i="3"/>
  <c r="IJ28" i="3"/>
  <c r="IK24" i="3" s="1"/>
  <c r="IK26" i="3" s="1"/>
  <c r="HB21" i="3"/>
  <c r="HB30" i="3"/>
  <c r="HB17" i="3"/>
  <c r="HC13" i="3" s="1"/>
  <c r="HC15" i="3" s="1"/>
  <c r="IJ52" i="3"/>
  <c r="IK49" i="3" s="1"/>
  <c r="IO72" i="3" l="1"/>
  <c r="IP131" i="3"/>
  <c r="IQ133" i="3" s="1"/>
  <c r="HA41" i="3"/>
  <c r="HA63" i="3" s="1"/>
  <c r="HA73" i="3" s="1"/>
  <c r="HA70" i="3"/>
  <c r="HB36" i="3"/>
  <c r="HB35" i="3"/>
  <c r="IK27" i="3"/>
  <c r="IJ58" i="3"/>
  <c r="IJ57" i="3"/>
  <c r="IK51" i="3"/>
  <c r="IK54" i="3" s="1"/>
  <c r="HC16" i="3"/>
  <c r="HC19" i="3" s="1"/>
  <c r="IP25" i="3" l="1"/>
  <c r="IP14" i="3"/>
  <c r="IP62" i="3"/>
  <c r="IP68" i="3"/>
  <c r="HA64" i="3"/>
  <c r="HB38" i="3"/>
  <c r="HB41" i="3" s="1"/>
  <c r="HB63" i="3" s="1"/>
  <c r="HB64" i="3" s="1"/>
  <c r="IK28" i="3"/>
  <c r="IL24" i="3" s="1"/>
  <c r="IL26" i="3" s="1"/>
  <c r="IK32" i="3"/>
  <c r="HC21" i="3"/>
  <c r="IK52" i="3"/>
  <c r="IL49" i="3" s="1"/>
  <c r="HC30" i="3"/>
  <c r="HC17" i="3"/>
  <c r="HD13" i="3" s="1"/>
  <c r="HD15" i="3" s="1"/>
  <c r="IP72" i="3" l="1"/>
  <c r="IQ131" i="3"/>
  <c r="IR133" i="3" s="1"/>
  <c r="HB42" i="3"/>
  <c r="HB69" i="3" s="1"/>
  <c r="HB73" i="3" s="1"/>
  <c r="HC36" i="3"/>
  <c r="HC35" i="3"/>
  <c r="IL27" i="3"/>
  <c r="IK58" i="3"/>
  <c r="IK57" i="3"/>
  <c r="IL51" i="3"/>
  <c r="IL54" i="3" s="1"/>
  <c r="HB70" i="3" l="1"/>
  <c r="IQ14" i="3"/>
  <c r="IQ62" i="3"/>
  <c r="IQ68" i="3"/>
  <c r="IQ25" i="3"/>
  <c r="IL28" i="3"/>
  <c r="IM24" i="3" s="1"/>
  <c r="IM26" i="3" s="1"/>
  <c r="IL32" i="3"/>
  <c r="HC38" i="3"/>
  <c r="HC42" i="3" s="1"/>
  <c r="HC69" i="3" s="1"/>
  <c r="IL52" i="3"/>
  <c r="IM49" i="3" s="1"/>
  <c r="HD16" i="3"/>
  <c r="HD19" i="3" s="1"/>
  <c r="IQ72" i="3" l="1"/>
  <c r="IR131" i="3"/>
  <c r="IS133" i="3" s="1"/>
  <c r="HC41" i="3"/>
  <c r="HC63" i="3" s="1"/>
  <c r="HC64" i="3" s="1"/>
  <c r="HC70" i="3"/>
  <c r="HD21" i="3"/>
  <c r="HD30" i="3"/>
  <c r="IM51" i="3"/>
  <c r="IM54" i="3" s="1"/>
  <c r="IM27" i="3"/>
  <c r="IL58" i="3"/>
  <c r="IL57" i="3"/>
  <c r="HD17" i="3"/>
  <c r="HE13" i="3" s="1"/>
  <c r="HE15" i="3" s="1"/>
  <c r="IR25" i="3" l="1"/>
  <c r="IR62" i="3"/>
  <c r="IR14" i="3"/>
  <c r="IR68" i="3"/>
  <c r="HC73" i="3"/>
  <c r="IM28" i="3"/>
  <c r="IN24" i="3" s="1"/>
  <c r="IN26" i="3" s="1"/>
  <c r="IM32" i="3"/>
  <c r="HD36" i="3"/>
  <c r="HD35" i="3"/>
  <c r="IM52" i="3"/>
  <c r="IN49" i="3" s="1"/>
  <c r="IM57" i="3"/>
  <c r="IR72" i="3" l="1"/>
  <c r="IS131" i="3"/>
  <c r="IT133" i="3" s="1"/>
  <c r="HD38" i="3"/>
  <c r="HD41" i="3" s="1"/>
  <c r="HD63" i="3" s="1"/>
  <c r="IM58" i="3"/>
  <c r="IN27" i="3"/>
  <c r="IN51" i="3"/>
  <c r="IN54" i="3" s="1"/>
  <c r="HE16" i="3"/>
  <c r="HE19" i="3" s="1"/>
  <c r="IT131" i="3" l="1"/>
  <c r="IU133" i="3" s="1"/>
  <c r="IS25" i="3"/>
  <c r="IS14" i="3"/>
  <c r="IS68" i="3"/>
  <c r="IS62" i="3"/>
  <c r="HD42" i="3"/>
  <c r="HD69" i="3" s="1"/>
  <c r="IN28" i="3"/>
  <c r="IO24" i="3" s="1"/>
  <c r="IO26" i="3" s="1"/>
  <c r="IN32" i="3"/>
  <c r="HE21" i="3"/>
  <c r="HD64" i="3"/>
  <c r="IN52" i="3"/>
  <c r="IO49" i="3" s="1"/>
  <c r="HE30" i="3"/>
  <c r="HE17" i="3"/>
  <c r="HF13" i="3" s="1"/>
  <c r="HF15" i="3" s="1"/>
  <c r="IS72" i="3" l="1"/>
  <c r="IU131" i="3"/>
  <c r="IV133" i="3" s="1"/>
  <c r="HD70" i="3"/>
  <c r="HD73" i="3"/>
  <c r="HE36" i="3"/>
  <c r="HE35" i="3"/>
  <c r="IO27" i="3"/>
  <c r="IO51" i="3"/>
  <c r="IO54" i="3" s="1"/>
  <c r="IN58" i="3"/>
  <c r="IN57" i="3"/>
  <c r="IT14" i="3" l="1"/>
  <c r="IT68" i="3"/>
  <c r="IT25" i="3"/>
  <c r="IT62" i="3"/>
  <c r="IO28" i="3"/>
  <c r="IP24" i="3" s="1"/>
  <c r="IP26" i="3" s="1"/>
  <c r="IO32" i="3"/>
  <c r="HE38" i="3"/>
  <c r="HE42" i="3" s="1"/>
  <c r="HE69" i="3" s="1"/>
  <c r="IO52" i="3"/>
  <c r="IP49" i="3" s="1"/>
  <c r="HF16" i="3"/>
  <c r="HF19" i="3" s="1"/>
  <c r="IT72" i="3" l="1"/>
  <c r="IU14" i="3"/>
  <c r="IU68" i="3"/>
  <c r="IU62" i="3"/>
  <c r="IU25" i="3"/>
  <c r="IV131" i="3"/>
  <c r="IW133" i="3" s="1"/>
  <c r="HE41" i="3"/>
  <c r="HE63" i="3" s="1"/>
  <c r="HE73" i="3" s="1"/>
  <c r="HE70" i="3"/>
  <c r="HF21" i="3"/>
  <c r="HF30" i="3"/>
  <c r="IP27" i="3"/>
  <c r="IO58" i="3"/>
  <c r="IO57" i="3"/>
  <c r="IP51" i="3"/>
  <c r="IP54" i="3" s="1"/>
  <c r="HF17" i="3"/>
  <c r="HG13" i="3" s="1"/>
  <c r="HG15" i="3" s="1"/>
  <c r="IV14" i="3" l="1"/>
  <c r="IV62" i="3"/>
  <c r="IV25" i="3"/>
  <c r="IV68" i="3"/>
  <c r="IU72" i="3"/>
  <c r="HE64" i="3"/>
  <c r="IP28" i="3"/>
  <c r="IQ24" i="3" s="1"/>
  <c r="IQ26" i="3" s="1"/>
  <c r="IP32" i="3"/>
  <c r="HF36" i="3"/>
  <c r="HF35" i="3"/>
  <c r="IP52" i="3"/>
  <c r="IQ49" i="3" s="1"/>
  <c r="HG16" i="3"/>
  <c r="HG19" i="3" s="1"/>
  <c r="IV72" i="3" l="1"/>
  <c r="IW131" i="3"/>
  <c r="IX133" i="3" s="1"/>
  <c r="HF38" i="3"/>
  <c r="HF42" i="3" s="1"/>
  <c r="HF69" i="3" s="1"/>
  <c r="HG21" i="3"/>
  <c r="HG30" i="3"/>
  <c r="IQ27" i="3"/>
  <c r="IP57" i="3"/>
  <c r="IP58" i="3"/>
  <c r="IQ51" i="3"/>
  <c r="IQ54" i="3" s="1"/>
  <c r="HG17" i="3"/>
  <c r="HH13" i="3" s="1"/>
  <c r="HH15" i="3" s="1"/>
  <c r="IX131" i="3" l="1"/>
  <c r="IY133" i="3" s="1"/>
  <c r="IW14" i="3"/>
  <c r="IW62" i="3"/>
  <c r="IW68" i="3"/>
  <c r="IW25" i="3"/>
  <c r="HF41" i="3"/>
  <c r="HF63" i="3" s="1"/>
  <c r="HF73" i="3" s="1"/>
  <c r="IQ28" i="3"/>
  <c r="IR24" i="3" s="1"/>
  <c r="IR26" i="3" s="1"/>
  <c r="IQ32" i="3"/>
  <c r="HF70" i="3"/>
  <c r="HG35" i="3"/>
  <c r="HG36" i="3"/>
  <c r="IQ52" i="3"/>
  <c r="IR49" i="3" s="1"/>
  <c r="IW72" i="3" l="1"/>
  <c r="IY131" i="3"/>
  <c r="IZ133" i="3" s="1"/>
  <c r="HF64" i="3"/>
  <c r="HG38" i="3"/>
  <c r="HG41" i="3" s="1"/>
  <c r="HG63" i="3" s="1"/>
  <c r="IR27" i="3"/>
  <c r="IR32" i="3" s="1"/>
  <c r="IQ58" i="3"/>
  <c r="IQ57" i="3"/>
  <c r="IR51" i="3"/>
  <c r="IR54" i="3" s="1"/>
  <c r="HH16" i="3"/>
  <c r="HH19" i="3" s="1"/>
  <c r="IZ131" i="3" l="1"/>
  <c r="JA133" i="3" s="1"/>
  <c r="IX62" i="3"/>
  <c r="IX14" i="3"/>
  <c r="IX68" i="3"/>
  <c r="IX25" i="3"/>
  <c r="HG42" i="3"/>
  <c r="HG69" i="3" s="1"/>
  <c r="IR28" i="3"/>
  <c r="IS24" i="3" s="1"/>
  <c r="IS26" i="3" s="1"/>
  <c r="HH21" i="3"/>
  <c r="HG64" i="3"/>
  <c r="IR52" i="3"/>
  <c r="IS49" i="3" s="1"/>
  <c r="HH30" i="3"/>
  <c r="HH17" i="3"/>
  <c r="HI13" i="3" s="1"/>
  <c r="HI15" i="3" s="1"/>
  <c r="IX72" i="3" l="1"/>
  <c r="IY14" i="3"/>
  <c r="IY25" i="3"/>
  <c r="IY62" i="3"/>
  <c r="IY68" i="3"/>
  <c r="HG70" i="3"/>
  <c r="HG73" i="3"/>
  <c r="HH35" i="3"/>
  <c r="HH36" i="3"/>
  <c r="IS27" i="3"/>
  <c r="IR58" i="3"/>
  <c r="IR57" i="3"/>
  <c r="IS51" i="3"/>
  <c r="IS54" i="3" s="1"/>
  <c r="HI16" i="3"/>
  <c r="HI19" i="3" s="1"/>
  <c r="IY72" i="3" l="1"/>
  <c r="JA131" i="3"/>
  <c r="JB133" i="3" s="1"/>
  <c r="IZ14" i="3"/>
  <c r="IZ68" i="3"/>
  <c r="IZ62" i="3"/>
  <c r="IZ25" i="3"/>
  <c r="HH38" i="3"/>
  <c r="HH42" i="3" s="1"/>
  <c r="HH69" i="3" s="1"/>
  <c r="IS28" i="3"/>
  <c r="IT24" i="3" s="1"/>
  <c r="IT26" i="3" s="1"/>
  <c r="IS32" i="3"/>
  <c r="HI21" i="3"/>
  <c r="HI30" i="3"/>
  <c r="IS52" i="3"/>
  <c r="IT49" i="3" s="1"/>
  <c r="HI17" i="3"/>
  <c r="HJ13" i="3" s="1"/>
  <c r="HJ15" i="3" s="1"/>
  <c r="IZ72" i="3" l="1"/>
  <c r="JB131" i="3"/>
  <c r="JC133" i="3" s="1"/>
  <c r="JA14" i="3"/>
  <c r="JA68" i="3"/>
  <c r="JA25" i="3"/>
  <c r="JA62" i="3"/>
  <c r="HH41" i="3"/>
  <c r="HH63" i="3" s="1"/>
  <c r="HH64" i="3" s="1"/>
  <c r="HH70" i="3"/>
  <c r="HI35" i="3"/>
  <c r="HI36" i="3"/>
  <c r="IT27" i="3"/>
  <c r="IS58" i="3"/>
  <c r="IS57" i="3"/>
  <c r="IT51" i="3"/>
  <c r="IT54" i="3" s="1"/>
  <c r="JA72" i="3" l="1"/>
  <c r="HH73" i="3"/>
  <c r="JC131" i="3"/>
  <c r="JD133" i="3" s="1"/>
  <c r="HI38" i="3"/>
  <c r="HI42" i="3" s="1"/>
  <c r="HI69" i="3" s="1"/>
  <c r="IT28" i="3"/>
  <c r="IU24" i="3" s="1"/>
  <c r="IU26" i="3" s="1"/>
  <c r="IT32" i="3"/>
  <c r="IT52" i="3"/>
  <c r="IU49" i="3" s="1"/>
  <c r="HJ16" i="3"/>
  <c r="HJ19" i="3" s="1"/>
  <c r="JB68" i="3" l="1"/>
  <c r="JB62" i="3"/>
  <c r="JB14" i="3"/>
  <c r="JB25" i="3"/>
  <c r="HI41" i="3"/>
  <c r="HI63" i="3" s="1"/>
  <c r="HI64" i="3" s="1"/>
  <c r="HI70" i="3"/>
  <c r="HJ21" i="3"/>
  <c r="HJ30" i="3"/>
  <c r="IU27" i="3"/>
  <c r="IU51" i="3"/>
  <c r="IU54" i="3" s="1"/>
  <c r="IT57" i="3"/>
  <c r="IT58" i="3"/>
  <c r="HJ17" i="3"/>
  <c r="HK13" i="3" s="1"/>
  <c r="HK15" i="3" s="1"/>
  <c r="JB72" i="3" l="1"/>
  <c r="JD131" i="3"/>
  <c r="JE133" i="3" s="1"/>
  <c r="JC14" i="3"/>
  <c r="JC62" i="3"/>
  <c r="JC68" i="3"/>
  <c r="JC25" i="3"/>
  <c r="HI73" i="3"/>
  <c r="IU28" i="3"/>
  <c r="IV24" i="3" s="1"/>
  <c r="IV26" i="3" s="1"/>
  <c r="IU32" i="3"/>
  <c r="HJ35" i="3"/>
  <c r="HJ36" i="3"/>
  <c r="IU52" i="3"/>
  <c r="IV49" i="3" s="1"/>
  <c r="IU58" i="3"/>
  <c r="JD68" i="3" l="1"/>
  <c r="JD14" i="3"/>
  <c r="JD25" i="3"/>
  <c r="JD62" i="3"/>
  <c r="JC72" i="3"/>
  <c r="HJ38" i="3"/>
  <c r="HJ41" i="3" s="1"/>
  <c r="HJ63" i="3" s="1"/>
  <c r="IV27" i="3"/>
  <c r="IU57" i="3"/>
  <c r="IV51" i="3"/>
  <c r="IV54" i="3" s="1"/>
  <c r="HK16" i="3"/>
  <c r="HK19" i="3" s="1"/>
  <c r="JD72" i="3" l="1"/>
  <c r="JE131" i="3"/>
  <c r="JF133" i="3" s="1"/>
  <c r="HJ42" i="3"/>
  <c r="HJ69" i="3" s="1"/>
  <c r="HJ73" i="3" s="1"/>
  <c r="IV28" i="3"/>
  <c r="IW24" i="3" s="1"/>
  <c r="IW26" i="3" s="1"/>
  <c r="IV32" i="3"/>
  <c r="HK21" i="3"/>
  <c r="HJ64" i="3"/>
  <c r="IV52" i="3"/>
  <c r="IW49" i="3" s="1"/>
  <c r="HK30" i="3"/>
  <c r="HK17" i="3"/>
  <c r="HL13" i="3" s="1"/>
  <c r="HL15" i="3" s="1"/>
  <c r="IV57" i="3"/>
  <c r="HJ70" i="3" l="1"/>
  <c r="JE14" i="3"/>
  <c r="JE62" i="3"/>
  <c r="JE68" i="3"/>
  <c r="JE25" i="3"/>
  <c r="HK36" i="3"/>
  <c r="HK35" i="3"/>
  <c r="IW27" i="3"/>
  <c r="IV58" i="3"/>
  <c r="IW51" i="3"/>
  <c r="IW54" i="3" s="1"/>
  <c r="HL16" i="3"/>
  <c r="HL19" i="3" s="1"/>
  <c r="JE72" i="3" l="1"/>
  <c r="JF131" i="3"/>
  <c r="JG133" i="3" s="1"/>
  <c r="HK38" i="3"/>
  <c r="HK41" i="3" s="1"/>
  <c r="HK63" i="3" s="1"/>
  <c r="HK64" i="3" s="1"/>
  <c r="IW28" i="3"/>
  <c r="IX24" i="3" s="1"/>
  <c r="IX26" i="3" s="1"/>
  <c r="IW32" i="3"/>
  <c r="HL21" i="3"/>
  <c r="IW52" i="3"/>
  <c r="IX49" i="3" s="1"/>
  <c r="HL30" i="3"/>
  <c r="HL17" i="3"/>
  <c r="HM13" i="3" s="1"/>
  <c r="HM15" i="3" s="1"/>
  <c r="HK42" i="3" l="1"/>
  <c r="HK69" i="3" s="1"/>
  <c r="HK70" i="3" s="1"/>
  <c r="JF14" i="3"/>
  <c r="JF62" i="3"/>
  <c r="JF25" i="3"/>
  <c r="JF68" i="3"/>
  <c r="HL36" i="3"/>
  <c r="HL35" i="3"/>
  <c r="IX27" i="3"/>
  <c r="HM16" i="3"/>
  <c r="HM19" i="3" s="1"/>
  <c r="IW57" i="3"/>
  <c r="IW58" i="3"/>
  <c r="IX51" i="3"/>
  <c r="IX54" i="3" s="1"/>
  <c r="HK73" i="3" l="1"/>
  <c r="JF72" i="3"/>
  <c r="JG131" i="3"/>
  <c r="JH133" i="3" s="1"/>
  <c r="HL38" i="3"/>
  <c r="HL42" i="3" s="1"/>
  <c r="HL69" i="3" s="1"/>
  <c r="IX28" i="3"/>
  <c r="IY24" i="3" s="1"/>
  <c r="IY26" i="3" s="1"/>
  <c r="IX32" i="3"/>
  <c r="HM21" i="3"/>
  <c r="HM30" i="3"/>
  <c r="HM17" i="3"/>
  <c r="HN13" i="3" s="1"/>
  <c r="IX52" i="3"/>
  <c r="IY49" i="3" s="1"/>
  <c r="JG14" i="3" l="1"/>
  <c r="JG62" i="3"/>
  <c r="JG68" i="3"/>
  <c r="JG25" i="3"/>
  <c r="HL41" i="3"/>
  <c r="HL63" i="3" s="1"/>
  <c r="HL73" i="3" s="1"/>
  <c r="HL70" i="3"/>
  <c r="HM36" i="3"/>
  <c r="HM35" i="3"/>
  <c r="HN15" i="3"/>
  <c r="HN16" i="3" s="1"/>
  <c r="HN19" i="3" s="1"/>
  <c r="IY27" i="3"/>
  <c r="IX57" i="3"/>
  <c r="IX58" i="3"/>
  <c r="IY51" i="3"/>
  <c r="IY54" i="3" s="1"/>
  <c r="JG72" i="3" l="1"/>
  <c r="HL64" i="3"/>
  <c r="JH131" i="3"/>
  <c r="JI133" i="3" s="1"/>
  <c r="HM38" i="3"/>
  <c r="HM41" i="3" s="1"/>
  <c r="HM63" i="3" s="1"/>
  <c r="HM64" i="3" s="1"/>
  <c r="IY28" i="3"/>
  <c r="IZ24" i="3" s="1"/>
  <c r="IZ26" i="3" s="1"/>
  <c r="IY32" i="3"/>
  <c r="HN21" i="3"/>
  <c r="HN30" i="3"/>
  <c r="HN17" i="3"/>
  <c r="HO13" i="3" s="1"/>
  <c r="HO15" i="3" s="1"/>
  <c r="IY52" i="3"/>
  <c r="IZ49" i="3" s="1"/>
  <c r="JH62" i="3" l="1"/>
  <c r="JH25" i="3"/>
  <c r="JH68" i="3"/>
  <c r="JH14" i="3"/>
  <c r="HM42" i="3"/>
  <c r="HM69" i="3" s="1"/>
  <c r="HM73" i="3" s="1"/>
  <c r="HN36" i="3"/>
  <c r="HN35" i="3"/>
  <c r="HO16" i="3"/>
  <c r="HO19" i="3" s="1"/>
  <c r="IZ27" i="3"/>
  <c r="IY57" i="3"/>
  <c r="IY58" i="3"/>
  <c r="IZ51" i="3"/>
  <c r="IZ54" i="3" s="1"/>
  <c r="JH72" i="3" l="1"/>
  <c r="HM70" i="3"/>
  <c r="JI131" i="3"/>
  <c r="JJ133" i="3" s="1"/>
  <c r="HN38" i="3"/>
  <c r="HN41" i="3" s="1"/>
  <c r="HN63" i="3" s="1"/>
  <c r="HN64" i="3" s="1"/>
  <c r="IZ28" i="3"/>
  <c r="JA24" i="3" s="1"/>
  <c r="JA26" i="3" s="1"/>
  <c r="IZ32" i="3"/>
  <c r="HO17" i="3"/>
  <c r="HP13" i="3" s="1"/>
  <c r="HP15" i="3" s="1"/>
  <c r="HO21" i="3"/>
  <c r="HO30" i="3"/>
  <c r="IZ52" i="3"/>
  <c r="JA49" i="3" s="1"/>
  <c r="JI68" i="3" l="1"/>
  <c r="JI62" i="3"/>
  <c r="JI25" i="3"/>
  <c r="JI14" i="3"/>
  <c r="HN42" i="3"/>
  <c r="HN69" i="3" s="1"/>
  <c r="HN73" i="3" s="1"/>
  <c r="HO36" i="3"/>
  <c r="HO35" i="3"/>
  <c r="JA27" i="3"/>
  <c r="JA51" i="3"/>
  <c r="JA54" i="3" s="1"/>
  <c r="IZ58" i="3"/>
  <c r="IZ57" i="3"/>
  <c r="HP16" i="3"/>
  <c r="HP19" i="3" s="1"/>
  <c r="HN70" i="3" l="1"/>
  <c r="JI72" i="3"/>
  <c r="JJ131" i="3"/>
  <c r="JK133" i="3" s="1"/>
  <c r="JA28" i="3"/>
  <c r="JB24" i="3" s="1"/>
  <c r="JB26" i="3" s="1"/>
  <c r="JA32" i="3"/>
  <c r="HO38" i="3"/>
  <c r="HO42" i="3" s="1"/>
  <c r="HO69" i="3" s="1"/>
  <c r="HP21" i="3"/>
  <c r="JA52" i="3"/>
  <c r="JB49" i="3" s="1"/>
  <c r="HP30" i="3"/>
  <c r="HP17" i="3"/>
  <c r="HQ13" i="3" s="1"/>
  <c r="HQ15" i="3" s="1"/>
  <c r="JJ25" i="3" l="1"/>
  <c r="JJ14" i="3"/>
  <c r="JJ68" i="3"/>
  <c r="JJ62" i="3"/>
  <c r="HO41" i="3"/>
  <c r="HO63" i="3" s="1"/>
  <c r="HO73" i="3" s="1"/>
  <c r="HP35" i="3"/>
  <c r="HP36" i="3"/>
  <c r="HO70" i="3"/>
  <c r="JB27" i="3"/>
  <c r="JA57" i="3"/>
  <c r="JA58" i="3"/>
  <c r="JB51" i="3"/>
  <c r="JB54" i="3" s="1"/>
  <c r="HQ16" i="3"/>
  <c r="HQ19" i="3" s="1"/>
  <c r="JJ72" i="3" l="1"/>
  <c r="JK131" i="3"/>
  <c r="JL133" i="3" s="1"/>
  <c r="HO64" i="3"/>
  <c r="HP38" i="3"/>
  <c r="HP41" i="3" s="1"/>
  <c r="HP63" i="3" s="1"/>
  <c r="HP64" i="3" s="1"/>
  <c r="JB28" i="3"/>
  <c r="JC24" i="3" s="1"/>
  <c r="JC26" i="3" s="1"/>
  <c r="JB32" i="3"/>
  <c r="HQ21" i="3"/>
  <c r="JB52" i="3"/>
  <c r="JC49" i="3" s="1"/>
  <c r="HQ30" i="3"/>
  <c r="HQ17" i="3"/>
  <c r="HR13" i="3" s="1"/>
  <c r="JB58" i="3"/>
  <c r="JK14" i="3" l="1"/>
  <c r="JK62" i="3"/>
  <c r="JK68" i="3"/>
  <c r="JK25" i="3"/>
  <c r="HP42" i="3"/>
  <c r="HP69" i="3" s="1"/>
  <c r="HP73" i="3" s="1"/>
  <c r="HQ35" i="3"/>
  <c r="HQ36" i="3"/>
  <c r="HR15" i="3"/>
  <c r="HR16" i="3" s="1"/>
  <c r="HR19" i="3" s="1"/>
  <c r="JC27" i="3"/>
  <c r="JB57" i="3"/>
  <c r="JC51" i="3"/>
  <c r="JC54" i="3" s="1"/>
  <c r="JK72" i="3" l="1"/>
  <c r="HP70" i="3"/>
  <c r="JL131" i="3"/>
  <c r="JM133" i="3" s="1"/>
  <c r="JC28" i="3"/>
  <c r="JD24" i="3" s="1"/>
  <c r="JD26" i="3" s="1"/>
  <c r="JC32" i="3"/>
  <c r="HQ38" i="3"/>
  <c r="HQ42" i="3" s="1"/>
  <c r="HQ69" i="3" s="1"/>
  <c r="HR21" i="3"/>
  <c r="HR17" i="3"/>
  <c r="HS13" i="3" s="1"/>
  <c r="HS15" i="3" s="1"/>
  <c r="HR30" i="3"/>
  <c r="JC52" i="3"/>
  <c r="JD49" i="3" s="1"/>
  <c r="JL68" i="3" l="1"/>
  <c r="JL62" i="3"/>
  <c r="JL25" i="3"/>
  <c r="JL14" i="3"/>
  <c r="HQ70" i="3"/>
  <c r="HQ41" i="3"/>
  <c r="HQ63" i="3" s="1"/>
  <c r="HR35" i="3"/>
  <c r="HR36" i="3"/>
  <c r="JD27" i="3"/>
  <c r="JD51" i="3"/>
  <c r="JD54" i="3" s="1"/>
  <c r="JC58" i="3"/>
  <c r="JC57" i="3"/>
  <c r="HS16" i="3"/>
  <c r="HS19" i="3" s="1"/>
  <c r="JL72" i="3" l="1"/>
  <c r="JM131" i="3"/>
  <c r="JN133" i="3" s="1"/>
  <c r="HR38" i="3"/>
  <c r="HR41" i="3" s="1"/>
  <c r="HR63" i="3" s="1"/>
  <c r="HR64" i="3" s="1"/>
  <c r="HQ64" i="3"/>
  <c r="HQ73" i="3"/>
  <c r="JD28" i="3"/>
  <c r="JE24" i="3" s="1"/>
  <c r="JE26" i="3" s="1"/>
  <c r="JD32" i="3"/>
  <c r="HS21" i="3"/>
  <c r="JD52" i="3"/>
  <c r="JE49" i="3" s="1"/>
  <c r="HS30" i="3"/>
  <c r="JD57" i="3"/>
  <c r="HS17" i="3"/>
  <c r="HT13" i="3" s="1"/>
  <c r="HT15" i="3" s="1"/>
  <c r="JM14" i="3" l="1"/>
  <c r="JM25" i="3"/>
  <c r="JM62" i="3"/>
  <c r="JM68" i="3"/>
  <c r="HR42" i="3"/>
  <c r="HR69" i="3" s="1"/>
  <c r="HR70" i="3" s="1"/>
  <c r="HS35" i="3"/>
  <c r="HS36" i="3"/>
  <c r="JE27" i="3"/>
  <c r="JD58" i="3"/>
  <c r="JE51" i="3"/>
  <c r="JE54" i="3" s="1"/>
  <c r="HT16" i="3"/>
  <c r="HT19" i="3" s="1"/>
  <c r="JN131" i="3" l="1"/>
  <c r="JO133" i="3" s="1"/>
  <c r="JM72" i="3"/>
  <c r="HR73" i="3"/>
  <c r="HS38" i="3"/>
  <c r="HS41" i="3" s="1"/>
  <c r="HS63" i="3" s="1"/>
  <c r="JE28" i="3"/>
  <c r="JF24" i="3" s="1"/>
  <c r="JF26" i="3" s="1"/>
  <c r="JE32" i="3"/>
  <c r="HT21" i="3"/>
  <c r="JE52" i="3"/>
  <c r="JF49" i="3" s="1"/>
  <c r="HT30" i="3"/>
  <c r="HT17" i="3"/>
  <c r="HU13" i="3" s="1"/>
  <c r="HU15" i="3" s="1"/>
  <c r="JN14" i="3" l="1"/>
  <c r="JN25" i="3"/>
  <c r="JN62" i="3"/>
  <c r="JN68" i="3"/>
  <c r="JO131" i="3"/>
  <c r="JP133" i="3" s="1"/>
  <c r="HS42" i="3"/>
  <c r="HS69" i="3" s="1"/>
  <c r="HS70" i="3" s="1"/>
  <c r="HT36" i="3"/>
  <c r="HT35" i="3"/>
  <c r="HS64" i="3"/>
  <c r="JF51" i="3"/>
  <c r="JF54" i="3" s="1"/>
  <c r="JF27" i="3"/>
  <c r="JE57" i="3"/>
  <c r="JE58" i="3"/>
  <c r="HU16" i="3"/>
  <c r="HU19" i="3" s="1"/>
  <c r="JN72" i="3" l="1"/>
  <c r="JP131" i="3"/>
  <c r="JQ133" i="3" s="1"/>
  <c r="HT38" i="3"/>
  <c r="HT41" i="3" s="1"/>
  <c r="HT63" i="3" s="1"/>
  <c r="HS73" i="3"/>
  <c r="JF28" i="3"/>
  <c r="JG24" i="3" s="1"/>
  <c r="JG26" i="3" s="1"/>
  <c r="JF32" i="3"/>
  <c r="HU21" i="3"/>
  <c r="JF52" i="3"/>
  <c r="JG49" i="3" s="1"/>
  <c r="HU30" i="3"/>
  <c r="JF58" i="3"/>
  <c r="HU17" i="3"/>
  <c r="HV13" i="3" s="1"/>
  <c r="HV15" i="3" s="1"/>
  <c r="JO14" i="3" l="1"/>
  <c r="JO62" i="3"/>
  <c r="JO25" i="3"/>
  <c r="JO68" i="3"/>
  <c r="HT42" i="3"/>
  <c r="HT69" i="3" s="1"/>
  <c r="HT70" i="3" s="1"/>
  <c r="HU36" i="3"/>
  <c r="HU35" i="3"/>
  <c r="HT64" i="3"/>
  <c r="JF57" i="3"/>
  <c r="JG27" i="3"/>
  <c r="JG51" i="3"/>
  <c r="JG54" i="3" s="1"/>
  <c r="JO72" i="3" l="1"/>
  <c r="HT73" i="3"/>
  <c r="JQ131" i="3"/>
  <c r="JR133" i="3" s="1"/>
  <c r="JP68" i="3"/>
  <c r="JP14" i="3"/>
  <c r="JP62" i="3"/>
  <c r="JP25" i="3"/>
  <c r="HU38" i="3"/>
  <c r="HU42" i="3" s="1"/>
  <c r="HU69" i="3" s="1"/>
  <c r="JG28" i="3"/>
  <c r="JH24" i="3" s="1"/>
  <c r="JH26" i="3" s="1"/>
  <c r="JG32" i="3"/>
  <c r="JG52" i="3"/>
  <c r="JH49" i="3" s="1"/>
  <c r="HV16" i="3"/>
  <c r="HV19" i="3" s="1"/>
  <c r="JP72" i="3" l="1"/>
  <c r="JQ25" i="3"/>
  <c r="JQ62" i="3"/>
  <c r="JQ68" i="3"/>
  <c r="JQ14" i="3"/>
  <c r="HU41" i="3"/>
  <c r="HU63" i="3" s="1"/>
  <c r="HU73" i="3" s="1"/>
  <c r="HU70" i="3"/>
  <c r="HV21" i="3"/>
  <c r="HV30" i="3"/>
  <c r="JH51" i="3"/>
  <c r="JH54" i="3" s="1"/>
  <c r="HV17" i="3"/>
  <c r="HW13" i="3" s="1"/>
  <c r="HW15" i="3" s="1"/>
  <c r="JH27" i="3"/>
  <c r="JG57" i="3"/>
  <c r="JG58" i="3"/>
  <c r="HU64" i="3" l="1"/>
  <c r="JQ72" i="3"/>
  <c r="JR131" i="3"/>
  <c r="JS133" i="3" s="1"/>
  <c r="JH28" i="3"/>
  <c r="JI24" i="3" s="1"/>
  <c r="JI26" i="3" s="1"/>
  <c r="JH32" i="3"/>
  <c r="HV36" i="3"/>
  <c r="HV35" i="3"/>
  <c r="JH52" i="3"/>
  <c r="JI49" i="3" s="1"/>
  <c r="JH58" i="3"/>
  <c r="HW16" i="3"/>
  <c r="HW19" i="3" s="1"/>
  <c r="JR14" i="3" l="1"/>
  <c r="JR68" i="3"/>
  <c r="JR25" i="3"/>
  <c r="JR62" i="3"/>
  <c r="HV38" i="3"/>
  <c r="HV41" i="3" s="1"/>
  <c r="HV63" i="3" s="1"/>
  <c r="HV64" i="3" s="1"/>
  <c r="HW21" i="3"/>
  <c r="HW30" i="3"/>
  <c r="JI27" i="3"/>
  <c r="JH57" i="3"/>
  <c r="HW17" i="3"/>
  <c r="HX13" i="3" s="1"/>
  <c r="HX15" i="3" s="1"/>
  <c r="JI51" i="3"/>
  <c r="JI54" i="3" s="1"/>
  <c r="JR72" i="3" l="1"/>
  <c r="JS131" i="3"/>
  <c r="JT133" i="3" s="1"/>
  <c r="HV42" i="3"/>
  <c r="HV69" i="3" s="1"/>
  <c r="HV70" i="3" s="1"/>
  <c r="JI28" i="3"/>
  <c r="JJ24" i="3" s="1"/>
  <c r="JJ26" i="3" s="1"/>
  <c r="JI32" i="3"/>
  <c r="HW36" i="3"/>
  <c r="HW35" i="3"/>
  <c r="JI52" i="3"/>
  <c r="JJ49" i="3" s="1"/>
  <c r="HX16" i="3"/>
  <c r="HX19" i="3" s="1"/>
  <c r="HV73" i="3" l="1"/>
  <c r="JS14" i="3"/>
  <c r="JS25" i="3"/>
  <c r="JS62" i="3"/>
  <c r="JS68" i="3"/>
  <c r="JT131" i="3"/>
  <c r="JU133" i="3" s="1"/>
  <c r="HW38" i="3"/>
  <c r="HW42" i="3" s="1"/>
  <c r="HW69" i="3" s="1"/>
  <c r="HX21" i="3"/>
  <c r="HX30" i="3"/>
  <c r="JJ27" i="3"/>
  <c r="JI58" i="3"/>
  <c r="JI57" i="3"/>
  <c r="JJ51" i="3"/>
  <c r="JJ54" i="3" s="1"/>
  <c r="HX17" i="3"/>
  <c r="HY13" i="3" s="1"/>
  <c r="HY15" i="3" s="1"/>
  <c r="JS72" i="3" l="1"/>
  <c r="HW41" i="3"/>
  <c r="HW63" i="3" s="1"/>
  <c r="HW73" i="3" s="1"/>
  <c r="HW70" i="3"/>
  <c r="JJ28" i="3"/>
  <c r="JK24" i="3" s="1"/>
  <c r="JK26" i="3" s="1"/>
  <c r="JJ32" i="3"/>
  <c r="HX35" i="3"/>
  <c r="HX36" i="3"/>
  <c r="JJ52" i="3"/>
  <c r="JK49" i="3" s="1"/>
  <c r="HW64" i="3" l="1"/>
  <c r="JU131" i="3"/>
  <c r="JV133" i="3" s="1"/>
  <c r="JT68" i="3"/>
  <c r="JT25" i="3"/>
  <c r="JT14" i="3"/>
  <c r="JT62" i="3"/>
  <c r="HX38" i="3"/>
  <c r="HX42" i="3" s="1"/>
  <c r="HX69" i="3" s="1"/>
  <c r="JK27" i="3"/>
  <c r="JK51" i="3"/>
  <c r="JK54" i="3" s="1"/>
  <c r="JJ58" i="3"/>
  <c r="JJ57" i="3"/>
  <c r="HY16" i="3"/>
  <c r="HY19" i="3" s="1"/>
  <c r="JT72" i="3" l="1"/>
  <c r="JV131" i="3"/>
  <c r="JW133" i="3" s="1"/>
  <c r="JU25" i="3"/>
  <c r="JU68" i="3"/>
  <c r="JU14" i="3"/>
  <c r="JU62" i="3"/>
  <c r="HX41" i="3"/>
  <c r="HX63" i="3" s="1"/>
  <c r="HX73" i="3" s="1"/>
  <c r="JK28" i="3"/>
  <c r="JL24" i="3" s="1"/>
  <c r="JL26" i="3" s="1"/>
  <c r="JK32" i="3"/>
  <c r="HX70" i="3"/>
  <c r="HY21" i="3"/>
  <c r="JK52" i="3"/>
  <c r="JL49" i="3" s="1"/>
  <c r="HY30" i="3"/>
  <c r="HY17" i="3"/>
  <c r="HZ13" i="3" s="1"/>
  <c r="HZ15" i="3" s="1"/>
  <c r="JK58" i="3"/>
  <c r="JK57" i="3"/>
  <c r="JU72" i="3" l="1"/>
  <c r="JW131" i="3"/>
  <c r="JX133" i="3" s="1"/>
  <c r="HX64" i="3"/>
  <c r="HY35" i="3"/>
  <c r="HY36" i="3"/>
  <c r="JL27" i="3"/>
  <c r="JL51" i="3"/>
  <c r="JL54" i="3" s="1"/>
  <c r="HZ16" i="3"/>
  <c r="HZ19" i="3" s="1"/>
  <c r="JV14" i="3" l="1"/>
  <c r="JV25" i="3"/>
  <c r="JV62" i="3"/>
  <c r="JV68" i="3"/>
  <c r="HY38" i="3"/>
  <c r="HY42" i="3" s="1"/>
  <c r="HY69" i="3" s="1"/>
  <c r="HY70" i="3" s="1"/>
  <c r="JL28" i="3"/>
  <c r="JM24" i="3" s="1"/>
  <c r="JM26" i="3" s="1"/>
  <c r="JL32" i="3"/>
  <c r="HZ21" i="3"/>
  <c r="JL52" i="3"/>
  <c r="JM49" i="3" s="1"/>
  <c r="HZ30" i="3"/>
  <c r="JL57" i="3"/>
  <c r="HZ17" i="3"/>
  <c r="IA13" i="3" s="1"/>
  <c r="IA15" i="3" s="1"/>
  <c r="JX131" i="3" l="1"/>
  <c r="JY133" i="3" s="1"/>
  <c r="JV72" i="3"/>
  <c r="JW62" i="3"/>
  <c r="JW14" i="3"/>
  <c r="JW68" i="3"/>
  <c r="JW25" i="3"/>
  <c r="HY41" i="3"/>
  <c r="HY63" i="3" s="1"/>
  <c r="HY64" i="3" s="1"/>
  <c r="HZ35" i="3"/>
  <c r="HZ36" i="3"/>
  <c r="JM27" i="3"/>
  <c r="JL58" i="3"/>
  <c r="JM51" i="3"/>
  <c r="JM54" i="3" s="1"/>
  <c r="IA16" i="3"/>
  <c r="IA19" i="3" s="1"/>
  <c r="JW72" i="3" l="1"/>
  <c r="JX14" i="3"/>
  <c r="JX25" i="3"/>
  <c r="JX68" i="3"/>
  <c r="JX62" i="3"/>
  <c r="HY73" i="3"/>
  <c r="HZ38" i="3"/>
  <c r="HZ42" i="3" s="1"/>
  <c r="HZ69" i="3" s="1"/>
  <c r="JM28" i="3"/>
  <c r="JN24" i="3" s="1"/>
  <c r="JN26" i="3" s="1"/>
  <c r="JM32" i="3"/>
  <c r="IA21" i="3"/>
  <c r="JM52" i="3"/>
  <c r="JN49" i="3" s="1"/>
  <c r="IA30" i="3"/>
  <c r="JM58" i="3"/>
  <c r="IA17" i="3"/>
  <c r="IB13" i="3" s="1"/>
  <c r="IB15" i="3" s="1"/>
  <c r="JX72" i="3" l="1"/>
  <c r="JY131" i="3"/>
  <c r="JZ133" i="3" s="1"/>
  <c r="HZ41" i="3"/>
  <c r="HZ63" i="3" s="1"/>
  <c r="HZ73" i="3" s="1"/>
  <c r="IA35" i="3"/>
  <c r="IA36" i="3"/>
  <c r="HZ70" i="3"/>
  <c r="JN27" i="3"/>
  <c r="JM57" i="3"/>
  <c r="JN51" i="3"/>
  <c r="JN54" i="3" s="1"/>
  <c r="IB16" i="3"/>
  <c r="IB19" i="3" s="1"/>
  <c r="HZ64" i="3" l="1"/>
  <c r="JY62" i="3"/>
  <c r="JY14" i="3"/>
  <c r="JY25" i="3"/>
  <c r="JY68" i="3"/>
  <c r="IA38" i="3"/>
  <c r="IA41" i="3" s="1"/>
  <c r="IA63" i="3" s="1"/>
  <c r="JN28" i="3"/>
  <c r="JO24" i="3" s="1"/>
  <c r="JO26" i="3" s="1"/>
  <c r="JN32" i="3"/>
  <c r="IB21" i="3"/>
  <c r="JN52" i="3"/>
  <c r="JO49" i="3" s="1"/>
  <c r="IA42" i="3"/>
  <c r="IA69" i="3" s="1"/>
  <c r="IB30" i="3"/>
  <c r="JN57" i="3"/>
  <c r="IB17" i="3"/>
  <c r="IC13" i="3" s="1"/>
  <c r="IC15" i="3" s="1"/>
  <c r="JY72" i="3" l="1"/>
  <c r="JZ131" i="3"/>
  <c r="KA133" i="3" s="1"/>
  <c r="IA73" i="3"/>
  <c r="IB36" i="3"/>
  <c r="IB35" i="3"/>
  <c r="IA70" i="3"/>
  <c r="IA64" i="3"/>
  <c r="JO27" i="3"/>
  <c r="JO32" i="3" s="1"/>
  <c r="JN58" i="3"/>
  <c r="JO51" i="3"/>
  <c r="JO54" i="3" s="1"/>
  <c r="IC16" i="3"/>
  <c r="IC19" i="3" s="1"/>
  <c r="JZ14" i="3" l="1"/>
  <c r="JZ25" i="3"/>
  <c r="JZ62" i="3"/>
  <c r="JZ68" i="3"/>
  <c r="IB38" i="3"/>
  <c r="IB42" i="3" s="1"/>
  <c r="IB69" i="3" s="1"/>
  <c r="JO28" i="3"/>
  <c r="JP24" i="3" s="1"/>
  <c r="JP26" i="3" s="1"/>
  <c r="IC21" i="3"/>
  <c r="JO52" i="3"/>
  <c r="JP49" i="3" s="1"/>
  <c r="IC30" i="3"/>
  <c r="IC17" i="3"/>
  <c r="ID13" i="3" s="1"/>
  <c r="ID15" i="3" s="1"/>
  <c r="IB41" i="3" l="1"/>
  <c r="IB63" i="3" s="1"/>
  <c r="IB73" i="3" s="1"/>
  <c r="JZ72" i="3"/>
  <c r="KA131" i="3"/>
  <c r="KB133" i="3" s="1"/>
  <c r="IC35" i="3"/>
  <c r="IC36" i="3"/>
  <c r="IB70" i="3"/>
  <c r="JP27" i="3"/>
  <c r="JP51" i="3"/>
  <c r="JP54" i="3" s="1"/>
  <c r="JO58" i="3"/>
  <c r="JO57" i="3"/>
  <c r="IB64" i="3" l="1"/>
  <c r="KA14" i="3"/>
  <c r="KA68" i="3"/>
  <c r="KA25" i="3"/>
  <c r="KA62" i="3"/>
  <c r="IC38" i="3"/>
  <c r="IC41" i="3" s="1"/>
  <c r="IC63" i="3" s="1"/>
  <c r="JP28" i="3"/>
  <c r="JQ24" i="3" s="1"/>
  <c r="JQ26" i="3" s="1"/>
  <c r="JP32" i="3"/>
  <c r="JP52" i="3"/>
  <c r="JQ49" i="3" s="1"/>
  <c r="ID16" i="3"/>
  <c r="ID19" i="3" s="1"/>
  <c r="KA72" i="3" l="1"/>
  <c r="KB131" i="3"/>
  <c r="KC133" i="3" s="1"/>
  <c r="IC42" i="3"/>
  <c r="IC69" i="3" s="1"/>
  <c r="ID21" i="3"/>
  <c r="IC64" i="3"/>
  <c r="JQ27" i="3"/>
  <c r="ID30" i="3"/>
  <c r="JP58" i="3"/>
  <c r="JP57" i="3"/>
  <c r="JQ51" i="3"/>
  <c r="JQ54" i="3" s="1"/>
  <c r="ID17" i="3"/>
  <c r="IE13" i="3" s="1"/>
  <c r="IE15" i="3" s="1"/>
  <c r="KB68" i="3" l="1"/>
  <c r="KB14" i="3"/>
  <c r="KB62" i="3"/>
  <c r="KB25" i="3"/>
  <c r="IC70" i="3"/>
  <c r="IC73" i="3"/>
  <c r="JQ28" i="3"/>
  <c r="JR24" i="3" s="1"/>
  <c r="JR26" i="3" s="1"/>
  <c r="JQ32" i="3"/>
  <c r="ID36" i="3"/>
  <c r="ID35" i="3"/>
  <c r="JQ52" i="3"/>
  <c r="JR49" i="3" s="1"/>
  <c r="KB72" i="3" l="1"/>
  <c r="KC131" i="3"/>
  <c r="KD133" i="3" s="1"/>
  <c r="ID38" i="3"/>
  <c r="ID41" i="3" s="1"/>
  <c r="ID63" i="3" s="1"/>
  <c r="JR27" i="3"/>
  <c r="IE16" i="3"/>
  <c r="IE19" i="3" s="1"/>
  <c r="JQ58" i="3"/>
  <c r="JQ57" i="3"/>
  <c r="JR51" i="3"/>
  <c r="JR54" i="3" s="1"/>
  <c r="KC25" i="3" l="1"/>
  <c r="KC68" i="3"/>
  <c r="KC14" i="3"/>
  <c r="KC62" i="3"/>
  <c r="ID42" i="3"/>
  <c r="ID69" i="3" s="1"/>
  <c r="ID70" i="3" s="1"/>
  <c r="JR28" i="3"/>
  <c r="JS24" i="3" s="1"/>
  <c r="JS26" i="3" s="1"/>
  <c r="JR32" i="3"/>
  <c r="IE21" i="3"/>
  <c r="ID64" i="3"/>
  <c r="JR52" i="3"/>
  <c r="JS49" i="3" s="1"/>
  <c r="IE30" i="3"/>
  <c r="IE17" i="3"/>
  <c r="IF13" i="3" s="1"/>
  <c r="IF15" i="3" s="1"/>
  <c r="JR58" i="3"/>
  <c r="KC72" i="3" l="1"/>
  <c r="KD131" i="3"/>
  <c r="KE133" i="3" s="1"/>
  <c r="ID73" i="3"/>
  <c r="IE36" i="3"/>
  <c r="IE35" i="3"/>
  <c r="JS27" i="3"/>
  <c r="IF16" i="3"/>
  <c r="IF19" i="3" s="1"/>
  <c r="JR57" i="3"/>
  <c r="JS51" i="3"/>
  <c r="JS54" i="3" s="1"/>
  <c r="KD14" i="3" l="1"/>
  <c r="KD68" i="3"/>
  <c r="KD62" i="3"/>
  <c r="KD25" i="3"/>
  <c r="IE38" i="3"/>
  <c r="IE42" i="3" s="1"/>
  <c r="IE69" i="3" s="1"/>
  <c r="JS28" i="3"/>
  <c r="JT24" i="3" s="1"/>
  <c r="JT26" i="3" s="1"/>
  <c r="JS32" i="3"/>
  <c r="IF21" i="3"/>
  <c r="JS52" i="3"/>
  <c r="JT49" i="3" s="1"/>
  <c r="IF17" i="3"/>
  <c r="IG13" i="3" s="1"/>
  <c r="IG15" i="3" s="1"/>
  <c r="IF30" i="3"/>
  <c r="KE131" i="3" l="1"/>
  <c r="KF133" i="3" s="1"/>
  <c r="KD72" i="3"/>
  <c r="IE41" i="3"/>
  <c r="IE63" i="3" s="1"/>
  <c r="IE73" i="3" s="1"/>
  <c r="IE70" i="3"/>
  <c r="IF35" i="3"/>
  <c r="IF36" i="3"/>
  <c r="JT27" i="3"/>
  <c r="JS57" i="3"/>
  <c r="JS58" i="3"/>
  <c r="JT51" i="3"/>
  <c r="JT54" i="3" s="1"/>
  <c r="IG16" i="3"/>
  <c r="IG19" i="3" s="1"/>
  <c r="KE68" i="3" l="1"/>
  <c r="KE62" i="3"/>
  <c r="KE25" i="3"/>
  <c r="KE14" i="3"/>
  <c r="IE64" i="3"/>
  <c r="JT28" i="3"/>
  <c r="JU24" i="3" s="1"/>
  <c r="JU26" i="3" s="1"/>
  <c r="JT32" i="3"/>
  <c r="IF38" i="3"/>
  <c r="IF42" i="3" s="1"/>
  <c r="IF69" i="3" s="1"/>
  <c r="IG21" i="3"/>
  <c r="JT52" i="3"/>
  <c r="JU49" i="3" s="1"/>
  <c r="IG30" i="3"/>
  <c r="IG17" i="3"/>
  <c r="IH13" i="3" s="1"/>
  <c r="IH15" i="3" s="1"/>
  <c r="KE72" i="3" l="1"/>
  <c r="KF131" i="3"/>
  <c r="KG133" i="3" s="1"/>
  <c r="IF41" i="3"/>
  <c r="IF63" i="3" s="1"/>
  <c r="IF73" i="3" s="1"/>
  <c r="IG36" i="3"/>
  <c r="IG35" i="3"/>
  <c r="IF70" i="3"/>
  <c r="JU27" i="3"/>
  <c r="JU51" i="3"/>
  <c r="JU54" i="3" s="1"/>
  <c r="JT58" i="3"/>
  <c r="JT57" i="3"/>
  <c r="KF25" i="3" l="1"/>
  <c r="KF68" i="3"/>
  <c r="KF62" i="3"/>
  <c r="KF14" i="3"/>
  <c r="IG38" i="3"/>
  <c r="IG42" i="3" s="1"/>
  <c r="IG69" i="3" s="1"/>
  <c r="IF64" i="3"/>
  <c r="JU28" i="3"/>
  <c r="JV24" i="3" s="1"/>
  <c r="JV26" i="3" s="1"/>
  <c r="JU32" i="3"/>
  <c r="JU52" i="3"/>
  <c r="JV49" i="3" s="1"/>
  <c r="IH16" i="3"/>
  <c r="IH19" i="3" s="1"/>
  <c r="KF72" i="3" l="1"/>
  <c r="KG131" i="3"/>
  <c r="KH133" i="3" s="1"/>
  <c r="IG41" i="3"/>
  <c r="IG63" i="3" s="1"/>
  <c r="IG73" i="3" s="1"/>
  <c r="IG70" i="3"/>
  <c r="IH21" i="3"/>
  <c r="IH30" i="3"/>
  <c r="JV27" i="3"/>
  <c r="JV51" i="3"/>
  <c r="JV54" i="3" s="1"/>
  <c r="JU58" i="3"/>
  <c r="JU57" i="3"/>
  <c r="IH17" i="3"/>
  <c r="II13" i="3" s="1"/>
  <c r="II15" i="3" s="1"/>
  <c r="IG64" i="3" l="1"/>
  <c r="KG62" i="3"/>
  <c r="KG14" i="3"/>
  <c r="KG25" i="3"/>
  <c r="KG68" i="3"/>
  <c r="KH131" i="3"/>
  <c r="KI133" i="3" s="1"/>
  <c r="JV28" i="3"/>
  <c r="JW24" i="3" s="1"/>
  <c r="JW26" i="3" s="1"/>
  <c r="JV32" i="3"/>
  <c r="IH35" i="3"/>
  <c r="IH36" i="3"/>
  <c r="JV52" i="3"/>
  <c r="JW49" i="3" s="1"/>
  <c r="KG72" i="3" l="1"/>
  <c r="KI131" i="3"/>
  <c r="KJ133" i="3" s="1"/>
  <c r="IH38" i="3"/>
  <c r="IH42" i="3" s="1"/>
  <c r="IH69" i="3" s="1"/>
  <c r="JW27" i="3"/>
  <c r="JV58" i="3"/>
  <c r="JV57" i="3"/>
  <c r="JW51" i="3"/>
  <c r="JW54" i="3" s="1"/>
  <c r="II16" i="3"/>
  <c r="II19" i="3" s="1"/>
  <c r="KH14" i="3" l="1"/>
  <c r="KH68" i="3"/>
  <c r="KH25" i="3"/>
  <c r="KH62" i="3"/>
  <c r="IH41" i="3"/>
  <c r="IH63" i="3" s="1"/>
  <c r="IH73" i="3" s="1"/>
  <c r="JW28" i="3"/>
  <c r="JX24" i="3" s="1"/>
  <c r="JX26" i="3" s="1"/>
  <c r="JW32" i="3"/>
  <c r="IH70" i="3"/>
  <c r="II21" i="3"/>
  <c r="JW52" i="3"/>
  <c r="JX49" i="3" s="1"/>
  <c r="II30" i="3"/>
  <c r="JW58" i="3"/>
  <c r="II17" i="3"/>
  <c r="IJ13" i="3" s="1"/>
  <c r="IJ15" i="3" s="1"/>
  <c r="KH72" i="3" l="1"/>
  <c r="KI62" i="3"/>
  <c r="KI25" i="3"/>
  <c r="KI68" i="3"/>
  <c r="KI14" i="3"/>
  <c r="KJ131" i="3"/>
  <c r="KK133" i="3" s="1"/>
  <c r="IH64" i="3"/>
  <c r="II35" i="3"/>
  <c r="II36" i="3"/>
  <c r="JX51" i="3"/>
  <c r="JX54" i="3" s="1"/>
  <c r="JX27" i="3"/>
  <c r="JW57" i="3"/>
  <c r="KJ14" i="3" l="1"/>
  <c r="KJ68" i="3"/>
  <c r="KJ25" i="3"/>
  <c r="KJ62" i="3"/>
  <c r="KI72" i="3"/>
  <c r="II38" i="3"/>
  <c r="II42" i="3" s="1"/>
  <c r="II69" i="3" s="1"/>
  <c r="JX28" i="3"/>
  <c r="JY24" i="3" s="1"/>
  <c r="JY26" i="3" s="1"/>
  <c r="JX32" i="3"/>
  <c r="JX52" i="3"/>
  <c r="JY49" i="3" s="1"/>
  <c r="JX58" i="3"/>
  <c r="IJ16" i="3"/>
  <c r="IJ19" i="3" s="1"/>
  <c r="II41" i="3" l="1"/>
  <c r="II63" i="3" s="1"/>
  <c r="II64" i="3" s="1"/>
  <c r="KK131" i="3"/>
  <c r="KL133" i="3" s="1"/>
  <c r="KJ72" i="3"/>
  <c r="II70" i="3"/>
  <c r="IJ21" i="3"/>
  <c r="JY27" i="3"/>
  <c r="JY32" i="3" s="1"/>
  <c r="JX57" i="3"/>
  <c r="IJ30" i="3"/>
  <c r="JY51" i="3"/>
  <c r="JY54" i="3" s="1"/>
  <c r="IJ17" i="3"/>
  <c r="IK13" i="3" s="1"/>
  <c r="IK15" i="3" s="1"/>
  <c r="II73" i="3" l="1"/>
  <c r="KK68" i="3"/>
  <c r="KK25" i="3"/>
  <c r="KK62" i="3"/>
  <c r="KK14" i="3"/>
  <c r="IJ36" i="3"/>
  <c r="IJ35" i="3"/>
  <c r="JY52" i="3"/>
  <c r="JZ49" i="3" s="1"/>
  <c r="JY28" i="3"/>
  <c r="JZ24" i="3" s="1"/>
  <c r="JZ26" i="3" s="1"/>
  <c r="JY57" i="3"/>
  <c r="IK16" i="3"/>
  <c r="IK19" i="3" s="1"/>
  <c r="KK72" i="3" l="1"/>
  <c r="KL131" i="3"/>
  <c r="KM133" i="3" s="1"/>
  <c r="IJ38" i="3"/>
  <c r="IJ42" i="3" s="1"/>
  <c r="IJ69" i="3" s="1"/>
  <c r="IK21" i="3"/>
  <c r="JZ27" i="3"/>
  <c r="IK30" i="3"/>
  <c r="JY58" i="3"/>
  <c r="JZ51" i="3"/>
  <c r="JZ54" i="3" s="1"/>
  <c r="IK17" i="3"/>
  <c r="IL13" i="3" s="1"/>
  <c r="IL15" i="3" s="1"/>
  <c r="KM131" i="3" l="1"/>
  <c r="KN133" i="3" s="1"/>
  <c r="KL25" i="3"/>
  <c r="KL14" i="3"/>
  <c r="KL68" i="3"/>
  <c r="KL62" i="3"/>
  <c r="IJ41" i="3"/>
  <c r="IJ63" i="3" s="1"/>
  <c r="IJ73" i="3" s="1"/>
  <c r="JZ28" i="3"/>
  <c r="KA24" i="3" s="1"/>
  <c r="KA26" i="3" s="1"/>
  <c r="JZ32" i="3"/>
  <c r="IK35" i="3"/>
  <c r="IK36" i="3"/>
  <c r="IJ70" i="3"/>
  <c r="JZ52" i="3"/>
  <c r="KA49" i="3" s="1"/>
  <c r="KL72" i="3" l="1"/>
  <c r="IJ64" i="3"/>
  <c r="IK38" i="3"/>
  <c r="IK41" i="3" s="1"/>
  <c r="IK63" i="3" s="1"/>
  <c r="KA27" i="3"/>
  <c r="JZ57" i="3"/>
  <c r="JZ58" i="3"/>
  <c r="KA51" i="3"/>
  <c r="KA54" i="3" s="1"/>
  <c r="IL16" i="3"/>
  <c r="IL19" i="3" s="1"/>
  <c r="KN131" i="3" l="1"/>
  <c r="KO133" i="3" s="1"/>
  <c r="KM25" i="3"/>
  <c r="KM68" i="3"/>
  <c r="KM14" i="3"/>
  <c r="KM62" i="3"/>
  <c r="IK42" i="3"/>
  <c r="IK69" i="3" s="1"/>
  <c r="IK73" i="3" s="1"/>
  <c r="KA28" i="3"/>
  <c r="KB24" i="3" s="1"/>
  <c r="KB26" i="3" s="1"/>
  <c r="KA32" i="3"/>
  <c r="IL21" i="3"/>
  <c r="IK64" i="3"/>
  <c r="KA52" i="3"/>
  <c r="KB49" i="3" s="1"/>
  <c r="IL30" i="3"/>
  <c r="IL17" i="3"/>
  <c r="IM13" i="3" s="1"/>
  <c r="IM15" i="3" s="1"/>
  <c r="KN62" i="3" l="1"/>
  <c r="KN68" i="3"/>
  <c r="KN14" i="3"/>
  <c r="KN25" i="3"/>
  <c r="IK70" i="3"/>
  <c r="KM72" i="3"/>
  <c r="IL35" i="3"/>
  <c r="IL36" i="3"/>
  <c r="KB27" i="3"/>
  <c r="KB51" i="3"/>
  <c r="KB54" i="3" s="1"/>
  <c r="KA57" i="3"/>
  <c r="KA58" i="3"/>
  <c r="IM16" i="3"/>
  <c r="IM19" i="3" s="1"/>
  <c r="KN72" i="3" l="1"/>
  <c r="KO131" i="3"/>
  <c r="KP133" i="3" s="1"/>
  <c r="IL38" i="3"/>
  <c r="IL42" i="3" s="1"/>
  <c r="IL69" i="3" s="1"/>
  <c r="KB28" i="3"/>
  <c r="KC24" i="3" s="1"/>
  <c r="KC26" i="3" s="1"/>
  <c r="KB32" i="3"/>
  <c r="IM21" i="3"/>
  <c r="KB52" i="3"/>
  <c r="KC49" i="3" s="1"/>
  <c r="IM30" i="3"/>
  <c r="KB58" i="3"/>
  <c r="KB57" i="3"/>
  <c r="IM17" i="3"/>
  <c r="IN13" i="3" s="1"/>
  <c r="IN15" i="3" s="1"/>
  <c r="KO25" i="3" l="1"/>
  <c r="KO62" i="3"/>
  <c r="KO14" i="3"/>
  <c r="KO68" i="3"/>
  <c r="IL41" i="3"/>
  <c r="IL63" i="3" s="1"/>
  <c r="IL73" i="3" s="1"/>
  <c r="IL70" i="3"/>
  <c r="IM36" i="3"/>
  <c r="IM35" i="3"/>
  <c r="KC27" i="3"/>
  <c r="KC51" i="3"/>
  <c r="KC54" i="3" s="1"/>
  <c r="KP131" i="3" l="1"/>
  <c r="KQ133" i="3" s="1"/>
  <c r="KO72" i="3"/>
  <c r="IL64" i="3"/>
  <c r="IM38" i="3"/>
  <c r="IM42" i="3" s="1"/>
  <c r="IM69" i="3" s="1"/>
  <c r="KC28" i="3"/>
  <c r="KD24" i="3" s="1"/>
  <c r="KD26" i="3" s="1"/>
  <c r="KC32" i="3"/>
  <c r="KC52" i="3"/>
  <c r="KD49" i="3" s="1"/>
  <c r="IN16" i="3"/>
  <c r="IN19" i="3" s="1"/>
  <c r="KP14" i="3" l="1"/>
  <c r="KP25" i="3"/>
  <c r="KP62" i="3"/>
  <c r="KP68" i="3"/>
  <c r="IM41" i="3"/>
  <c r="IM63" i="3" s="1"/>
  <c r="IM73" i="3" s="1"/>
  <c r="IM70" i="3"/>
  <c r="IN21" i="3"/>
  <c r="IN30" i="3"/>
  <c r="IN17" i="3"/>
  <c r="IO13" i="3" s="1"/>
  <c r="KD51" i="3"/>
  <c r="KD54" i="3" s="1"/>
  <c r="KD27" i="3"/>
  <c r="KC57" i="3"/>
  <c r="KC58" i="3"/>
  <c r="KQ131" i="3" l="1"/>
  <c r="KR133" i="3" s="1"/>
  <c r="KP72" i="3"/>
  <c r="IM64" i="3"/>
  <c r="KD28" i="3"/>
  <c r="KE24" i="3" s="1"/>
  <c r="KE26" i="3" s="1"/>
  <c r="KD32" i="3"/>
  <c r="IN35" i="3"/>
  <c r="IN36" i="3"/>
  <c r="IO15" i="3"/>
  <c r="IO16" i="3" s="1"/>
  <c r="IO19" i="3" s="1"/>
  <c r="KD52" i="3"/>
  <c r="KE49" i="3" s="1"/>
  <c r="KD58" i="3"/>
  <c r="KR131" i="3" l="1"/>
  <c r="KS133" i="3" s="1"/>
  <c r="KQ68" i="3"/>
  <c r="KQ14" i="3"/>
  <c r="KQ25" i="3"/>
  <c r="KQ62" i="3"/>
  <c r="IN38" i="3"/>
  <c r="IN41" i="3" s="1"/>
  <c r="IN63" i="3" s="1"/>
  <c r="IN64" i="3" s="1"/>
  <c r="IO21" i="3"/>
  <c r="IO17" i="3"/>
  <c r="IP13" i="3" s="1"/>
  <c r="IP15" i="3" s="1"/>
  <c r="IO30" i="3"/>
  <c r="KD57" i="3"/>
  <c r="KE27" i="3"/>
  <c r="KE51" i="3"/>
  <c r="KE54" i="3" s="1"/>
  <c r="KQ72" i="3" l="1"/>
  <c r="KS131" i="3"/>
  <c r="IN42" i="3"/>
  <c r="IN69" i="3" s="1"/>
  <c r="IN70" i="3" s="1"/>
  <c r="KE28" i="3"/>
  <c r="KF24" i="3" s="1"/>
  <c r="KF26" i="3" s="1"/>
  <c r="KE32" i="3"/>
  <c r="IO36" i="3"/>
  <c r="IO35" i="3"/>
  <c r="IP16" i="3"/>
  <c r="IP19" i="3" s="1"/>
  <c r="KE52" i="3"/>
  <c r="KF49" i="3" s="1"/>
  <c r="IN73" i="3" l="1"/>
  <c r="KR68" i="3"/>
  <c r="KR62" i="3"/>
  <c r="KR14" i="3"/>
  <c r="KR25" i="3"/>
  <c r="IO38" i="3"/>
  <c r="IO42" i="3" s="1"/>
  <c r="IO69" i="3" s="1"/>
  <c r="IO70" i="3" s="1"/>
  <c r="IP21" i="3"/>
  <c r="IP30" i="3"/>
  <c r="IP36" i="3" s="1"/>
  <c r="IP17" i="3"/>
  <c r="IQ13" i="3" s="1"/>
  <c r="IQ15" i="3" s="1"/>
  <c r="KF27" i="3"/>
  <c r="KE57" i="3"/>
  <c r="KE58" i="3"/>
  <c r="KF51" i="3"/>
  <c r="KF54" i="3" s="1"/>
  <c r="KR72" i="3" l="1"/>
  <c r="KS25" i="3"/>
  <c r="KS68" i="3"/>
  <c r="KS14" i="3"/>
  <c r="KS62" i="3"/>
  <c r="IO41" i="3"/>
  <c r="IO63" i="3" s="1"/>
  <c r="IO73" i="3" s="1"/>
  <c r="IP35" i="3"/>
  <c r="IP38" i="3" s="1"/>
  <c r="IP42" i="3" s="1"/>
  <c r="IP69" i="3" s="1"/>
  <c r="KF28" i="3"/>
  <c r="KG24" i="3" s="1"/>
  <c r="KG26" i="3" s="1"/>
  <c r="KF32" i="3"/>
  <c r="KF52" i="3"/>
  <c r="KG49" i="3" s="1"/>
  <c r="KF58" i="3"/>
  <c r="IQ16" i="3"/>
  <c r="IQ19" i="3" s="1"/>
  <c r="KS72" i="3" l="1"/>
  <c r="IO64" i="3"/>
  <c r="IP41" i="3"/>
  <c r="IP63" i="3" s="1"/>
  <c r="IP73" i="3" s="1"/>
  <c r="IP70" i="3"/>
  <c r="IQ21" i="3"/>
  <c r="IQ30" i="3"/>
  <c r="KG27" i="3"/>
  <c r="KF57" i="3"/>
  <c r="KG51" i="3"/>
  <c r="KG54" i="3" s="1"/>
  <c r="IQ17" i="3"/>
  <c r="IR13" i="3" s="1"/>
  <c r="IR15" i="3" s="1"/>
  <c r="IP64" i="3" l="1"/>
  <c r="KG28" i="3"/>
  <c r="KH24" i="3" s="1"/>
  <c r="KH26" i="3" s="1"/>
  <c r="KG32" i="3"/>
  <c r="IQ35" i="3"/>
  <c r="IQ36" i="3"/>
  <c r="KG52" i="3"/>
  <c r="KH49" i="3" s="1"/>
  <c r="IQ38" i="3" l="1"/>
  <c r="IQ42" i="3" s="1"/>
  <c r="IQ69" i="3" s="1"/>
  <c r="KH27" i="3"/>
  <c r="KH51" i="3"/>
  <c r="KH54" i="3" s="1"/>
  <c r="KG58" i="3"/>
  <c r="KG57" i="3"/>
  <c r="IR16" i="3"/>
  <c r="IR19" i="3" s="1"/>
  <c r="IQ41" i="3" l="1"/>
  <c r="IQ63" i="3" s="1"/>
  <c r="IQ73" i="3" s="1"/>
  <c r="KH28" i="3"/>
  <c r="KI24" i="3" s="1"/>
  <c r="KI26" i="3" s="1"/>
  <c r="KH32" i="3"/>
  <c r="IQ70" i="3"/>
  <c r="IR21" i="3"/>
  <c r="KH52" i="3"/>
  <c r="KI49" i="3" s="1"/>
  <c r="IR30" i="3"/>
  <c r="KH57" i="3"/>
  <c r="IR17" i="3"/>
  <c r="IS13" i="3" s="1"/>
  <c r="IS15" i="3" s="1"/>
  <c r="IQ64" i="3" l="1"/>
  <c r="IR36" i="3"/>
  <c r="IR35" i="3"/>
  <c r="KI27" i="3"/>
  <c r="KH58" i="3"/>
  <c r="KI51" i="3"/>
  <c r="KI54" i="3" s="1"/>
  <c r="IR38" i="3" l="1"/>
  <c r="IR42" i="3" s="1"/>
  <c r="IR69" i="3" s="1"/>
  <c r="KI28" i="3"/>
  <c r="KJ24" i="3" s="1"/>
  <c r="KJ26" i="3" s="1"/>
  <c r="KI32" i="3"/>
  <c r="KI52" i="3"/>
  <c r="KJ49" i="3" s="1"/>
  <c r="IS16" i="3"/>
  <c r="IS19" i="3" s="1"/>
  <c r="IR41" i="3" l="1"/>
  <c r="IR63" i="3" s="1"/>
  <c r="IR73" i="3" s="1"/>
  <c r="IR70" i="3"/>
  <c r="IS21" i="3"/>
  <c r="IS30" i="3"/>
  <c r="KJ27" i="3"/>
  <c r="KJ51" i="3"/>
  <c r="KJ54" i="3" s="1"/>
  <c r="KI58" i="3"/>
  <c r="KI57" i="3"/>
  <c r="IS17" i="3"/>
  <c r="IT13" i="3" s="1"/>
  <c r="IT15" i="3" s="1"/>
  <c r="IR64" i="3" l="1"/>
  <c r="KJ28" i="3"/>
  <c r="KK24" i="3" s="1"/>
  <c r="KK26" i="3" s="1"/>
  <c r="KJ32" i="3"/>
  <c r="IS35" i="3"/>
  <c r="IS36" i="3"/>
  <c r="KJ52" i="3"/>
  <c r="KK49" i="3" s="1"/>
  <c r="KJ58" i="3"/>
  <c r="IS38" i="3" l="1"/>
  <c r="IS42" i="3" s="1"/>
  <c r="IS69" i="3" s="1"/>
  <c r="KK27" i="3"/>
  <c r="KJ57" i="3"/>
  <c r="KK51" i="3"/>
  <c r="KK54" i="3" s="1"/>
  <c r="IT16" i="3"/>
  <c r="IT19" i="3" s="1"/>
  <c r="IS41" i="3" l="1"/>
  <c r="IS63" i="3" s="1"/>
  <c r="IS73" i="3" s="1"/>
  <c r="KK28" i="3"/>
  <c r="KL24" i="3" s="1"/>
  <c r="KL26" i="3" s="1"/>
  <c r="KK32" i="3"/>
  <c r="IS70" i="3"/>
  <c r="IT21" i="3"/>
  <c r="KK52" i="3"/>
  <c r="KL49" i="3" s="1"/>
  <c r="IT30" i="3"/>
  <c r="KK57" i="3"/>
  <c r="IT17" i="3"/>
  <c r="IU13" i="3" s="1"/>
  <c r="IU15" i="3" s="1"/>
  <c r="IS64" i="3" l="1"/>
  <c r="IT36" i="3"/>
  <c r="IT35" i="3"/>
  <c r="KL27" i="3"/>
  <c r="KK58" i="3"/>
  <c r="KL51" i="3"/>
  <c r="KL54" i="3" s="1"/>
  <c r="IT38" i="3" l="1"/>
  <c r="IT41" i="3" s="1"/>
  <c r="IT63" i="3" s="1"/>
  <c r="KL28" i="3"/>
  <c r="KM24" i="3" s="1"/>
  <c r="KM26" i="3" s="1"/>
  <c r="KL32" i="3"/>
  <c r="KL52" i="3"/>
  <c r="KM49" i="3" s="1"/>
  <c r="IU16" i="3"/>
  <c r="IU19" i="3" s="1"/>
  <c r="IT42" i="3" l="1"/>
  <c r="IT69" i="3" s="1"/>
  <c r="IT73" i="3" s="1"/>
  <c r="IU21" i="3"/>
  <c r="IT64" i="3"/>
  <c r="IU30" i="3"/>
  <c r="KM27" i="3"/>
  <c r="KL57" i="3"/>
  <c r="KL58" i="3"/>
  <c r="KM51" i="3"/>
  <c r="KM54" i="3" s="1"/>
  <c r="IU17" i="3"/>
  <c r="IV13" i="3" s="1"/>
  <c r="IV15" i="3" s="1"/>
  <c r="IT70" i="3" l="1"/>
  <c r="KM28" i="3"/>
  <c r="KN24" i="3" s="1"/>
  <c r="KN26" i="3" s="1"/>
  <c r="KM32" i="3"/>
  <c r="IU35" i="3"/>
  <c r="IU36" i="3"/>
  <c r="KM52" i="3"/>
  <c r="KN49" i="3" s="1"/>
  <c r="KM58" i="3"/>
  <c r="IU38" i="3" l="1"/>
  <c r="IU42" i="3" s="1"/>
  <c r="IU69" i="3" s="1"/>
  <c r="KN51" i="3"/>
  <c r="KN54" i="3" s="1"/>
  <c r="KN27" i="3"/>
  <c r="KM57" i="3"/>
  <c r="IV16" i="3"/>
  <c r="IV19" i="3" s="1"/>
  <c r="IU41" i="3" l="1"/>
  <c r="IU63" i="3" s="1"/>
  <c r="IU73" i="3" s="1"/>
  <c r="KN28" i="3"/>
  <c r="KO24" i="3" s="1"/>
  <c r="KO26" i="3" s="1"/>
  <c r="KN32" i="3"/>
  <c r="IU70" i="3"/>
  <c r="IV21" i="3"/>
  <c r="KN52" i="3"/>
  <c r="KO49" i="3" s="1"/>
  <c r="KN58" i="3"/>
  <c r="IV30" i="3"/>
  <c r="IV17" i="3"/>
  <c r="IW13" i="3" s="1"/>
  <c r="IW15" i="3" s="1"/>
  <c r="IU64" i="3" l="1"/>
  <c r="IV35" i="3"/>
  <c r="IV36" i="3"/>
  <c r="KO27" i="3"/>
  <c r="KN57" i="3"/>
  <c r="KO51" i="3"/>
  <c r="KO54" i="3" s="1"/>
  <c r="IV38" i="3" l="1"/>
  <c r="IV42" i="3" s="1"/>
  <c r="IV69" i="3" s="1"/>
  <c r="KO28" i="3"/>
  <c r="KP24" i="3" s="1"/>
  <c r="KP26" i="3" s="1"/>
  <c r="KO32" i="3"/>
  <c r="KO52" i="3"/>
  <c r="KP49" i="3" s="1"/>
  <c r="IW16" i="3"/>
  <c r="IW19" i="3" s="1"/>
  <c r="IV41" i="3" l="1"/>
  <c r="IV63" i="3" s="1"/>
  <c r="IV64" i="3" s="1"/>
  <c r="IV70" i="3"/>
  <c r="IW21" i="3"/>
  <c r="IW30" i="3"/>
  <c r="IW17" i="3"/>
  <c r="IX13" i="3" s="1"/>
  <c r="IX15" i="3" s="1"/>
  <c r="KP27" i="3"/>
  <c r="KP51" i="3"/>
  <c r="KP54" i="3" s="1"/>
  <c r="KO57" i="3"/>
  <c r="KO58" i="3"/>
  <c r="IV73" i="3" l="1"/>
  <c r="KP28" i="3"/>
  <c r="KQ24" i="3" s="1"/>
  <c r="KQ26" i="3" s="1"/>
  <c r="KP32" i="3"/>
  <c r="IW36" i="3"/>
  <c r="IW35" i="3"/>
  <c r="KP52" i="3"/>
  <c r="KQ49" i="3" s="1"/>
  <c r="KP57" i="3"/>
  <c r="IX16" i="3"/>
  <c r="IX19" i="3" s="1"/>
  <c r="IW38" i="3" l="1"/>
  <c r="IW42" i="3" s="1"/>
  <c r="IW69" i="3" s="1"/>
  <c r="IW70" i="3" s="1"/>
  <c r="IX21" i="3"/>
  <c r="IX30" i="3"/>
  <c r="KQ27" i="3"/>
  <c r="IX17" i="3"/>
  <c r="IY13" i="3" s="1"/>
  <c r="IY15" i="3" s="1"/>
  <c r="KP58" i="3"/>
  <c r="KQ51" i="3"/>
  <c r="KQ54" i="3" s="1"/>
  <c r="IW41" i="3" l="1"/>
  <c r="IW63" i="3" s="1"/>
  <c r="IW64" i="3" s="1"/>
  <c r="KQ28" i="3"/>
  <c r="KR24" i="3" s="1"/>
  <c r="KR26" i="3" s="1"/>
  <c r="KQ32" i="3"/>
  <c r="IX36" i="3"/>
  <c r="IX35" i="3"/>
  <c r="KQ52" i="3"/>
  <c r="KR49" i="3" s="1"/>
  <c r="KQ58" i="3"/>
  <c r="IY16" i="3"/>
  <c r="IY19" i="3" s="1"/>
  <c r="IW73" i="3" l="1"/>
  <c r="IX38" i="3"/>
  <c r="IX42" i="3" s="1"/>
  <c r="IX69" i="3" s="1"/>
  <c r="IX70" i="3" s="1"/>
  <c r="IY21" i="3"/>
  <c r="IY30" i="3"/>
  <c r="IY17" i="3"/>
  <c r="IZ13" i="3" s="1"/>
  <c r="IZ15" i="3" s="1"/>
  <c r="KR27" i="3"/>
  <c r="KQ57" i="3"/>
  <c r="KR51" i="3"/>
  <c r="KR54" i="3" s="1"/>
  <c r="IX41" i="3" l="1"/>
  <c r="IX63" i="3" s="1"/>
  <c r="IX64" i="3" s="1"/>
  <c r="KR28" i="3"/>
  <c r="KS24" i="3" s="1"/>
  <c r="KS26" i="3" s="1"/>
  <c r="KR32" i="3"/>
  <c r="IY36" i="3"/>
  <c r="IY35" i="3"/>
  <c r="KR52" i="3"/>
  <c r="KS49" i="3" s="1"/>
  <c r="IZ16" i="3"/>
  <c r="IZ19" i="3" s="1"/>
  <c r="IX73" i="3" l="1"/>
  <c r="IY38" i="3"/>
  <c r="IY41" i="3" s="1"/>
  <c r="IY63" i="3" s="1"/>
  <c r="IY64" i="3" s="1"/>
  <c r="IZ21" i="3"/>
  <c r="IZ30" i="3"/>
  <c r="KS27" i="3"/>
  <c r="IZ17" i="3"/>
  <c r="JA13" i="3" s="1"/>
  <c r="KS51" i="3"/>
  <c r="KS54" i="3" s="1"/>
  <c r="KR57" i="3"/>
  <c r="KR58" i="3"/>
  <c r="IY42" i="3" l="1"/>
  <c r="IY69" i="3" s="1"/>
  <c r="IY70" i="3" s="1"/>
  <c r="KS28" i="3"/>
  <c r="KS32" i="3"/>
  <c r="IZ36" i="3"/>
  <c r="IZ35" i="3"/>
  <c r="JA15" i="3"/>
  <c r="JA16" i="3" s="1"/>
  <c r="JA19" i="3" s="1"/>
  <c r="KS52" i="3"/>
  <c r="IY73" i="3" l="1"/>
  <c r="IZ38" i="3"/>
  <c r="IZ41" i="3" s="1"/>
  <c r="IZ63" i="3" s="1"/>
  <c r="JA17" i="3"/>
  <c r="JB13" i="3" s="1"/>
  <c r="JB15" i="3" s="1"/>
  <c r="JA30" i="3"/>
  <c r="JA21" i="3"/>
  <c r="KS58" i="3"/>
  <c r="KS57" i="3"/>
  <c r="IZ42" i="3" l="1"/>
  <c r="IZ69" i="3" s="1"/>
  <c r="IZ64" i="3"/>
  <c r="JA35" i="3"/>
  <c r="JA36" i="3"/>
  <c r="JB16" i="3"/>
  <c r="JB19" i="3" s="1"/>
  <c r="IZ70" i="3" l="1"/>
  <c r="IZ73" i="3"/>
  <c r="JA38" i="3"/>
  <c r="JA42" i="3" s="1"/>
  <c r="JA69" i="3" s="1"/>
  <c r="JB21" i="3"/>
  <c r="JB30" i="3"/>
  <c r="JB17" i="3"/>
  <c r="JC13" i="3" s="1"/>
  <c r="JA41" i="3" l="1"/>
  <c r="JA63" i="3" s="1"/>
  <c r="JA73" i="3" s="1"/>
  <c r="JB35" i="3"/>
  <c r="JB36" i="3"/>
  <c r="JA70" i="3"/>
  <c r="JC15" i="3"/>
  <c r="JC16" i="3" s="1"/>
  <c r="JC19" i="3" s="1"/>
  <c r="JA64" i="3" l="1"/>
  <c r="JB38" i="3"/>
  <c r="JB42" i="3" s="1"/>
  <c r="JB69" i="3" s="1"/>
  <c r="JC21" i="3"/>
  <c r="JC17" i="3"/>
  <c r="JD13" i="3" s="1"/>
  <c r="JD15" i="3" s="1"/>
  <c r="JC30" i="3"/>
  <c r="JB70" i="3" l="1"/>
  <c r="JB41" i="3"/>
  <c r="JB63" i="3" s="1"/>
  <c r="JB73" i="3" s="1"/>
  <c r="JC35" i="3"/>
  <c r="JC36" i="3"/>
  <c r="JD16" i="3"/>
  <c r="JD19" i="3" s="1"/>
  <c r="JB64" i="3" l="1"/>
  <c r="JC38" i="3"/>
  <c r="JC42" i="3" s="1"/>
  <c r="JC69" i="3" s="1"/>
  <c r="JD21" i="3"/>
  <c r="JD30" i="3"/>
  <c r="JD17" i="3"/>
  <c r="JE13" i="3" s="1"/>
  <c r="JE15" i="3" s="1"/>
  <c r="JC70" i="3" l="1"/>
  <c r="JC41" i="3"/>
  <c r="JC63" i="3" s="1"/>
  <c r="JC73" i="3" s="1"/>
  <c r="JD35" i="3"/>
  <c r="JD36" i="3"/>
  <c r="JC64" i="3" l="1"/>
  <c r="JD38" i="3"/>
  <c r="JD41" i="3" s="1"/>
  <c r="JD63" i="3" s="1"/>
  <c r="JE16" i="3"/>
  <c r="JE19" i="3" s="1"/>
  <c r="JD42" i="3" l="1"/>
  <c r="JD69" i="3" s="1"/>
  <c r="JD70" i="3" s="1"/>
  <c r="JE21" i="3"/>
  <c r="JD64" i="3"/>
  <c r="JE30" i="3"/>
  <c r="JE17" i="3"/>
  <c r="JF13" i="3" s="1"/>
  <c r="JF15" i="3" s="1"/>
  <c r="JD73" i="3" l="1"/>
  <c r="JE36" i="3"/>
  <c r="JE35" i="3"/>
  <c r="JF16" i="3"/>
  <c r="JF19" i="3" s="1"/>
  <c r="JE38" i="3" l="1"/>
  <c r="JE42" i="3" s="1"/>
  <c r="JE69" i="3" s="1"/>
  <c r="JE70" i="3" s="1"/>
  <c r="JF21" i="3"/>
  <c r="JF30" i="3"/>
  <c r="JF17" i="3"/>
  <c r="JG13" i="3" s="1"/>
  <c r="JE41" i="3" l="1"/>
  <c r="JE63" i="3" s="1"/>
  <c r="JE73" i="3" s="1"/>
  <c r="JF36" i="3"/>
  <c r="JF35" i="3"/>
  <c r="JG15" i="3"/>
  <c r="JG16" i="3" s="1"/>
  <c r="JG19" i="3" s="1"/>
  <c r="JE64" i="3" l="1"/>
  <c r="JF38" i="3"/>
  <c r="JF41" i="3" s="1"/>
  <c r="JF63" i="3" s="1"/>
  <c r="JF64" i="3" s="1"/>
  <c r="JG17" i="3"/>
  <c r="JH13" i="3" s="1"/>
  <c r="JH15" i="3" s="1"/>
  <c r="JG21" i="3"/>
  <c r="JG30" i="3"/>
  <c r="JF42" i="3" l="1"/>
  <c r="JF69" i="3" s="1"/>
  <c r="JF70" i="3" s="1"/>
  <c r="JH16" i="3"/>
  <c r="JH19" i="3" s="1"/>
  <c r="JG36" i="3"/>
  <c r="JG35" i="3"/>
  <c r="JF73" i="3" l="1"/>
  <c r="JH17" i="3"/>
  <c r="JI13" i="3" s="1"/>
  <c r="JI15" i="3" s="1"/>
  <c r="JH30" i="3"/>
  <c r="JH36" i="3" s="1"/>
  <c r="JH21" i="3"/>
  <c r="JG38" i="3"/>
  <c r="JG42" i="3" s="1"/>
  <c r="JG69" i="3" s="1"/>
  <c r="JH35" i="3" l="1"/>
  <c r="JH38" i="3" s="1"/>
  <c r="JH42" i="3" s="1"/>
  <c r="JH69" i="3" s="1"/>
  <c r="JG41" i="3"/>
  <c r="JG63" i="3" s="1"/>
  <c r="JG64" i="3" s="1"/>
  <c r="JI16" i="3"/>
  <c r="JI19" i="3" s="1"/>
  <c r="JG70" i="3"/>
  <c r="JG73" i="3" l="1"/>
  <c r="JI17" i="3"/>
  <c r="JJ13" i="3" s="1"/>
  <c r="JJ15" i="3" s="1"/>
  <c r="JJ16" i="3" s="1"/>
  <c r="JJ19" i="3" s="1"/>
  <c r="JI30" i="3"/>
  <c r="JI36" i="3" s="1"/>
  <c r="JI21" i="3"/>
  <c r="JH41" i="3"/>
  <c r="JH63" i="3" s="1"/>
  <c r="JH64" i="3" s="1"/>
  <c r="JH70" i="3"/>
  <c r="JI35" i="3" l="1"/>
  <c r="JI38" i="3" s="1"/>
  <c r="JI41" i="3" s="1"/>
  <c r="JI63" i="3" s="1"/>
  <c r="JH73" i="3"/>
  <c r="JJ21" i="3"/>
  <c r="JJ30" i="3"/>
  <c r="JJ17" i="3"/>
  <c r="JK13" i="3" s="1"/>
  <c r="JK15" i="3" s="1"/>
  <c r="JI42" i="3" l="1"/>
  <c r="JI69" i="3" s="1"/>
  <c r="JJ35" i="3"/>
  <c r="JJ36" i="3"/>
  <c r="JI64" i="3"/>
  <c r="JI70" i="3" l="1"/>
  <c r="JJ38" i="3"/>
  <c r="JJ41" i="3" s="1"/>
  <c r="JJ63" i="3" s="1"/>
  <c r="JI73" i="3"/>
  <c r="JK16" i="3"/>
  <c r="JK19" i="3" s="1"/>
  <c r="JJ42" i="3" l="1"/>
  <c r="JJ69" i="3" s="1"/>
  <c r="JJ73" i="3" s="1"/>
  <c r="JK21" i="3"/>
  <c r="JJ64" i="3"/>
  <c r="JK30" i="3"/>
  <c r="JK17" i="3"/>
  <c r="JL13" i="3" s="1"/>
  <c r="JL15" i="3" s="1"/>
  <c r="JJ70" i="3" l="1"/>
  <c r="JK35" i="3"/>
  <c r="JK36" i="3"/>
  <c r="JK38" i="3" l="1"/>
  <c r="JK42" i="3" s="1"/>
  <c r="JK69" i="3" s="1"/>
  <c r="JL16" i="3"/>
  <c r="JL19" i="3" s="1"/>
  <c r="JK41" i="3" l="1"/>
  <c r="JK63" i="3" s="1"/>
  <c r="JK73" i="3" s="1"/>
  <c r="JK70" i="3"/>
  <c r="JL21" i="3"/>
  <c r="JL30" i="3"/>
  <c r="JL17" i="3"/>
  <c r="JM13" i="3" s="1"/>
  <c r="JM15" i="3" s="1"/>
  <c r="JK64" i="3" l="1"/>
  <c r="JL35" i="3"/>
  <c r="JL36" i="3"/>
  <c r="JM16" i="3"/>
  <c r="JM19" i="3" s="1"/>
  <c r="JL38" i="3" l="1"/>
  <c r="JL42" i="3" s="1"/>
  <c r="JL69" i="3" s="1"/>
  <c r="JL70" i="3" s="1"/>
  <c r="JM21" i="3"/>
  <c r="JM30" i="3"/>
  <c r="JM17" i="3"/>
  <c r="JN13" i="3" s="1"/>
  <c r="JN15" i="3" s="1"/>
  <c r="JL41" i="3" l="1"/>
  <c r="JL63" i="3" s="1"/>
  <c r="JL64" i="3" s="1"/>
  <c r="JM35" i="3"/>
  <c r="JM36" i="3"/>
  <c r="JL73" i="3" l="1"/>
  <c r="JM38" i="3"/>
  <c r="JM42" i="3" s="1"/>
  <c r="JM69" i="3" s="1"/>
  <c r="JN16" i="3"/>
  <c r="JN19" i="3" s="1"/>
  <c r="JM41" i="3" l="1"/>
  <c r="JM63" i="3" s="1"/>
  <c r="JM73" i="3" s="1"/>
  <c r="JM70" i="3"/>
  <c r="JN21" i="3"/>
  <c r="JN30" i="3"/>
  <c r="JN17" i="3"/>
  <c r="JO13" i="3" s="1"/>
  <c r="JO15" i="3" s="1"/>
  <c r="JM64" i="3" l="1"/>
  <c r="JN36" i="3"/>
  <c r="JN35" i="3"/>
  <c r="JN38" i="3" l="1"/>
  <c r="JN42" i="3" s="1"/>
  <c r="JN69" i="3" s="1"/>
  <c r="JO16" i="3"/>
  <c r="JO19" i="3" s="1"/>
  <c r="JN41" i="3" l="1"/>
  <c r="JN63" i="3" s="1"/>
  <c r="JN73" i="3" s="1"/>
  <c r="JN70" i="3"/>
  <c r="JO21" i="3"/>
  <c r="JO30" i="3"/>
  <c r="JO17" i="3"/>
  <c r="JP13" i="3" s="1"/>
  <c r="JP15" i="3" s="1"/>
  <c r="JN64" i="3" l="1"/>
  <c r="JO36" i="3"/>
  <c r="JO35" i="3"/>
  <c r="JO38" i="3" l="1"/>
  <c r="JO42" i="3" s="1"/>
  <c r="JO69" i="3" s="1"/>
  <c r="JP16" i="3"/>
  <c r="JP19" i="3" s="1"/>
  <c r="JO41" i="3" l="1"/>
  <c r="JO63" i="3" s="1"/>
  <c r="JO73" i="3" s="1"/>
  <c r="JO70" i="3"/>
  <c r="JP21" i="3"/>
  <c r="JP30" i="3"/>
  <c r="JP17" i="3"/>
  <c r="JQ13" i="3" s="1"/>
  <c r="JQ15" i="3" s="1"/>
  <c r="JO64" i="3" l="1"/>
  <c r="JP36" i="3"/>
  <c r="JP35" i="3"/>
  <c r="JP38" i="3" l="1"/>
  <c r="JP42" i="3" s="1"/>
  <c r="JP69" i="3" s="1"/>
  <c r="JQ16" i="3"/>
  <c r="JQ19" i="3" s="1"/>
  <c r="JP41" i="3" l="1"/>
  <c r="JP63" i="3" s="1"/>
  <c r="JP73" i="3" s="1"/>
  <c r="JP70" i="3"/>
  <c r="JQ21" i="3"/>
  <c r="JQ30" i="3"/>
  <c r="JQ17" i="3"/>
  <c r="JR13" i="3" s="1"/>
  <c r="JR15" i="3" s="1"/>
  <c r="JP64" i="3" l="1"/>
  <c r="JQ36" i="3"/>
  <c r="JQ35" i="3"/>
  <c r="JQ38" i="3" l="1"/>
  <c r="JQ41" i="3" s="1"/>
  <c r="JQ63" i="3" s="1"/>
  <c r="JR16" i="3"/>
  <c r="JR19" i="3" s="1"/>
  <c r="JQ42" i="3" l="1"/>
  <c r="JQ69" i="3" s="1"/>
  <c r="JQ70" i="3" s="1"/>
  <c r="JR21" i="3"/>
  <c r="JQ64" i="3"/>
  <c r="JR30" i="3"/>
  <c r="JR17" i="3"/>
  <c r="JS13" i="3" s="1"/>
  <c r="JQ73" i="3" l="1"/>
  <c r="JR36" i="3"/>
  <c r="JR35" i="3"/>
  <c r="JS15" i="3"/>
  <c r="JS16" i="3" s="1"/>
  <c r="JS19" i="3" s="1"/>
  <c r="JR38" i="3" l="1"/>
  <c r="JR42" i="3" s="1"/>
  <c r="JR69" i="3" s="1"/>
  <c r="JS21" i="3"/>
  <c r="JS17" i="3"/>
  <c r="JT13" i="3" s="1"/>
  <c r="JT15" i="3" s="1"/>
  <c r="JS30" i="3"/>
  <c r="JR41" i="3" l="1"/>
  <c r="JR63" i="3" s="1"/>
  <c r="JR73" i="3" s="1"/>
  <c r="JR70" i="3"/>
  <c r="JS35" i="3"/>
  <c r="JS36" i="3"/>
  <c r="JT16" i="3"/>
  <c r="JT19" i="3" s="1"/>
  <c r="JR64" i="3" l="1"/>
  <c r="JS38" i="3"/>
  <c r="JS42" i="3" s="1"/>
  <c r="JS69" i="3" s="1"/>
  <c r="JT21" i="3"/>
  <c r="JT30" i="3"/>
  <c r="JT17" i="3"/>
  <c r="JU13" i="3" s="1"/>
  <c r="JU15" i="3" s="1"/>
  <c r="JS41" i="3" l="1"/>
  <c r="JS63" i="3" s="1"/>
  <c r="JS73" i="3" s="1"/>
  <c r="JS70" i="3"/>
  <c r="JT35" i="3"/>
  <c r="JT36" i="3"/>
  <c r="JU16" i="3"/>
  <c r="JU19" i="3" s="1"/>
  <c r="JS64" i="3" l="1"/>
  <c r="JT38" i="3"/>
  <c r="JT41" i="3" s="1"/>
  <c r="JT63" i="3" s="1"/>
  <c r="JU21" i="3"/>
  <c r="JU30" i="3"/>
  <c r="JU17" i="3"/>
  <c r="JV13" i="3" s="1"/>
  <c r="JV15" i="3" s="1"/>
  <c r="JT42" i="3" l="1"/>
  <c r="JT69" i="3" s="1"/>
  <c r="JT73" i="3" s="1"/>
  <c r="JU35" i="3"/>
  <c r="JU36" i="3"/>
  <c r="JT64" i="3"/>
  <c r="JT70" i="3" l="1"/>
  <c r="JU38" i="3"/>
  <c r="JU42" i="3" s="1"/>
  <c r="JU69" i="3" s="1"/>
  <c r="JV16" i="3"/>
  <c r="JV19" i="3" s="1"/>
  <c r="JU41" i="3" l="1"/>
  <c r="JU63" i="3" s="1"/>
  <c r="JU73" i="3" s="1"/>
  <c r="JU70" i="3"/>
  <c r="JV21" i="3"/>
  <c r="JV30" i="3"/>
  <c r="JV17" i="3"/>
  <c r="JW13" i="3" s="1"/>
  <c r="JW15" i="3" s="1"/>
  <c r="JU64" i="3" l="1"/>
  <c r="JV35" i="3"/>
  <c r="JV36" i="3"/>
  <c r="JW16" i="3"/>
  <c r="JW19" i="3" s="1"/>
  <c r="JV38" i="3" l="1"/>
  <c r="JV41" i="3" s="1"/>
  <c r="JV63" i="3" s="1"/>
  <c r="JW21" i="3"/>
  <c r="JW30" i="3"/>
  <c r="JW17" i="3"/>
  <c r="JX13" i="3" s="1"/>
  <c r="JX15" i="3" s="1"/>
  <c r="JV42" i="3" l="1"/>
  <c r="JV69" i="3" s="1"/>
  <c r="JV73" i="3" s="1"/>
  <c r="JW36" i="3"/>
  <c r="JW35" i="3"/>
  <c r="JV64" i="3"/>
  <c r="JV70" i="3" l="1"/>
  <c r="JW38" i="3"/>
  <c r="JW42" i="3" s="1"/>
  <c r="JW69" i="3" s="1"/>
  <c r="JX16" i="3"/>
  <c r="JX19" i="3" s="1"/>
  <c r="JW41" i="3" l="1"/>
  <c r="JW63" i="3" s="1"/>
  <c r="JW73" i="3" s="1"/>
  <c r="JW70" i="3"/>
  <c r="JX21" i="3"/>
  <c r="JX30" i="3"/>
  <c r="JX17" i="3"/>
  <c r="JY13" i="3" s="1"/>
  <c r="JY15" i="3" s="1"/>
  <c r="JW64" i="3" l="1"/>
  <c r="JX36" i="3"/>
  <c r="JX35" i="3"/>
  <c r="JX38" i="3" l="1"/>
  <c r="JX42" i="3" s="1"/>
  <c r="JX69" i="3" s="1"/>
  <c r="JY16" i="3"/>
  <c r="JY19" i="3" s="1"/>
  <c r="JX41" i="3" l="1"/>
  <c r="JX63" i="3" s="1"/>
  <c r="JX64" i="3" s="1"/>
  <c r="JX70" i="3"/>
  <c r="JY21" i="3"/>
  <c r="JY30" i="3"/>
  <c r="JY17" i="3"/>
  <c r="JZ13" i="3" s="1"/>
  <c r="JZ15" i="3" s="1"/>
  <c r="JX73" i="3" l="1"/>
  <c r="JY36" i="3"/>
  <c r="JY35" i="3"/>
  <c r="JY38" i="3" l="1"/>
  <c r="JY41" i="3" s="1"/>
  <c r="JY63" i="3" s="1"/>
  <c r="JZ16" i="3"/>
  <c r="JZ19" i="3" s="1"/>
  <c r="JY42" i="3" l="1"/>
  <c r="JY69" i="3" s="1"/>
  <c r="JY73" i="3" s="1"/>
  <c r="JZ21" i="3"/>
  <c r="JY64" i="3"/>
  <c r="JZ30" i="3"/>
  <c r="JZ17" i="3"/>
  <c r="KA13" i="3" s="1"/>
  <c r="KA15" i="3" s="1"/>
  <c r="JY70" i="3" l="1"/>
  <c r="JZ36" i="3"/>
  <c r="JZ35" i="3"/>
  <c r="KA16" i="3"/>
  <c r="KA19" i="3" s="1"/>
  <c r="JZ38" i="3" l="1"/>
  <c r="JZ41" i="3" s="1"/>
  <c r="JZ63" i="3" s="1"/>
  <c r="KA21" i="3"/>
  <c r="KA30" i="3"/>
  <c r="KA17" i="3"/>
  <c r="KB13" i="3" s="1"/>
  <c r="KB15" i="3" s="1"/>
  <c r="JZ42" i="3" l="1"/>
  <c r="JZ69" i="3" s="1"/>
  <c r="JZ73" i="3" s="1"/>
  <c r="KA36" i="3"/>
  <c r="KA35" i="3"/>
  <c r="JZ64" i="3"/>
  <c r="JZ70" i="3" l="1"/>
  <c r="KA38" i="3"/>
  <c r="KA42" i="3" s="1"/>
  <c r="KA69" i="3" s="1"/>
  <c r="KB16" i="3"/>
  <c r="KB19" i="3" s="1"/>
  <c r="KA41" i="3" l="1"/>
  <c r="KA63" i="3" s="1"/>
  <c r="KA73" i="3" s="1"/>
  <c r="KA70" i="3"/>
  <c r="KB21" i="3"/>
  <c r="KB30" i="3"/>
  <c r="KB17" i="3"/>
  <c r="KC13" i="3" s="1"/>
  <c r="KC15" i="3" s="1"/>
  <c r="KA64" i="3" l="1"/>
  <c r="KB35" i="3"/>
  <c r="KB36" i="3"/>
  <c r="KC16" i="3"/>
  <c r="KC19" i="3" s="1"/>
  <c r="KB38" i="3" l="1"/>
  <c r="KB41" i="3" s="1"/>
  <c r="KB63" i="3" s="1"/>
  <c r="KC21" i="3"/>
  <c r="KC30" i="3"/>
  <c r="KC17" i="3"/>
  <c r="KD13" i="3" s="1"/>
  <c r="KD15" i="3" s="1"/>
  <c r="KB42" i="3" l="1"/>
  <c r="KB69" i="3" s="1"/>
  <c r="KB73" i="3" s="1"/>
  <c r="KC35" i="3"/>
  <c r="KC36" i="3"/>
  <c r="KB64" i="3"/>
  <c r="KB70" i="3" l="1"/>
  <c r="KC38" i="3"/>
  <c r="KC41" i="3" s="1"/>
  <c r="KC63" i="3" s="1"/>
  <c r="KD16" i="3"/>
  <c r="KD19" i="3" s="1"/>
  <c r="KC42" i="3" l="1"/>
  <c r="KC69" i="3" s="1"/>
  <c r="KC70" i="3" s="1"/>
  <c r="KD21" i="3"/>
  <c r="KC64" i="3"/>
  <c r="KD30" i="3"/>
  <c r="KD17" i="3"/>
  <c r="KE13" i="3" s="1"/>
  <c r="KE15" i="3" s="1"/>
  <c r="KC73" i="3" l="1"/>
  <c r="KD35" i="3"/>
  <c r="KD36" i="3"/>
  <c r="KD38" i="3" l="1"/>
  <c r="KD41" i="3" s="1"/>
  <c r="KD63" i="3" s="1"/>
  <c r="KE16" i="3"/>
  <c r="KE19" i="3" s="1"/>
  <c r="KD42" i="3" l="1"/>
  <c r="KD69" i="3" s="1"/>
  <c r="KD73" i="3" s="1"/>
  <c r="KE21" i="3"/>
  <c r="KD64" i="3"/>
  <c r="KE30" i="3"/>
  <c r="KE17" i="3"/>
  <c r="KF13" i="3" s="1"/>
  <c r="KF15" i="3" s="1"/>
  <c r="KD70" i="3" l="1"/>
  <c r="KE35" i="3"/>
  <c r="KE36" i="3"/>
  <c r="KF16" i="3"/>
  <c r="KF19" i="3" s="1"/>
  <c r="KE38" i="3" l="1"/>
  <c r="KE41" i="3" s="1"/>
  <c r="KE63" i="3" s="1"/>
  <c r="KE64" i="3" s="1"/>
  <c r="KF21" i="3"/>
  <c r="KF30" i="3"/>
  <c r="KF17" i="3"/>
  <c r="KG13" i="3" s="1"/>
  <c r="KG15" i="3" s="1"/>
  <c r="KE42" i="3" l="1"/>
  <c r="KE69" i="3" s="1"/>
  <c r="KE70" i="3" s="1"/>
  <c r="KF36" i="3"/>
  <c r="KF35" i="3"/>
  <c r="KE73" i="3" l="1"/>
  <c r="KF38" i="3"/>
  <c r="KF42" i="3" s="1"/>
  <c r="KF69" i="3" s="1"/>
  <c r="KG16" i="3"/>
  <c r="KG19" i="3" s="1"/>
  <c r="KF41" i="3" l="1"/>
  <c r="KF63" i="3" s="1"/>
  <c r="KF73" i="3" s="1"/>
  <c r="KF70" i="3"/>
  <c r="KG21" i="3"/>
  <c r="KG30" i="3"/>
  <c r="KG17" i="3"/>
  <c r="KH13" i="3" s="1"/>
  <c r="KH15" i="3" s="1"/>
  <c r="KF64" i="3" l="1"/>
  <c r="KG36" i="3"/>
  <c r="KG35" i="3"/>
  <c r="KG38" i="3" l="1"/>
  <c r="KG41" i="3" s="1"/>
  <c r="KG63" i="3" s="1"/>
  <c r="KH16" i="3"/>
  <c r="KH19" i="3" s="1"/>
  <c r="KG42" i="3" l="1"/>
  <c r="KG69" i="3" s="1"/>
  <c r="KG73" i="3" s="1"/>
  <c r="KH21" i="3"/>
  <c r="KG64" i="3"/>
  <c r="KH30" i="3"/>
  <c r="KH17" i="3"/>
  <c r="KI13" i="3" s="1"/>
  <c r="KI15" i="3" s="1"/>
  <c r="KG70" i="3" l="1"/>
  <c r="KH36" i="3"/>
  <c r="KH35" i="3"/>
  <c r="KI16" i="3"/>
  <c r="KI19" i="3" s="1"/>
  <c r="KH38" i="3" l="1"/>
  <c r="KH41" i="3" s="1"/>
  <c r="KH63" i="3" s="1"/>
  <c r="KH64" i="3" s="1"/>
  <c r="KI21" i="3"/>
  <c r="KI30" i="3"/>
  <c r="KI17" i="3"/>
  <c r="KJ13" i="3" s="1"/>
  <c r="KJ15" i="3" s="1"/>
  <c r="KH42" i="3" l="1"/>
  <c r="KH69" i="3" s="1"/>
  <c r="KH70" i="3" s="1"/>
  <c r="KI36" i="3"/>
  <c r="KI35" i="3"/>
  <c r="KH73" i="3" l="1"/>
  <c r="KI38" i="3"/>
  <c r="KI42" i="3" s="1"/>
  <c r="KI69" i="3" s="1"/>
  <c r="KJ16" i="3"/>
  <c r="KJ19" i="3" s="1"/>
  <c r="KI41" i="3" l="1"/>
  <c r="KI63" i="3" s="1"/>
  <c r="KI64" i="3" s="1"/>
  <c r="KI70" i="3"/>
  <c r="KJ21" i="3"/>
  <c r="KJ30" i="3"/>
  <c r="KJ17" i="3"/>
  <c r="KK13" i="3" s="1"/>
  <c r="KK15" i="3" s="1"/>
  <c r="KI73" i="3" l="1"/>
  <c r="KJ35" i="3"/>
  <c r="KJ36" i="3"/>
  <c r="KJ38" i="3" l="1"/>
  <c r="KJ42" i="3" s="1"/>
  <c r="KJ69" i="3" s="1"/>
  <c r="KK16" i="3"/>
  <c r="KK19" i="3" s="1"/>
  <c r="KJ41" i="3" l="1"/>
  <c r="KJ63" i="3" s="1"/>
  <c r="KJ73" i="3" s="1"/>
  <c r="KJ70" i="3"/>
  <c r="KK21" i="3"/>
  <c r="KK30" i="3"/>
  <c r="KK17" i="3"/>
  <c r="KL13" i="3" s="1"/>
  <c r="KL15" i="3" s="1"/>
  <c r="KJ64" i="3" l="1"/>
  <c r="KK35" i="3"/>
  <c r="KK36" i="3"/>
  <c r="KK38" i="3" l="1"/>
  <c r="KK41" i="3" s="1"/>
  <c r="KK63" i="3" s="1"/>
  <c r="KL16" i="3"/>
  <c r="KL19" i="3" s="1"/>
  <c r="KK42" i="3" l="1"/>
  <c r="KK69" i="3" s="1"/>
  <c r="KK73" i="3" s="1"/>
  <c r="KL21" i="3"/>
  <c r="KK64" i="3"/>
  <c r="KL30" i="3"/>
  <c r="KL17" i="3"/>
  <c r="KM13" i="3" s="1"/>
  <c r="KM15" i="3" s="1"/>
  <c r="KK70" i="3" l="1"/>
  <c r="KL35" i="3"/>
  <c r="KL36" i="3"/>
  <c r="KL38" i="3" l="1"/>
  <c r="KL42" i="3" s="1"/>
  <c r="KL69" i="3" s="1"/>
  <c r="KM16" i="3"/>
  <c r="KM19" i="3" s="1"/>
  <c r="KL41" i="3" l="1"/>
  <c r="KL63" i="3" s="1"/>
  <c r="KL73" i="3" s="1"/>
  <c r="KL70" i="3"/>
  <c r="KM21" i="3"/>
  <c r="KM30" i="3"/>
  <c r="KM17" i="3"/>
  <c r="KN13" i="3" s="1"/>
  <c r="KN15" i="3" s="1"/>
  <c r="KL64" i="3" l="1"/>
  <c r="KM35" i="3"/>
  <c r="KM36" i="3"/>
  <c r="KN16" i="3"/>
  <c r="KN19" i="3" s="1"/>
  <c r="KM38" i="3" l="1"/>
  <c r="KM41" i="3" s="1"/>
  <c r="KM63" i="3" s="1"/>
  <c r="KM64" i="3" s="1"/>
  <c r="KN21" i="3"/>
  <c r="KN30" i="3"/>
  <c r="KN17" i="3"/>
  <c r="KO13" i="3" s="1"/>
  <c r="KO15" i="3" s="1"/>
  <c r="KM42" i="3" l="1"/>
  <c r="KM69" i="3" s="1"/>
  <c r="KM70" i="3" s="1"/>
  <c r="KN36" i="3"/>
  <c r="KN35" i="3"/>
  <c r="KM73" i="3" l="1"/>
  <c r="KN38" i="3"/>
  <c r="KN41" i="3" s="1"/>
  <c r="KN63" i="3" s="1"/>
  <c r="KO16" i="3"/>
  <c r="KO19" i="3" s="1"/>
  <c r="KN42" i="3" l="1"/>
  <c r="KN69" i="3" s="1"/>
  <c r="KN70" i="3" s="1"/>
  <c r="KO21" i="3"/>
  <c r="KN64" i="3"/>
  <c r="KO30" i="3"/>
  <c r="KO17" i="3"/>
  <c r="KP13" i="3" s="1"/>
  <c r="KP15" i="3" s="1"/>
  <c r="KN73" i="3" l="1"/>
  <c r="KO35" i="3"/>
  <c r="KO36" i="3"/>
  <c r="KO38" i="3" l="1"/>
  <c r="KO42" i="3" s="1"/>
  <c r="KO69" i="3" s="1"/>
  <c r="KP16" i="3"/>
  <c r="KP19" i="3" s="1"/>
  <c r="KO41" i="3" l="1"/>
  <c r="KO63" i="3" s="1"/>
  <c r="KO73" i="3" s="1"/>
  <c r="KO70" i="3"/>
  <c r="KP21" i="3"/>
  <c r="KP30" i="3"/>
  <c r="KP17" i="3"/>
  <c r="KQ13" i="3" s="1"/>
  <c r="KQ15" i="3" s="1"/>
  <c r="KO64" i="3" l="1"/>
  <c r="KP36" i="3"/>
  <c r="KP35" i="3"/>
  <c r="KP38" i="3" l="1"/>
  <c r="KP42" i="3" s="1"/>
  <c r="KP69" i="3" s="1"/>
  <c r="KQ16" i="3"/>
  <c r="KQ19" i="3" s="1"/>
  <c r="KP41" i="3" l="1"/>
  <c r="KP63" i="3" s="1"/>
  <c r="KP73" i="3" s="1"/>
  <c r="KP70" i="3"/>
  <c r="KQ21" i="3"/>
  <c r="KQ30" i="3"/>
  <c r="KQ17" i="3"/>
  <c r="KR13" i="3" s="1"/>
  <c r="KR15" i="3" s="1"/>
  <c r="KP64" i="3" l="1"/>
  <c r="KQ36" i="3"/>
  <c r="KQ35" i="3"/>
  <c r="KQ38" i="3" l="1"/>
  <c r="KQ42" i="3" s="1"/>
  <c r="KQ69" i="3" s="1"/>
  <c r="KQ70" i="3" s="1"/>
  <c r="KR16" i="3"/>
  <c r="KR19" i="3" s="1"/>
  <c r="KQ41" i="3" l="1"/>
  <c r="KQ63" i="3" s="1"/>
  <c r="KQ64" i="3" s="1"/>
  <c r="KR21" i="3"/>
  <c r="KR30" i="3"/>
  <c r="KR17" i="3"/>
  <c r="KS13" i="3" s="1"/>
  <c r="KQ73" i="3" l="1"/>
  <c r="KR35" i="3"/>
  <c r="KR36" i="3"/>
  <c r="KS15" i="3"/>
  <c r="KR38" i="3" l="1"/>
  <c r="KR41" i="3" s="1"/>
  <c r="KR63" i="3" s="1"/>
  <c r="KS16" i="3"/>
  <c r="KS19" i="3" s="1"/>
  <c r="KR42" i="3" l="1"/>
  <c r="KR69" i="3" s="1"/>
  <c r="KR73" i="3" s="1"/>
  <c r="KS21" i="3"/>
  <c r="KR64" i="3"/>
  <c r="KS30" i="3"/>
  <c r="KS17" i="3"/>
  <c r="KR70" i="3" l="1"/>
  <c r="KS36" i="3"/>
  <c r="KS35" i="3"/>
  <c r="KS38" i="3" l="1"/>
  <c r="KS41" i="3" s="1"/>
  <c r="KS63" i="3" s="1"/>
  <c r="KS64" i="3" s="1"/>
  <c r="KS42" i="3" l="1"/>
  <c r="KS69" i="3" s="1"/>
  <c r="KS73" i="3" s="1"/>
  <c r="KS70" i="3" l="1"/>
  <c r="C68" i="3" l="1"/>
  <c r="C62" i="3" l="1"/>
  <c r="C32" i="3" l="1"/>
  <c r="C19" i="3" l="1"/>
  <c r="C65" i="3" l="1"/>
  <c r="C63" i="3" l="1"/>
  <c r="C71" i="3" l="1"/>
  <c r="C6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<sst xmlns="http://schemas.openxmlformats.org/spreadsheetml/2006/main" count="105" uniqueCount="63">
  <si>
    <t>Estimated Working Days In Months</t>
  </si>
  <si>
    <t>Equity Split (A and B)</t>
  </si>
  <si>
    <t>Equity - A</t>
  </si>
  <si>
    <t>1. X Debt</t>
  </si>
  <si>
    <t>2. Y Debt</t>
  </si>
  <si>
    <t xml:space="preserve">Profit Waterfall </t>
  </si>
  <si>
    <t>1. IRR</t>
  </si>
  <si>
    <t>2. Yield</t>
  </si>
  <si>
    <t>1. IRR Waterfall</t>
  </si>
  <si>
    <t>2. Yield Waterfall</t>
  </si>
  <si>
    <t>Equity A Preferred Return (IRR)</t>
  </si>
  <si>
    <t>Equity A Preferred Return (Cash Yield)</t>
  </si>
  <si>
    <t>Hurdle 1</t>
  </si>
  <si>
    <t>Tier 1</t>
  </si>
  <si>
    <t>Equity - B</t>
  </si>
  <si>
    <t>Negative Balance</t>
  </si>
  <si>
    <t>Month</t>
  </si>
  <si>
    <t>Debt Addition</t>
  </si>
  <si>
    <t>Downtime Reserve</t>
  </si>
  <si>
    <t xml:space="preserve">Equity Invested </t>
  </si>
  <si>
    <t>Equity Returned</t>
  </si>
  <si>
    <t xml:space="preserve">Net cash </t>
  </si>
  <si>
    <t>XIRR</t>
  </si>
  <si>
    <t>Profit Waterfall</t>
  </si>
  <si>
    <t>Pref Hurdle :</t>
  </si>
  <si>
    <t>Opening Balance</t>
  </si>
  <si>
    <t>Addition to Equity</t>
  </si>
  <si>
    <t>Preferred Return</t>
  </si>
  <si>
    <t>Preferred Return Paid</t>
  </si>
  <si>
    <t>Closing Balance</t>
  </si>
  <si>
    <t>IRR Parity</t>
  </si>
  <si>
    <t>Balance after Preferred Return</t>
  </si>
  <si>
    <t>Tier 1:</t>
  </si>
  <si>
    <t>Balance after Tier 1</t>
  </si>
  <si>
    <t>Tier 2:</t>
  </si>
  <si>
    <t>Do Not delete</t>
  </si>
  <si>
    <t xml:space="preserve">Pref Hurdle </t>
  </si>
  <si>
    <t>Add: Current Period Pref return</t>
  </si>
  <si>
    <t>Less: Pref Return Paid amount</t>
  </si>
  <si>
    <t>Shortfall (if any) / Closing Amount</t>
  </si>
  <si>
    <t>Net Amount Available after Pref Return is Paid</t>
  </si>
  <si>
    <t>Debt Calculations</t>
  </si>
  <si>
    <t>Amortization</t>
  </si>
  <si>
    <t>Ballon Payment</t>
  </si>
  <si>
    <t xml:space="preserve">Interest </t>
  </si>
  <si>
    <t>Downtime Days Calculations</t>
  </si>
  <si>
    <t>Downtime Days</t>
  </si>
  <si>
    <t>Net Days</t>
  </si>
  <si>
    <t>Cumulative Equity</t>
  </si>
  <si>
    <t>Proceeds from Sale of Assets, net</t>
  </si>
  <si>
    <t>Minimum of the above</t>
  </si>
  <si>
    <t>Cumulative Reserve</t>
  </si>
  <si>
    <t>Equity - B (ABC)</t>
  </si>
  <si>
    <t>Close Date</t>
  </si>
  <si>
    <t>Project Close Date</t>
  </si>
  <si>
    <t>LP Distribution</t>
  </si>
  <si>
    <t>LP</t>
  </si>
  <si>
    <t>GP</t>
  </si>
  <si>
    <t>Total Return to LP</t>
  </si>
  <si>
    <t>Total Return to GP</t>
  </si>
  <si>
    <t>GP (ABC)</t>
  </si>
  <si>
    <t>LP Preferred Return (IRR)</t>
  </si>
  <si>
    <t>LP Preferred Return (Cash Yield)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</si>
</sst>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\(&quot;$&quot;#,##0.00\)"/>
    <numFmt numFmtId="166" formatCode="_(* #,##0.0_);_(* \(#,##0.0\);_(* &quot;-&quot;?_);_(@_)"/>
    <numFmt numFmtId="167" formatCode="[$-409]mmm\-yy;@"/>
    <numFmt numFmtId="175" formatCode="_(* #,##0.0%;_(* \(#,##0.0\)%"/>
    <numFmt numFmtId="176" formatCode="0.0%"/>
  </numFmts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Georgia"/>
      <family val="1"/>
    </font>
    <font>
      <sz val="8"/>
      <color rgb="FF0000FF"/>
      <name val="Georgia"/>
      <family val="1"/>
    </font>
    <font>
      <u/>
      <sz val="11"/>
      <name val="Aptos Narrow"/>
      <family val="2"/>
      <scheme val="minor"/>
    </font>
    <font>
      <sz val="10"/>
      <name val="MS Sans Serif"/>
      <family val="2"/>
    </font>
    <font>
      <sz val="11"/>
      <color theme="1"/>
      <name val="Palatino Linotype"/>
      <family val="1"/>
    </font>
    <font>
      <sz val="10"/>
      <color theme="1"/>
      <name val="Trade Gothic LT Com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0" borderId="2" xfId="0" applyBorder="1"/>
    <xf numFmtId="0" fontId="2" fillId="0" borderId="3" xfId="0" applyFont="1" applyBorder="1"/>
    <xf numFmtId="9" fontId="3" fillId="0" borderId="0" xfId="0" applyNumberFormat="1" applyFont="1"/>
    <xf numFmtId="166" fontId="0" fillId="0" borderId="0" xfId="0" applyNumberFormat="1"/>
    <xf numFmtId="0" fontId="0" fillId="3" borderId="0" xfId="0" applyFill="1"/>
    <xf numFmtId="0" fontId="3" fillId="3" borderId="1" xfId="0" applyFont="1" applyFill="1" applyBorder="1"/>
    <xf numFmtId="166" fontId="0" fillId="3" borderId="0" xfId="0" applyNumberFormat="1" applyFill="1"/>
    <xf numFmtId="0" fontId="6" fillId="0" borderId="0" xfId="0" applyFont="1"/>
    <xf numFmtId="0" fontId="2" fillId="0" borderId="0" xfId="0" applyFont="1"/>
    <xf numFmtId="9" fontId="0" fillId="0" borderId="0" xfId="0" applyNumberFormat="1"/>
    <xf numFmtId="0" fontId="10" fillId="0" borderId="0" xfId="0" applyFont="1" applyAlignment="1">
      <alignment horizontal="left" vertical="center"/>
    </xf>
    <xf numFmtId="176" fontId="11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5" fillId="0" borderId="3" xfId="0" applyFont="1" applyBorder="1"/>
    <xf numFmtId="0" fontId="5" fillId="0" borderId="0" xfId="0" applyFont="1"/>
    <xf numFmtId="176" fontId="3" fillId="0" borderId="0" xfId="1" applyNumberFormat="1" applyFont="1"/>
    <xf numFmtId="176" fontId="9" fillId="0" borderId="0" xfId="1" applyNumberFormat="1" applyFont="1"/>
    <xf numFmtId="0" fontId="12" fillId="0" borderId="0" xfId="0" applyFont="1"/>
    <xf numFmtId="0" fontId="0" fillId="0" borderId="0" xfId="0" applyAlignment="1">
      <alignment horizontal="left" indent="1"/>
    </xf>
    <xf numFmtId="176" fontId="0" fillId="0" borderId="0" xfId="1" applyNumberFormat="1" applyFont="1"/>
    <xf numFmtId="0" fontId="0" fillId="0" borderId="2" xfId="0" applyBorder="1" applyAlignment="1">
      <alignment horizontal="left" indent="1"/>
    </xf>
    <xf numFmtId="0" fontId="0" fillId="0" borderId="3" xfId="0" applyBorder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5" fillId="0" borderId="2" xfId="0" applyFont="1" applyBorder="1"/>
    <xf numFmtId="0" fontId="0" fillId="3" borderId="0" xfId="0" applyFill="1" applyAlignment="1">
      <alignment horizontal="left" indent="1"/>
    </xf>
    <xf numFmtId="166" fontId="10" fillId="0" borderId="0" xfId="0" applyNumberFormat="1" applyFont="1"/>
    <xf numFmtId="0" fontId="10" fillId="0" borderId="0" xfId="0" applyFont="1"/>
    <xf numFmtId="10" fontId="0" fillId="3" borderId="0" xfId="1" applyNumberFormat="1" applyFont="1" applyFill="1"/>
    <xf numFmtId="0" fontId="0" fillId="0" borderId="4" xfId="0" applyBorder="1"/>
    <xf numFmtId="0" fontId="4" fillId="0" borderId="4" xfId="0" applyFont="1" applyBorder="1"/>
    <xf numFmtId="0" fontId="0" fillId="0" borderId="7" xfId="0" applyBorder="1"/>
    <xf numFmtId="0" fontId="0" fillId="0" borderId="8" xfId="0" applyBorder="1"/>
    <xf numFmtId="166" fontId="0" fillId="0" borderId="8" xfId="0" applyNumberFormat="1" applyBorder="1"/>
    <xf numFmtId="0" fontId="16" fillId="2" borderId="2" xfId="0" applyFont="1" applyFill="1" applyBorder="1"/>
    <xf numFmtId="167" fontId="16" fillId="2" borderId="2" xfId="0" applyNumberFormat="1" applyFont="1" applyFill="1" applyBorder="1" applyAlignment="1">
      <alignment horizontal="right"/>
    </xf>
    <xf numFmtId="0" fontId="16" fillId="2" borderId="0" xfId="0" applyFont="1" applyFill="1"/>
    <xf numFmtId="14" fontId="3" fillId="0" borderId="0" xfId="0" applyNumberFormat="1" applyFont="1"/>
    <xf numFmtId="164" fontId="7" fillId="3" borderId="5" xfId="0" applyNumberFormat="1" applyFont="1" applyFill="1" applyBorder="1" applyAlignment="1">
      <alignment horizontal="left"/>
    </xf>
    <xf numFmtId="175" fontId="8" fillId="3" borderId="6" xfId="0" applyNumberFormat="1" applyFont="1" applyFill="1" applyBorder="1" applyAlignment="1">
      <alignment horizontal="left"/>
    </xf>
  </cellXfs>
  <cellStyles count="5">
    <cellStyle name="Normal" xfId="0" builtinId="0"/>
    <cellStyle name="Normal 2 5 2" xfId="4" xr:uid="{D5224256-4CF5-4504-82F4-80773A154B65}"/>
    <cellStyle name="Normal 46" xfId="2" xr:uid="{4E58871B-B1AD-4E2A-924D-C74F775CE21D}"/>
    <cellStyle name="Normal 62" xfId="3" xr:uid="{67B79736-A15B-4C0D-8F1A-2C616B374E25}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79ED91-2D01-4AF6-9E98-A16A6620D239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a24491cf-2fc5-4a55-b0a8-2b7a0345249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55E8-3696-46B5-B4D2-6CED654357AC}">
  <dimension ref="A1:J35"/>
  <sheetViews>
    <sheetView showGridLines="0" tabSelected="1" view="pageBreakPreview" zoomScale="84" zoomScaleNormal="100" zoomScaleSheetLayoutView="100" workbookViewId="0">
      <selection activeCell="I20" sqref="I20"/>
    </sheetView>
  </sheetViews>
  <sheetFormatPr defaultRowHeight="13.8"/>
  <cols>
    <col min="1" max="1" width="1.69921875" customWidth="1"/>
    <col min="2" max="5" width="17.69921875" customWidth="1"/>
    <col min="6" max="6" width="1.69921875" customWidth="1"/>
    <col min="7" max="10" width="17.69921875" customWidth="1"/>
    <col min="11" max="11" width="1.69921875" customWidth="1"/>
  </cols>
  <sheetData>
    <row r="1" spans="1:10" ht="5.0999999999999996" customHeight="1"/>
    <row r="2" spans="1:10">
      <c r="A2" t="s">
        <v>56</v>
      </c>
      <c r="B2" s="1" t="s">
        <v>1</v>
      </c>
      <c r="C2" s="2"/>
      <c r="D2" s="2"/>
      <c r="E2" s="2"/>
      <c r="G2" s="1" t="s">
        <v>54</v>
      </c>
      <c r="H2" s="2"/>
      <c r="I2" s="2"/>
      <c r="J2" s="2"/>
    </row>
    <row r="3" spans="1:10">
      <c r="A3" t="s">
        <v>60</v>
      </c>
      <c r="B3" t="s">
        <v>2</v>
      </c>
      <c r="E3" s="5">
        <v>0.8</v>
      </c>
      <c r="G3" t="s">
        <v>53</v>
      </c>
      <c r="J3" s="40">
        <v>46387</v>
      </c>
    </row>
    <row r="4" spans="1:10">
      <c r="B4" t="s">
        <v>52</v>
      </c>
      <c r="E4" s="12">
        <f>1-E3</f>
        <v>0.19999999999999996</v>
      </c>
    </row>
    <row r="6" spans="1:10">
      <c r="B6" s="1" t="s">
        <v>5</v>
      </c>
      <c r="C6" s="1"/>
      <c r="D6" s="1"/>
      <c r="E6" s="1"/>
      <c r="F6" s="1"/>
      <c r="G6" s="1"/>
      <c r="H6" s="1"/>
      <c r="I6" s="1"/>
      <c r="J6" s="1"/>
    </row>
    <row r="7" spans="1:10" ht="4.5" customHeight="1"/>
    <row r="8" spans="1:10">
      <c r="B8" t="s">
        <v>6</v>
      </c>
      <c r="E8" s="8">
        <v>1</v>
      </c>
    </row>
    <row r="9" spans="1:10">
      <c r="B9" t="s">
        <v>7</v>
      </c>
    </row>
    <row r="10" spans="1:10" ht="6.75" customHeight="1"/>
    <row r="11" spans="1:10">
      <c r="B11" s="16" t="s">
        <v>8</v>
      </c>
      <c r="C11" s="16"/>
      <c r="D11" s="16"/>
      <c r="E11" s="16"/>
      <c r="G11" s="16" t="s">
        <v>9</v>
      </c>
      <c r="H11" s="16"/>
      <c r="I11" s="16"/>
      <c r="J11" s="16"/>
    </row>
    <row r="12" spans="1:10">
      <c r="A12" t="s">
        <v>61</v>
      </c>
      <c r="B12" s="17"/>
      <c r="C12" s="17"/>
      <c r="D12" s="17"/>
      <c r="E12" s="17"/>
      <c r="F12" t="s">
        <v>62</v>
      </c>
    </row>
    <row r="13" spans="1:10">
      <c r="B13" s="17" t="s">
        <v>10</v>
      </c>
      <c r="C13" s="17"/>
      <c r="D13" s="17"/>
      <c r="E13" s="18">
        <v>0.05</v>
      </c>
      <c r="G13" t="s">
        <v>11</v>
      </c>
      <c r="J13" s="18">
        <v>0.1</v>
      </c>
    </row>
    <row r="14" spans="1:10">
      <c r="F14" s="14"/>
    </row>
    <row r="15" spans="1:10">
      <c r="A15" t="s">
        <v>56</v>
      </c>
      <c r="B15" s="27" t="s">
        <v>12</v>
      </c>
      <c r="C15" s="27"/>
      <c r="D15" s="17"/>
      <c r="E15" s="18"/>
      <c r="F15" s="13" t="s">
        <v>56</v>
      </c>
      <c r="G15" s="3" t="s">
        <v>13</v>
      </c>
      <c r="H15" s="3"/>
    </row>
    <row r="16" spans="1:10">
      <c r="A16" t="s">
        <v>57</v>
      </c>
      <c r="B16" s="17" t="s">
        <v>2</v>
      </c>
      <c r="C16" s="17"/>
      <c r="D16" s="17"/>
      <c r="E16" s="18">
        <v>0.8</v>
      </c>
      <c r="F16" s="13" t="s">
        <v>57</v>
      </c>
      <c r="G16" s="17" t="s">
        <v>2</v>
      </c>
      <c r="J16" s="5">
        <v>0.7</v>
      </c>
    </row>
    <row r="17" spans="1:10">
      <c r="A17" t="s">
        <v>61</v>
      </c>
      <c r="B17" s="17" t="s">
        <v>14</v>
      </c>
      <c r="C17" s="17"/>
      <c r="D17" s="17"/>
      <c r="E17" s="19">
        <f>1-E16</f>
        <v>0.19999999999999996</v>
      </c>
      <c r="F17" s="14"/>
      <c r="G17" s="17" t="s">
        <v>14</v>
      </c>
      <c r="J17" s="12">
        <f>1-J16</f>
        <v>0.30000000000000004</v>
      </c>
    </row>
    <row r="18" spans="1:10">
      <c r="B18" s="17" t="s">
        <v>10</v>
      </c>
      <c r="C18" s="17"/>
      <c r="D18" s="17"/>
      <c r="E18" s="18">
        <v>0.05</v>
      </c>
      <c r="F18" s="15"/>
      <c r="J18" s="18"/>
    </row>
    <row r="19" spans="1:10">
      <c r="B19" s="17"/>
      <c r="C19" s="17"/>
      <c r="D19" s="17"/>
      <c r="E19" s="17"/>
      <c r="F19" s="14"/>
    </row>
    <row r="20" spans="1:10">
      <c r="A20" t="s">
        <v>56</v>
      </c>
      <c r="B20" s="27" t="s">
        <v>12</v>
      </c>
      <c r="C20" s="27"/>
      <c r="D20" s="17"/>
      <c r="E20" s="18"/>
      <c r="F20" s="13"/>
    </row>
    <row r="21" spans="1:10">
      <c r="A21" t="s">
        <v>57</v>
      </c>
      <c r="B21" s="17" t="s">
        <v>2</v>
      </c>
      <c r="C21" s="17"/>
      <c r="D21" s="17"/>
      <c r="E21" s="18">
        <v>0.7</v>
      </c>
      <c r="F21" s="13"/>
    </row>
    <row r="22" spans="1:10">
      <c r="B22" s="17" t="s">
        <v>14</v>
      </c>
      <c r="C22" s="17"/>
      <c r="D22" s="17"/>
      <c r="E22" s="19">
        <f>1-E21</f>
        <v>0.30000000000000004</v>
      </c>
      <c r="F22" s="14"/>
    </row>
    <row r="23" spans="1:10">
      <c r="B23" s="17"/>
      <c r="C23" s="17"/>
      <c r="D23" s="17"/>
      <c r="E23" s="18"/>
      <c r="F23" s="15"/>
    </row>
    <row r="28" spans="1:10">
      <c r="B28" s="25"/>
      <c r="D28" s="26"/>
      <c r="E28" s="26"/>
      <c r="F28" s="26"/>
      <c r="G28" s="26"/>
    </row>
    <row r="29" spans="1:10">
      <c r="B29" s="25"/>
      <c r="C29" s="26"/>
      <c r="D29" s="26"/>
      <c r="E29" s="26"/>
      <c r="F29" s="26"/>
      <c r="G29" s="26"/>
    </row>
    <row r="30" spans="1:10">
      <c r="B30" s="25"/>
      <c r="C30" s="26"/>
      <c r="D30" s="26"/>
      <c r="E30" s="26"/>
      <c r="F30" s="26"/>
      <c r="G30" s="26"/>
    </row>
    <row r="31" spans="1:10">
      <c r="B31" s="25"/>
      <c r="C31" s="26"/>
      <c r="D31" s="26"/>
      <c r="E31" s="26"/>
      <c r="F31" s="26"/>
      <c r="G31" s="26"/>
    </row>
    <row r="32" spans="1:10">
      <c r="B32" s="25"/>
      <c r="C32" s="26"/>
      <c r="D32" s="26"/>
      <c r="E32" s="26"/>
      <c r="F32" s="26"/>
      <c r="G32" s="26"/>
    </row>
    <row r="33" spans="2:7">
      <c r="B33" s="25"/>
      <c r="C33" s="26"/>
      <c r="D33" s="26"/>
      <c r="E33" s="26"/>
      <c r="F33" s="26"/>
      <c r="G33" s="26"/>
    </row>
    <row r="34" spans="2:7">
      <c r="B34" s="25"/>
      <c r="C34" s="26"/>
      <c r="D34" s="26"/>
      <c r="E34" s="26"/>
      <c r="F34" s="26"/>
      <c r="G34" s="26"/>
    </row>
    <row r="35" spans="2:7">
      <c r="B35" s="25"/>
      <c r="C35" s="26"/>
      <c r="D35" s="26"/>
      <c r="E35" s="26"/>
      <c r="F35" s="26"/>
      <c r="G35" s="26"/>
    </row>
  </sheetData>
  <dataValidations count="1">
    <dataValidation type="list" allowBlank="1" showInputMessage="1" showErrorMessage="1" sqref="E8" xr:uid="{BFF10817-95FD-487E-9E51-5E002A763141}">
      <formula1>"1,2"</formula1>
    </dataValidation>
  </dataValidations>
  <pageMargins left="0.7" right="0.7" top="0.75" bottom="0.75" header="0.3" footer="0.3"/>
  <pageSetup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8A09-1DEB-4B50-8E81-17111F8965C2}">
  <dimension ref="B1:XFD138"/>
  <sheetViews>
    <sheetView showGridLines="0" zoomScale="80" zoomScaleNormal="80" workbookViewId="0">
      <pane xSplit="3" ySplit="2" topLeftCell="D3" activePane="bottomRight" state="frozen"/>
      <selection pane="topRight" activeCell="D1" sqref="D1"/>
      <selection pane="bottomLeft" activeCell="A6" sqref="A6"/>
      <selection pane="bottomRight" activeCell="F5" sqref="F5:KS5"/>
    </sheetView>
  </sheetViews>
  <sheetFormatPr defaultColWidth="10.69921875" defaultRowHeight="13.8" outlineLevelRow="1"/>
  <cols>
    <col min="1" max="1" width="0.796875" customWidth="1"/>
    <col min="2" max="2" width="32.796875" customWidth="1"/>
    <col min="3" max="3" width="11.796875" customWidth="1"/>
    <col min="4" max="4" width="11.59765625" customWidth="1"/>
    <col min="5" max="5" width="11.3984375" customWidth="1"/>
    <col min="305" max="305" width="11" customWidth="1"/>
  </cols>
  <sheetData>
    <row r="1" spans="2:16384" ht="6" customHeight="1">
      <c r="B1" s="33"/>
      <c r="C1" s="33"/>
      <c r="D1" s="33"/>
      <c r="E1" s="32"/>
      <c r="F1" s="32"/>
      <c r="G1" s="32"/>
      <c r="H1" s="32"/>
      <c r="I1" s="3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</row>
    <row r="2" spans="2:16384" s="39" customFormat="1" ht="12" customHeight="1">
      <c r="B2" s="37" t="s">
        <v>16</v>
      </c>
      <c r="C2" s="37"/>
      <c r="D2" s="38">
        <f>EOMONTH(E2,-1)</f>
        <v>46356</v>
      </c>
      <c r="E2" s="38">
        <f>Inputs!J3</f>
        <v>46387</v>
      </c>
      <c r="F2" s="38">
        <f>EOMONTH(E2,1)</f>
        <v>46418</v>
      </c>
      <c r="G2" s="38">
        <f t="shared" ref="G2:BR2" si="0">EOMONTH(F2,1)</f>
        <v>46446</v>
      </c>
      <c r="H2" s="38">
        <f t="shared" si="0"/>
        <v>46477</v>
      </c>
      <c r="I2" s="38">
        <f t="shared" si="0"/>
        <v>46507</v>
      </c>
      <c r="J2" s="38">
        <f t="shared" si="0"/>
        <v>46538</v>
      </c>
      <c r="K2" s="38">
        <f t="shared" si="0"/>
        <v>46568</v>
      </c>
      <c r="L2" s="38">
        <f t="shared" si="0"/>
        <v>46599</v>
      </c>
      <c r="M2" s="38">
        <f t="shared" si="0"/>
        <v>46630</v>
      </c>
      <c r="N2" s="38">
        <f t="shared" si="0"/>
        <v>46660</v>
      </c>
      <c r="O2" s="38">
        <f t="shared" si="0"/>
        <v>46691</v>
      </c>
      <c r="P2" s="38">
        <f t="shared" si="0"/>
        <v>46721</v>
      </c>
      <c r="Q2" s="38">
        <f t="shared" si="0"/>
        <v>46752</v>
      </c>
      <c r="R2" s="38">
        <f t="shared" si="0"/>
        <v>46783</v>
      </c>
      <c r="S2" s="38">
        <f t="shared" si="0"/>
        <v>46812</v>
      </c>
      <c r="T2" s="38">
        <f t="shared" si="0"/>
        <v>46843</v>
      </c>
      <c r="U2" s="38">
        <f t="shared" si="0"/>
        <v>46873</v>
      </c>
      <c r="V2" s="38">
        <f t="shared" si="0"/>
        <v>46904</v>
      </c>
      <c r="W2" s="38">
        <f t="shared" si="0"/>
        <v>46934</v>
      </c>
      <c r="X2" s="38">
        <f t="shared" si="0"/>
        <v>46965</v>
      </c>
      <c r="Y2" s="38">
        <f t="shared" si="0"/>
        <v>46996</v>
      </c>
      <c r="Z2" s="38">
        <f t="shared" si="0"/>
        <v>47026</v>
      </c>
      <c r="AA2" s="38">
        <f t="shared" si="0"/>
        <v>47057</v>
      </c>
      <c r="AB2" s="38">
        <f t="shared" si="0"/>
        <v>47087</v>
      </c>
      <c r="AC2" s="38">
        <f t="shared" si="0"/>
        <v>47118</v>
      </c>
      <c r="AD2" s="38">
        <f t="shared" si="0"/>
        <v>47149</v>
      </c>
      <c r="AE2" s="38">
        <f t="shared" si="0"/>
        <v>47177</v>
      </c>
      <c r="AF2" s="38">
        <f t="shared" si="0"/>
        <v>47208</v>
      </c>
      <c r="AG2" s="38">
        <f t="shared" si="0"/>
        <v>47238</v>
      </c>
      <c r="AH2" s="38">
        <f t="shared" si="0"/>
        <v>47269</v>
      </c>
      <c r="AI2" s="38">
        <f t="shared" si="0"/>
        <v>47299</v>
      </c>
      <c r="AJ2" s="38">
        <f t="shared" si="0"/>
        <v>47330</v>
      </c>
      <c r="AK2" s="38">
        <f t="shared" si="0"/>
        <v>47361</v>
      </c>
      <c r="AL2" s="38">
        <f t="shared" si="0"/>
        <v>47391</v>
      </c>
      <c r="AM2" s="38">
        <f t="shared" si="0"/>
        <v>47422</v>
      </c>
      <c r="AN2" s="38">
        <f t="shared" si="0"/>
        <v>47452</v>
      </c>
      <c r="AO2" s="38">
        <f t="shared" si="0"/>
        <v>47483</v>
      </c>
      <c r="AP2" s="38">
        <f t="shared" si="0"/>
        <v>47514</v>
      </c>
      <c r="AQ2" s="38">
        <f t="shared" si="0"/>
        <v>47542</v>
      </c>
      <c r="AR2" s="38">
        <f t="shared" si="0"/>
        <v>47573</v>
      </c>
      <c r="AS2" s="38">
        <f t="shared" si="0"/>
        <v>47603</v>
      </c>
      <c r="AT2" s="38">
        <f t="shared" si="0"/>
        <v>47634</v>
      </c>
      <c r="AU2" s="38">
        <f t="shared" si="0"/>
        <v>47664</v>
      </c>
      <c r="AV2" s="38">
        <f t="shared" si="0"/>
        <v>47695</v>
      </c>
      <c r="AW2" s="38">
        <f t="shared" si="0"/>
        <v>47726</v>
      </c>
      <c r="AX2" s="38">
        <f t="shared" si="0"/>
        <v>47756</v>
      </c>
      <c r="AY2" s="38">
        <f t="shared" si="0"/>
        <v>47787</v>
      </c>
      <c r="AZ2" s="38">
        <f t="shared" si="0"/>
        <v>47817</v>
      </c>
      <c r="BA2" s="38">
        <f t="shared" si="0"/>
        <v>47848</v>
      </c>
      <c r="BB2" s="38">
        <f t="shared" si="0"/>
        <v>47879</v>
      </c>
      <c r="BC2" s="38">
        <f t="shared" si="0"/>
        <v>47907</v>
      </c>
      <c r="BD2" s="38">
        <f t="shared" si="0"/>
        <v>47938</v>
      </c>
      <c r="BE2" s="38">
        <f t="shared" si="0"/>
        <v>47968</v>
      </c>
      <c r="BF2" s="38">
        <f t="shared" si="0"/>
        <v>47999</v>
      </c>
      <c r="BG2" s="38">
        <f t="shared" si="0"/>
        <v>48029</v>
      </c>
      <c r="BH2" s="38">
        <f t="shared" si="0"/>
        <v>48060</v>
      </c>
      <c r="BI2" s="38">
        <f t="shared" si="0"/>
        <v>48091</v>
      </c>
      <c r="BJ2" s="38">
        <f t="shared" si="0"/>
        <v>48121</v>
      </c>
      <c r="BK2" s="38">
        <f t="shared" si="0"/>
        <v>48152</v>
      </c>
      <c r="BL2" s="38">
        <f t="shared" si="0"/>
        <v>48182</v>
      </c>
      <c r="BM2" s="38">
        <f t="shared" si="0"/>
        <v>48213</v>
      </c>
      <c r="BN2" s="38">
        <f t="shared" si="0"/>
        <v>48244</v>
      </c>
      <c r="BO2" s="38">
        <f t="shared" si="0"/>
        <v>48273</v>
      </c>
      <c r="BP2" s="38">
        <f t="shared" si="0"/>
        <v>48304</v>
      </c>
      <c r="BQ2" s="38">
        <f t="shared" si="0"/>
        <v>48334</v>
      </c>
      <c r="BR2" s="38">
        <f t="shared" si="0"/>
        <v>48365</v>
      </c>
      <c r="BS2" s="38">
        <f t="shared" ref="BS2:ED2" si="1">EOMONTH(BR2,1)</f>
        <v>48395</v>
      </c>
      <c r="BT2" s="38">
        <f t="shared" si="1"/>
        <v>48426</v>
      </c>
      <c r="BU2" s="38">
        <f t="shared" si="1"/>
        <v>48457</v>
      </c>
      <c r="BV2" s="38">
        <f t="shared" si="1"/>
        <v>48487</v>
      </c>
      <c r="BW2" s="38">
        <f t="shared" si="1"/>
        <v>48518</v>
      </c>
      <c r="BX2" s="38">
        <f t="shared" si="1"/>
        <v>48548</v>
      </c>
      <c r="BY2" s="38">
        <f t="shared" si="1"/>
        <v>48579</v>
      </c>
      <c r="BZ2" s="38">
        <f t="shared" si="1"/>
        <v>48610</v>
      </c>
      <c r="CA2" s="38">
        <f t="shared" si="1"/>
        <v>48638</v>
      </c>
      <c r="CB2" s="38">
        <f t="shared" si="1"/>
        <v>48669</v>
      </c>
      <c r="CC2" s="38">
        <f t="shared" si="1"/>
        <v>48699</v>
      </c>
      <c r="CD2" s="38">
        <f t="shared" si="1"/>
        <v>48730</v>
      </c>
      <c r="CE2" s="38">
        <f t="shared" si="1"/>
        <v>48760</v>
      </c>
      <c r="CF2" s="38">
        <f t="shared" si="1"/>
        <v>48791</v>
      </c>
      <c r="CG2" s="38">
        <f t="shared" si="1"/>
        <v>48822</v>
      </c>
      <c r="CH2" s="38">
        <f t="shared" si="1"/>
        <v>48852</v>
      </c>
      <c r="CI2" s="38">
        <f t="shared" si="1"/>
        <v>48883</v>
      </c>
      <c r="CJ2" s="38">
        <f t="shared" si="1"/>
        <v>48913</v>
      </c>
      <c r="CK2" s="38">
        <f t="shared" si="1"/>
        <v>48944</v>
      </c>
      <c r="CL2" s="38">
        <f t="shared" si="1"/>
        <v>48975</v>
      </c>
      <c r="CM2" s="38">
        <f t="shared" si="1"/>
        <v>49003</v>
      </c>
      <c r="CN2" s="38">
        <f t="shared" si="1"/>
        <v>49034</v>
      </c>
      <c r="CO2" s="38">
        <f t="shared" si="1"/>
        <v>49064</v>
      </c>
      <c r="CP2" s="38">
        <f t="shared" si="1"/>
        <v>49095</v>
      </c>
      <c r="CQ2" s="38">
        <f t="shared" si="1"/>
        <v>49125</v>
      </c>
      <c r="CR2" s="38">
        <f t="shared" si="1"/>
        <v>49156</v>
      </c>
      <c r="CS2" s="38">
        <f t="shared" si="1"/>
        <v>49187</v>
      </c>
      <c r="CT2" s="38">
        <f t="shared" si="1"/>
        <v>49217</v>
      </c>
      <c r="CU2" s="38">
        <f t="shared" si="1"/>
        <v>49248</v>
      </c>
      <c r="CV2" s="38">
        <f t="shared" si="1"/>
        <v>49278</v>
      </c>
      <c r="CW2" s="38">
        <f t="shared" si="1"/>
        <v>49309</v>
      </c>
      <c r="CX2" s="38">
        <f t="shared" si="1"/>
        <v>49340</v>
      </c>
      <c r="CY2" s="38">
        <f t="shared" si="1"/>
        <v>49368</v>
      </c>
      <c r="CZ2" s="38">
        <f t="shared" si="1"/>
        <v>49399</v>
      </c>
      <c r="DA2" s="38">
        <f t="shared" si="1"/>
        <v>49429</v>
      </c>
      <c r="DB2" s="38">
        <f t="shared" si="1"/>
        <v>49460</v>
      </c>
      <c r="DC2" s="38">
        <f t="shared" si="1"/>
        <v>49490</v>
      </c>
      <c r="DD2" s="38">
        <f t="shared" si="1"/>
        <v>49521</v>
      </c>
      <c r="DE2" s="38">
        <f t="shared" si="1"/>
        <v>49552</v>
      </c>
      <c r="DF2" s="38">
        <f t="shared" si="1"/>
        <v>49582</v>
      </c>
      <c r="DG2" s="38">
        <f t="shared" si="1"/>
        <v>49613</v>
      </c>
      <c r="DH2" s="38">
        <f t="shared" si="1"/>
        <v>49643</v>
      </c>
      <c r="DI2" s="38">
        <f t="shared" si="1"/>
        <v>49674</v>
      </c>
      <c r="DJ2" s="38">
        <f t="shared" si="1"/>
        <v>49705</v>
      </c>
      <c r="DK2" s="38">
        <f t="shared" si="1"/>
        <v>49734</v>
      </c>
      <c r="DL2" s="38">
        <f t="shared" si="1"/>
        <v>49765</v>
      </c>
      <c r="DM2" s="38">
        <f t="shared" si="1"/>
        <v>49795</v>
      </c>
      <c r="DN2" s="38">
        <f t="shared" si="1"/>
        <v>49826</v>
      </c>
      <c r="DO2" s="38">
        <f t="shared" si="1"/>
        <v>49856</v>
      </c>
      <c r="DP2" s="38">
        <f t="shared" si="1"/>
        <v>49887</v>
      </c>
      <c r="DQ2" s="38">
        <f t="shared" si="1"/>
        <v>49918</v>
      </c>
      <c r="DR2" s="38">
        <f t="shared" si="1"/>
        <v>49948</v>
      </c>
      <c r="DS2" s="38">
        <f t="shared" si="1"/>
        <v>49979</v>
      </c>
      <c r="DT2" s="38">
        <f t="shared" si="1"/>
        <v>50009</v>
      </c>
      <c r="DU2" s="38">
        <f t="shared" si="1"/>
        <v>50040</v>
      </c>
      <c r="DV2" s="38">
        <f t="shared" si="1"/>
        <v>50071</v>
      </c>
      <c r="DW2" s="38">
        <f t="shared" si="1"/>
        <v>50099</v>
      </c>
      <c r="DX2" s="38">
        <f t="shared" si="1"/>
        <v>50130</v>
      </c>
      <c r="DY2" s="38">
        <f t="shared" si="1"/>
        <v>50160</v>
      </c>
      <c r="DZ2" s="38">
        <f t="shared" si="1"/>
        <v>50191</v>
      </c>
      <c r="EA2" s="38">
        <f t="shared" si="1"/>
        <v>50221</v>
      </c>
      <c r="EB2" s="38">
        <f t="shared" si="1"/>
        <v>50252</v>
      </c>
      <c r="EC2" s="38">
        <f t="shared" si="1"/>
        <v>50283</v>
      </c>
      <c r="ED2" s="38">
        <f t="shared" si="1"/>
        <v>50313</v>
      </c>
      <c r="EE2" s="38">
        <f t="shared" ref="EE2:GP2" si="2">EOMONTH(ED2,1)</f>
        <v>50344</v>
      </c>
      <c r="EF2" s="38">
        <f t="shared" si="2"/>
        <v>50374</v>
      </c>
      <c r="EG2" s="38">
        <f t="shared" si="2"/>
        <v>50405</v>
      </c>
      <c r="EH2" s="38">
        <f t="shared" si="2"/>
        <v>50436</v>
      </c>
      <c r="EI2" s="38">
        <f t="shared" si="2"/>
        <v>50464</v>
      </c>
      <c r="EJ2" s="38">
        <f t="shared" si="2"/>
        <v>50495</v>
      </c>
      <c r="EK2" s="38">
        <f t="shared" si="2"/>
        <v>50525</v>
      </c>
      <c r="EL2" s="38">
        <f t="shared" si="2"/>
        <v>50556</v>
      </c>
      <c r="EM2" s="38">
        <f t="shared" si="2"/>
        <v>50586</v>
      </c>
      <c r="EN2" s="38">
        <f t="shared" si="2"/>
        <v>50617</v>
      </c>
      <c r="EO2" s="38">
        <f t="shared" si="2"/>
        <v>50648</v>
      </c>
      <c r="EP2" s="38">
        <f t="shared" si="2"/>
        <v>50678</v>
      </c>
      <c r="EQ2" s="38">
        <f t="shared" si="2"/>
        <v>50709</v>
      </c>
      <c r="ER2" s="38">
        <f t="shared" si="2"/>
        <v>50739</v>
      </c>
      <c r="ES2" s="38">
        <f t="shared" si="2"/>
        <v>50770</v>
      </c>
      <c r="ET2" s="38">
        <f t="shared" si="2"/>
        <v>50801</v>
      </c>
      <c r="EU2" s="38">
        <f t="shared" si="2"/>
        <v>50829</v>
      </c>
      <c r="EV2" s="38">
        <f t="shared" si="2"/>
        <v>50860</v>
      </c>
      <c r="EW2" s="38">
        <f t="shared" si="2"/>
        <v>50890</v>
      </c>
      <c r="EX2" s="38">
        <f t="shared" si="2"/>
        <v>50921</v>
      </c>
      <c r="EY2" s="38">
        <f t="shared" si="2"/>
        <v>50951</v>
      </c>
      <c r="EZ2" s="38">
        <f t="shared" si="2"/>
        <v>50982</v>
      </c>
      <c r="FA2" s="38">
        <f t="shared" si="2"/>
        <v>51013</v>
      </c>
      <c r="FB2" s="38">
        <f t="shared" si="2"/>
        <v>51043</v>
      </c>
      <c r="FC2" s="38">
        <f t="shared" si="2"/>
        <v>51074</v>
      </c>
      <c r="FD2" s="38">
        <f t="shared" si="2"/>
        <v>51104</v>
      </c>
      <c r="FE2" s="38">
        <f t="shared" si="2"/>
        <v>51135</v>
      </c>
      <c r="FF2" s="38">
        <f t="shared" si="2"/>
        <v>51166</v>
      </c>
      <c r="FG2" s="38">
        <f t="shared" si="2"/>
        <v>51195</v>
      </c>
      <c r="FH2" s="38">
        <f t="shared" si="2"/>
        <v>51226</v>
      </c>
      <c r="FI2" s="38">
        <f t="shared" si="2"/>
        <v>51256</v>
      </c>
      <c r="FJ2" s="38">
        <f t="shared" si="2"/>
        <v>51287</v>
      </c>
      <c r="FK2" s="38">
        <f t="shared" si="2"/>
        <v>51317</v>
      </c>
      <c r="FL2" s="38">
        <f t="shared" si="2"/>
        <v>51348</v>
      </c>
      <c r="FM2" s="38">
        <f t="shared" si="2"/>
        <v>51379</v>
      </c>
      <c r="FN2" s="38">
        <f t="shared" si="2"/>
        <v>51409</v>
      </c>
      <c r="FO2" s="38">
        <f t="shared" si="2"/>
        <v>51440</v>
      </c>
      <c r="FP2" s="38">
        <f t="shared" si="2"/>
        <v>51470</v>
      </c>
      <c r="FQ2" s="38">
        <f t="shared" si="2"/>
        <v>51501</v>
      </c>
      <c r="FR2" s="38">
        <f t="shared" si="2"/>
        <v>51532</v>
      </c>
      <c r="FS2" s="38">
        <f t="shared" si="2"/>
        <v>51560</v>
      </c>
      <c r="FT2" s="38">
        <f t="shared" si="2"/>
        <v>51591</v>
      </c>
      <c r="FU2" s="38">
        <f t="shared" si="2"/>
        <v>51621</v>
      </c>
      <c r="FV2" s="38">
        <f t="shared" si="2"/>
        <v>51652</v>
      </c>
      <c r="FW2" s="38">
        <f t="shared" si="2"/>
        <v>51682</v>
      </c>
      <c r="FX2" s="38">
        <f t="shared" si="2"/>
        <v>51713</v>
      </c>
      <c r="FY2" s="38">
        <f t="shared" si="2"/>
        <v>51744</v>
      </c>
      <c r="FZ2" s="38">
        <f t="shared" si="2"/>
        <v>51774</v>
      </c>
      <c r="GA2" s="38">
        <f t="shared" si="2"/>
        <v>51805</v>
      </c>
      <c r="GB2" s="38">
        <f t="shared" si="2"/>
        <v>51835</v>
      </c>
      <c r="GC2" s="38">
        <f t="shared" si="2"/>
        <v>51866</v>
      </c>
      <c r="GD2" s="38">
        <f t="shared" si="2"/>
        <v>51897</v>
      </c>
      <c r="GE2" s="38">
        <f t="shared" si="2"/>
        <v>51925</v>
      </c>
      <c r="GF2" s="38">
        <f t="shared" si="2"/>
        <v>51956</v>
      </c>
      <c r="GG2" s="38">
        <f t="shared" si="2"/>
        <v>51986</v>
      </c>
      <c r="GH2" s="38">
        <f t="shared" si="2"/>
        <v>52017</v>
      </c>
      <c r="GI2" s="38">
        <f t="shared" si="2"/>
        <v>52047</v>
      </c>
      <c r="GJ2" s="38">
        <f t="shared" si="2"/>
        <v>52078</v>
      </c>
      <c r="GK2" s="38">
        <f t="shared" si="2"/>
        <v>52109</v>
      </c>
      <c r="GL2" s="38">
        <f t="shared" si="2"/>
        <v>52139</v>
      </c>
      <c r="GM2" s="38">
        <f t="shared" si="2"/>
        <v>52170</v>
      </c>
      <c r="GN2" s="38">
        <f t="shared" si="2"/>
        <v>52200</v>
      </c>
      <c r="GO2" s="38">
        <f t="shared" si="2"/>
        <v>52231</v>
      </c>
      <c r="GP2" s="38">
        <f t="shared" si="2"/>
        <v>52262</v>
      </c>
      <c r="GQ2" s="38">
        <f t="shared" ref="GQ2:JB2" si="3">EOMONTH(GP2,1)</f>
        <v>52290</v>
      </c>
      <c r="GR2" s="38">
        <f t="shared" si="3"/>
        <v>52321</v>
      </c>
      <c r="GS2" s="38">
        <f t="shared" si="3"/>
        <v>52351</v>
      </c>
      <c r="GT2" s="38">
        <f t="shared" si="3"/>
        <v>52382</v>
      </c>
      <c r="GU2" s="38">
        <f t="shared" si="3"/>
        <v>52412</v>
      </c>
      <c r="GV2" s="38">
        <f t="shared" si="3"/>
        <v>52443</v>
      </c>
      <c r="GW2" s="38">
        <f t="shared" si="3"/>
        <v>52474</v>
      </c>
      <c r="GX2" s="38">
        <f t="shared" si="3"/>
        <v>52504</v>
      </c>
      <c r="GY2" s="38">
        <f t="shared" si="3"/>
        <v>52535</v>
      </c>
      <c r="GZ2" s="38">
        <f t="shared" si="3"/>
        <v>52565</v>
      </c>
      <c r="HA2" s="38">
        <f t="shared" si="3"/>
        <v>52596</v>
      </c>
      <c r="HB2" s="38">
        <f t="shared" si="3"/>
        <v>52627</v>
      </c>
      <c r="HC2" s="38">
        <f t="shared" si="3"/>
        <v>52656</v>
      </c>
      <c r="HD2" s="38">
        <f t="shared" si="3"/>
        <v>52687</v>
      </c>
      <c r="HE2" s="38">
        <f t="shared" si="3"/>
        <v>52717</v>
      </c>
      <c r="HF2" s="38">
        <f t="shared" si="3"/>
        <v>52748</v>
      </c>
      <c r="HG2" s="38">
        <f t="shared" si="3"/>
        <v>52778</v>
      </c>
      <c r="HH2" s="38">
        <f t="shared" si="3"/>
        <v>52809</v>
      </c>
      <c r="HI2" s="38">
        <f t="shared" si="3"/>
        <v>52840</v>
      </c>
      <c r="HJ2" s="38">
        <f t="shared" si="3"/>
        <v>52870</v>
      </c>
      <c r="HK2" s="38">
        <f t="shared" si="3"/>
        <v>52901</v>
      </c>
      <c r="HL2" s="38">
        <f t="shared" si="3"/>
        <v>52931</v>
      </c>
      <c r="HM2" s="38">
        <f t="shared" si="3"/>
        <v>52962</v>
      </c>
      <c r="HN2" s="38">
        <f t="shared" si="3"/>
        <v>52993</v>
      </c>
      <c r="HO2" s="38">
        <f t="shared" si="3"/>
        <v>53021</v>
      </c>
      <c r="HP2" s="38">
        <f t="shared" si="3"/>
        <v>53052</v>
      </c>
      <c r="HQ2" s="38">
        <f t="shared" si="3"/>
        <v>53082</v>
      </c>
      <c r="HR2" s="38">
        <f t="shared" si="3"/>
        <v>53113</v>
      </c>
      <c r="HS2" s="38">
        <f t="shared" si="3"/>
        <v>53143</v>
      </c>
      <c r="HT2" s="38">
        <f t="shared" si="3"/>
        <v>53174</v>
      </c>
      <c r="HU2" s="38">
        <f t="shared" si="3"/>
        <v>53205</v>
      </c>
      <c r="HV2" s="38">
        <f t="shared" si="3"/>
        <v>53235</v>
      </c>
      <c r="HW2" s="38">
        <f t="shared" si="3"/>
        <v>53266</v>
      </c>
      <c r="HX2" s="38">
        <f t="shared" si="3"/>
        <v>53296</v>
      </c>
      <c r="HY2" s="38">
        <f t="shared" si="3"/>
        <v>53327</v>
      </c>
      <c r="HZ2" s="38">
        <f t="shared" si="3"/>
        <v>53358</v>
      </c>
      <c r="IA2" s="38">
        <f t="shared" si="3"/>
        <v>53386</v>
      </c>
      <c r="IB2" s="38">
        <f t="shared" si="3"/>
        <v>53417</v>
      </c>
      <c r="IC2" s="38">
        <f t="shared" si="3"/>
        <v>53447</v>
      </c>
      <c r="ID2" s="38">
        <f t="shared" si="3"/>
        <v>53478</v>
      </c>
      <c r="IE2" s="38">
        <f t="shared" si="3"/>
        <v>53508</v>
      </c>
      <c r="IF2" s="38">
        <f t="shared" si="3"/>
        <v>53539</v>
      </c>
      <c r="IG2" s="38">
        <f t="shared" si="3"/>
        <v>53570</v>
      </c>
      <c r="IH2" s="38">
        <f t="shared" si="3"/>
        <v>53600</v>
      </c>
      <c r="II2" s="38">
        <f t="shared" si="3"/>
        <v>53631</v>
      </c>
      <c r="IJ2" s="38">
        <f t="shared" si="3"/>
        <v>53661</v>
      </c>
      <c r="IK2" s="38">
        <f t="shared" si="3"/>
        <v>53692</v>
      </c>
      <c r="IL2" s="38">
        <f t="shared" si="3"/>
        <v>53723</v>
      </c>
      <c r="IM2" s="38">
        <f t="shared" si="3"/>
        <v>53751</v>
      </c>
      <c r="IN2" s="38">
        <f t="shared" si="3"/>
        <v>53782</v>
      </c>
      <c r="IO2" s="38">
        <f t="shared" si="3"/>
        <v>53812</v>
      </c>
      <c r="IP2" s="38">
        <f t="shared" si="3"/>
        <v>53843</v>
      </c>
      <c r="IQ2" s="38">
        <f t="shared" si="3"/>
        <v>53873</v>
      </c>
      <c r="IR2" s="38">
        <f t="shared" si="3"/>
        <v>53904</v>
      </c>
      <c r="IS2" s="38">
        <f t="shared" si="3"/>
        <v>53935</v>
      </c>
      <c r="IT2" s="38">
        <f t="shared" si="3"/>
        <v>53965</v>
      </c>
      <c r="IU2" s="38">
        <f t="shared" si="3"/>
        <v>53996</v>
      </c>
      <c r="IV2" s="38">
        <f t="shared" si="3"/>
        <v>54026</v>
      </c>
      <c r="IW2" s="38">
        <f t="shared" si="3"/>
        <v>54057</v>
      </c>
      <c r="IX2" s="38">
        <f t="shared" si="3"/>
        <v>54088</v>
      </c>
      <c r="IY2" s="38">
        <f t="shared" si="3"/>
        <v>54117</v>
      </c>
      <c r="IZ2" s="38">
        <f t="shared" si="3"/>
        <v>54148</v>
      </c>
      <c r="JA2" s="38">
        <f t="shared" si="3"/>
        <v>54178</v>
      </c>
      <c r="JB2" s="38">
        <f t="shared" si="3"/>
        <v>54209</v>
      </c>
      <c r="JC2" s="38">
        <f t="shared" ref="JC2:KS2" si="4">EOMONTH(JB2,1)</f>
        <v>54239</v>
      </c>
      <c r="JD2" s="38">
        <f t="shared" si="4"/>
        <v>54270</v>
      </c>
      <c r="JE2" s="38">
        <f t="shared" si="4"/>
        <v>54301</v>
      </c>
      <c r="JF2" s="38">
        <f t="shared" si="4"/>
        <v>54331</v>
      </c>
      <c r="JG2" s="38">
        <f t="shared" si="4"/>
        <v>54362</v>
      </c>
      <c r="JH2" s="38">
        <f t="shared" si="4"/>
        <v>54392</v>
      </c>
      <c r="JI2" s="38">
        <f t="shared" si="4"/>
        <v>54423</v>
      </c>
      <c r="JJ2" s="38">
        <f t="shared" si="4"/>
        <v>54454</v>
      </c>
      <c r="JK2" s="38">
        <f t="shared" si="4"/>
        <v>54482</v>
      </c>
      <c r="JL2" s="38">
        <f t="shared" si="4"/>
        <v>54513</v>
      </c>
      <c r="JM2" s="38">
        <f t="shared" si="4"/>
        <v>54543</v>
      </c>
      <c r="JN2" s="38">
        <f t="shared" si="4"/>
        <v>54574</v>
      </c>
      <c r="JO2" s="38">
        <f t="shared" si="4"/>
        <v>54604</v>
      </c>
      <c r="JP2" s="38">
        <f t="shared" si="4"/>
        <v>54635</v>
      </c>
      <c r="JQ2" s="38">
        <f t="shared" si="4"/>
        <v>54666</v>
      </c>
      <c r="JR2" s="38">
        <f t="shared" si="4"/>
        <v>54696</v>
      </c>
      <c r="JS2" s="38">
        <f t="shared" si="4"/>
        <v>54727</v>
      </c>
      <c r="JT2" s="38">
        <f t="shared" si="4"/>
        <v>54757</v>
      </c>
      <c r="JU2" s="38">
        <f t="shared" si="4"/>
        <v>54788</v>
      </c>
      <c r="JV2" s="38">
        <f t="shared" si="4"/>
        <v>54819</v>
      </c>
      <c r="JW2" s="38">
        <f t="shared" si="4"/>
        <v>54847</v>
      </c>
      <c r="JX2" s="38">
        <f t="shared" si="4"/>
        <v>54878</v>
      </c>
      <c r="JY2" s="38">
        <f t="shared" si="4"/>
        <v>54908</v>
      </c>
      <c r="JZ2" s="38">
        <f t="shared" si="4"/>
        <v>54939</v>
      </c>
      <c r="KA2" s="38">
        <f t="shared" si="4"/>
        <v>54969</v>
      </c>
      <c r="KB2" s="38">
        <f t="shared" si="4"/>
        <v>55000</v>
      </c>
      <c r="KC2" s="38">
        <f t="shared" si="4"/>
        <v>55031</v>
      </c>
      <c r="KD2" s="38">
        <f t="shared" si="4"/>
        <v>55061</v>
      </c>
      <c r="KE2" s="38">
        <f t="shared" si="4"/>
        <v>55092</v>
      </c>
      <c r="KF2" s="38">
        <f t="shared" si="4"/>
        <v>55122</v>
      </c>
      <c r="KG2" s="38">
        <f t="shared" si="4"/>
        <v>55153</v>
      </c>
      <c r="KH2" s="38">
        <f t="shared" si="4"/>
        <v>55184</v>
      </c>
      <c r="KI2" s="38">
        <f t="shared" si="4"/>
        <v>55212</v>
      </c>
      <c r="KJ2" s="38">
        <f t="shared" si="4"/>
        <v>55243</v>
      </c>
      <c r="KK2" s="38">
        <f t="shared" si="4"/>
        <v>55273</v>
      </c>
      <c r="KL2" s="38">
        <f t="shared" si="4"/>
        <v>55304</v>
      </c>
      <c r="KM2" s="38">
        <f t="shared" si="4"/>
        <v>55334</v>
      </c>
      <c r="KN2" s="38">
        <f t="shared" si="4"/>
        <v>55365</v>
      </c>
      <c r="KO2" s="38">
        <f t="shared" si="4"/>
        <v>55396</v>
      </c>
      <c r="KP2" s="38">
        <f t="shared" si="4"/>
        <v>55426</v>
      </c>
      <c r="KQ2" s="38">
        <f t="shared" si="4"/>
        <v>55457</v>
      </c>
      <c r="KR2" s="38">
        <f t="shared" si="4"/>
        <v>55487</v>
      </c>
      <c r="KS2" s="38">
        <f t="shared" si="4"/>
        <v>55518</v>
      </c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2:16384" ht="8.1" customHeight="1"/>
    <row r="4" spans="2:16384">
      <c r="B4" t="s">
        <v>19</v>
      </c>
      <c r="E4" s="6">
        <v>-204000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  <c r="GY4" s="6">
        <v>0</v>
      </c>
      <c r="GZ4" s="6">
        <v>0</v>
      </c>
      <c r="HA4" s="6">
        <v>0</v>
      </c>
      <c r="HB4" s="6">
        <v>0</v>
      </c>
      <c r="HC4" s="6">
        <v>0</v>
      </c>
      <c r="HD4" s="6">
        <v>0</v>
      </c>
      <c r="HE4" s="6">
        <v>0</v>
      </c>
      <c r="HF4" s="6">
        <v>0</v>
      </c>
      <c r="HG4" s="6">
        <v>0</v>
      </c>
      <c r="HH4" s="6">
        <v>0</v>
      </c>
      <c r="HI4" s="6">
        <v>0</v>
      </c>
      <c r="HJ4" s="6">
        <v>0</v>
      </c>
      <c r="HK4" s="6">
        <v>0</v>
      </c>
      <c r="HL4" s="6">
        <v>0</v>
      </c>
      <c r="HM4" s="6">
        <v>0</v>
      </c>
      <c r="HN4" s="6">
        <v>0</v>
      </c>
      <c r="HO4" s="6">
        <v>0</v>
      </c>
      <c r="HP4" s="6">
        <v>0</v>
      </c>
      <c r="HQ4" s="6">
        <v>0</v>
      </c>
      <c r="HR4" s="6">
        <v>0</v>
      </c>
      <c r="HS4" s="6">
        <v>0</v>
      </c>
      <c r="HT4" s="6">
        <v>0</v>
      </c>
      <c r="HU4" s="6">
        <v>0</v>
      </c>
      <c r="HV4" s="6">
        <v>0</v>
      </c>
      <c r="HW4" s="6">
        <v>0</v>
      </c>
      <c r="HX4" s="6">
        <v>0</v>
      </c>
      <c r="HY4" s="6">
        <v>0</v>
      </c>
      <c r="HZ4" s="6">
        <v>0</v>
      </c>
      <c r="IA4" s="6">
        <v>0</v>
      </c>
      <c r="IB4" s="6">
        <v>0</v>
      </c>
      <c r="IC4" s="6">
        <v>0</v>
      </c>
      <c r="ID4" s="6">
        <v>0</v>
      </c>
      <c r="IE4" s="6">
        <v>0</v>
      </c>
      <c r="IF4" s="6">
        <v>0</v>
      </c>
      <c r="IG4" s="6">
        <v>0</v>
      </c>
      <c r="IH4" s="6">
        <v>0</v>
      </c>
      <c r="II4" s="6">
        <v>0</v>
      </c>
      <c r="IJ4" s="6">
        <v>0</v>
      </c>
      <c r="IK4" s="6">
        <v>0</v>
      </c>
      <c r="IL4" s="6">
        <v>0</v>
      </c>
      <c r="IM4" s="6">
        <v>0</v>
      </c>
      <c r="IN4" s="6">
        <v>0</v>
      </c>
      <c r="IO4" s="6">
        <v>0</v>
      </c>
      <c r="IP4" s="6">
        <v>0</v>
      </c>
      <c r="IQ4" s="6">
        <v>0</v>
      </c>
      <c r="IR4" s="6">
        <v>0</v>
      </c>
      <c r="IS4" s="6">
        <v>0</v>
      </c>
      <c r="IT4" s="6">
        <v>0</v>
      </c>
      <c r="IU4" s="6">
        <v>0</v>
      </c>
      <c r="IV4" s="6">
        <v>0</v>
      </c>
      <c r="IW4" s="6">
        <v>0</v>
      </c>
      <c r="IX4" s="6">
        <v>0</v>
      </c>
      <c r="IY4" s="6">
        <v>0</v>
      </c>
      <c r="IZ4" s="6">
        <v>0</v>
      </c>
      <c r="JA4" s="6">
        <v>0</v>
      </c>
      <c r="JB4" s="6">
        <v>0</v>
      </c>
      <c r="JC4" s="6">
        <v>0</v>
      </c>
      <c r="JD4" s="6">
        <v>0</v>
      </c>
      <c r="JE4" s="6">
        <v>0</v>
      </c>
      <c r="JF4" s="6">
        <v>0</v>
      </c>
      <c r="JG4" s="6">
        <v>0</v>
      </c>
      <c r="JH4" s="6">
        <v>0</v>
      </c>
      <c r="JI4" s="6">
        <v>0</v>
      </c>
      <c r="JJ4" s="6">
        <v>0</v>
      </c>
      <c r="JK4" s="6">
        <v>0</v>
      </c>
      <c r="JL4" s="6">
        <v>0</v>
      </c>
      <c r="JM4" s="6">
        <v>0</v>
      </c>
      <c r="JN4" s="6">
        <v>0</v>
      </c>
      <c r="JO4" s="6">
        <v>0</v>
      </c>
      <c r="JP4" s="6">
        <v>0</v>
      </c>
      <c r="JQ4" s="6">
        <v>0</v>
      </c>
      <c r="JR4" s="6">
        <v>0</v>
      </c>
      <c r="JS4" s="6">
        <v>0</v>
      </c>
      <c r="JT4" s="6">
        <v>0</v>
      </c>
      <c r="JU4" s="6">
        <v>0</v>
      </c>
      <c r="JV4" s="6">
        <v>0</v>
      </c>
      <c r="JW4" s="6">
        <v>0</v>
      </c>
      <c r="JX4" s="6">
        <v>0</v>
      </c>
      <c r="JY4" s="6">
        <v>0</v>
      </c>
      <c r="JZ4" s="6">
        <v>0</v>
      </c>
      <c r="KA4" s="6">
        <v>0</v>
      </c>
      <c r="KB4" s="6">
        <v>0</v>
      </c>
      <c r="KC4" s="6">
        <v>0</v>
      </c>
      <c r="KD4" s="6">
        <v>0</v>
      </c>
      <c r="KE4" s="6">
        <v>0</v>
      </c>
      <c r="KF4" s="6">
        <v>0</v>
      </c>
      <c r="KG4" s="6">
        <v>0</v>
      </c>
      <c r="KH4" s="6">
        <v>0</v>
      </c>
      <c r="KI4" s="6">
        <v>0</v>
      </c>
      <c r="KJ4" s="6">
        <v>0</v>
      </c>
      <c r="KK4" s="6">
        <v>0</v>
      </c>
      <c r="KL4" s="6">
        <v>0</v>
      </c>
      <c r="KM4" s="6">
        <v>0</v>
      </c>
      <c r="KN4" s="6">
        <v>0</v>
      </c>
      <c r="KO4" s="6">
        <v>0</v>
      </c>
      <c r="KP4" s="6">
        <v>0</v>
      </c>
      <c r="KQ4" s="6">
        <v>0</v>
      </c>
      <c r="KR4" s="6">
        <v>0</v>
      </c>
      <c r="KS4" s="6"/>
    </row>
    <row r="5" spans="2:16384">
      <c r="B5" t="s">
        <v>20</v>
      </c>
      <c r="E5" s="6">
        <v>0</v>
      </c>
      <c r="F5" s="6">
        <v>1650</v>
      </c>
      <c r="G5" s="6">
        <v>1650</v>
      </c>
      <c r="H5" s="6">
        <v>1650</v>
      </c>
      <c r="I5" s="6">
        <v>1650</v>
      </c>
      <c r="J5" s="6">
        <v>1650</v>
      </c>
      <c r="K5" s="6">
        <v>1650</v>
      </c>
      <c r="L5" s="6">
        <v>1650</v>
      </c>
      <c r="M5" s="6">
        <v>1650</v>
      </c>
      <c r="N5" s="6">
        <v>1650</v>
      </c>
      <c r="O5" s="6">
        <v>1650</v>
      </c>
      <c r="P5" s="6">
        <v>2165</v>
      </c>
      <c r="Q5" s="6">
        <v>2321</v>
      </c>
      <c r="R5" s="6">
        <v>2321</v>
      </c>
      <c r="S5" s="6">
        <v>2321</v>
      </c>
      <c r="T5" s="6">
        <v>2321</v>
      </c>
      <c r="U5" s="6">
        <v>2321</v>
      </c>
      <c r="V5" s="6">
        <v>2321</v>
      </c>
      <c r="W5" s="6">
        <v>2321</v>
      </c>
      <c r="X5" s="6">
        <v>2321</v>
      </c>
      <c r="Y5" s="6">
        <v>2321</v>
      </c>
      <c r="Z5" s="6">
        <v>2321</v>
      </c>
      <c r="AA5" s="6">
        <v>2321</v>
      </c>
      <c r="AB5" s="6">
        <v>2321</v>
      </c>
      <c r="AC5" s="6">
        <v>2480.12</v>
      </c>
      <c r="AD5" s="6">
        <v>2480.12</v>
      </c>
      <c r="AE5" s="6">
        <v>2480.12</v>
      </c>
      <c r="AF5" s="6">
        <v>2480.12</v>
      </c>
      <c r="AG5" s="6">
        <v>2480.12</v>
      </c>
      <c r="AH5" s="6">
        <v>2480.12</v>
      </c>
      <c r="AI5" s="6">
        <v>2480.12</v>
      </c>
      <c r="AJ5" s="6">
        <v>2480.12</v>
      </c>
      <c r="AK5" s="6">
        <v>2480.12</v>
      </c>
      <c r="AL5" s="6">
        <v>2480.12</v>
      </c>
      <c r="AM5" s="6">
        <v>2480.12</v>
      </c>
      <c r="AN5" s="6">
        <v>2480.12</v>
      </c>
      <c r="AO5" s="6">
        <v>258.68779999999998</v>
      </c>
      <c r="AP5" s="6">
        <v>1308.6227899999999</v>
      </c>
      <c r="AQ5" s="6">
        <v>861.13809000000003</v>
      </c>
      <c r="AR5" s="6">
        <v>494.80500999999998</v>
      </c>
      <c r="AS5" s="6">
        <v>1472.1238000000001</v>
      </c>
      <c r="AT5" s="6">
        <v>147.37223</v>
      </c>
      <c r="AU5" s="6">
        <v>1275.2013400000001</v>
      </c>
      <c r="AV5" s="6">
        <v>1024.56223</v>
      </c>
      <c r="AW5" s="6">
        <v>1488.32266</v>
      </c>
      <c r="AX5" s="6">
        <v>1699.7643399999999</v>
      </c>
      <c r="AY5" s="6">
        <v>2642.3755999999998</v>
      </c>
      <c r="AZ5" s="6">
        <v>2642.3755999999998</v>
      </c>
      <c r="BA5" s="6">
        <v>2807.7789699999998</v>
      </c>
      <c r="BB5" s="6">
        <v>2807.7789699999998</v>
      </c>
      <c r="BC5" s="6">
        <v>2807.7789699999998</v>
      </c>
      <c r="BD5" s="6">
        <v>2807.7789699999998</v>
      </c>
      <c r="BE5" s="6">
        <v>2807.7789699999998</v>
      </c>
      <c r="BF5" s="6">
        <v>2807.7789699999998</v>
      </c>
      <c r="BG5" s="6">
        <v>2807.7789699999998</v>
      </c>
      <c r="BH5" s="6">
        <v>2807.7789699999998</v>
      </c>
      <c r="BI5" s="6">
        <v>2807.7789699999998</v>
      </c>
      <c r="BJ5" s="6">
        <v>2807.7789699999998</v>
      </c>
      <c r="BK5" s="6">
        <v>2807.7789699999998</v>
      </c>
      <c r="BL5" s="6">
        <v>2807.7789699999998</v>
      </c>
      <c r="BM5" s="6">
        <v>2976.3385400000002</v>
      </c>
      <c r="BN5" s="6">
        <v>2976.3385400000002</v>
      </c>
      <c r="BO5" s="6">
        <v>2976.3385400000002</v>
      </c>
      <c r="BP5" s="6">
        <v>2976.3385400000002</v>
      </c>
      <c r="BQ5" s="6">
        <v>2976.3385400000002</v>
      </c>
      <c r="BR5" s="6">
        <v>2976.3385400000002</v>
      </c>
      <c r="BS5" s="6">
        <v>2976.3385400000002</v>
      </c>
      <c r="BT5" s="6">
        <v>2976.3385400000002</v>
      </c>
      <c r="BU5" s="6">
        <v>2976.3385400000002</v>
      </c>
      <c r="BV5" s="6">
        <v>2976.3385400000002</v>
      </c>
      <c r="BW5" s="6">
        <v>2976.3385400000002</v>
      </c>
      <c r="BX5" s="6">
        <v>2976.3385400000002</v>
      </c>
      <c r="BY5" s="6">
        <v>3148.0587099999998</v>
      </c>
      <c r="BZ5" s="6">
        <v>3148.0587099999998</v>
      </c>
      <c r="CA5" s="6">
        <v>3148.0587099999998</v>
      </c>
      <c r="CB5" s="6">
        <v>3148.0587099999998</v>
      </c>
      <c r="CC5" s="6">
        <v>3148.0587099999998</v>
      </c>
      <c r="CD5" s="6">
        <v>3148.0587099999998</v>
      </c>
      <c r="CE5" s="6">
        <v>3148.0587099999998</v>
      </c>
      <c r="CF5" s="6">
        <v>3148.0587099999998</v>
      </c>
      <c r="CG5" s="6">
        <v>3148.0587099999998</v>
      </c>
      <c r="CH5" s="6">
        <v>3148.0587099999998</v>
      </c>
      <c r="CI5" s="6">
        <v>3148.0587099999998</v>
      </c>
      <c r="CJ5" s="6">
        <v>3148.0587099999998</v>
      </c>
      <c r="CK5" s="6">
        <v>3322.9394900000002</v>
      </c>
      <c r="CL5" s="6">
        <v>3322.9394900000002</v>
      </c>
      <c r="CM5" s="6">
        <v>3322.9394900000002</v>
      </c>
      <c r="CN5" s="6">
        <v>3322.9394900000002</v>
      </c>
      <c r="CO5" s="6">
        <v>3322.9394900000002</v>
      </c>
      <c r="CP5" s="6">
        <v>3322.9394900000002</v>
      </c>
      <c r="CQ5" s="6">
        <v>3322.9394900000002</v>
      </c>
      <c r="CR5" s="6">
        <v>3322.9394900000002</v>
      </c>
      <c r="CS5" s="6">
        <v>3322.9394900000002</v>
      </c>
      <c r="CT5" s="6">
        <v>3322.9394900000002</v>
      </c>
      <c r="CU5" s="6">
        <v>3322.9394900000002</v>
      </c>
      <c r="CV5" s="6">
        <v>3322.9394900000002</v>
      </c>
      <c r="CW5" s="6">
        <v>687.98806999999999</v>
      </c>
      <c r="CX5" s="6">
        <v>237.94278</v>
      </c>
      <c r="CY5" s="6">
        <v>797.55876999999998</v>
      </c>
      <c r="CZ5" s="6">
        <v>558.29470000000003</v>
      </c>
      <c r="DA5" s="6">
        <v>698.75495999999998</v>
      </c>
      <c r="DB5" s="6">
        <v>639.42412999999999</v>
      </c>
      <c r="DC5" s="6">
        <v>645.12025000000006</v>
      </c>
      <c r="DD5" s="6">
        <v>126.94459999999999</v>
      </c>
      <c r="DE5" s="6">
        <v>3500.9761400000002</v>
      </c>
      <c r="DF5" s="6">
        <v>3500.9761400000002</v>
      </c>
      <c r="DG5" s="6">
        <v>3500.9761400000002</v>
      </c>
      <c r="DH5" s="6">
        <v>3500.9761400000002</v>
      </c>
      <c r="DI5" s="6">
        <v>3682.1588200000001</v>
      </c>
      <c r="DJ5" s="6">
        <v>3682.1588200000001</v>
      </c>
      <c r="DK5" s="6">
        <v>3682.1588200000001</v>
      </c>
      <c r="DL5" s="6">
        <v>3682.1588200000001</v>
      </c>
      <c r="DM5" s="6">
        <v>3682.1588200000001</v>
      </c>
      <c r="DN5" s="6">
        <v>3682.1588200000001</v>
      </c>
      <c r="DO5" s="6">
        <v>3682.1588200000001</v>
      </c>
      <c r="DP5" s="6">
        <v>3682.1588200000001</v>
      </c>
      <c r="DQ5" s="6">
        <v>3682.1588200000001</v>
      </c>
      <c r="DR5" s="6">
        <v>3682.1588200000001</v>
      </c>
      <c r="DS5" s="6">
        <v>3682.1588200000001</v>
      </c>
      <c r="DT5" s="6">
        <v>3682.1588200000001</v>
      </c>
      <c r="DU5" s="6">
        <v>3866.4721399999999</v>
      </c>
      <c r="DV5" s="6">
        <v>3866.4721399999999</v>
      </c>
      <c r="DW5" s="6">
        <v>3866.4721399999999</v>
      </c>
      <c r="DX5" s="6">
        <v>3866.4721399999999</v>
      </c>
      <c r="DY5" s="6">
        <v>3866.4721399999999</v>
      </c>
      <c r="DZ5" s="6">
        <v>3866.4721399999999</v>
      </c>
      <c r="EA5" s="6">
        <v>3866.4721399999999</v>
      </c>
      <c r="EB5" s="6">
        <v>3866.4721399999999</v>
      </c>
      <c r="EC5" s="6">
        <v>3866.4721399999999</v>
      </c>
      <c r="ED5" s="6">
        <v>3866.4721399999999</v>
      </c>
      <c r="EE5" s="6">
        <v>3866.4721399999999</v>
      </c>
      <c r="EF5" s="6">
        <v>3866.4721399999999</v>
      </c>
      <c r="EG5" s="6">
        <v>4053.8947899999998</v>
      </c>
      <c r="EH5" s="6">
        <v>4053.8947899999998</v>
      </c>
      <c r="EI5" s="6">
        <v>4053.8947899999998</v>
      </c>
      <c r="EJ5" s="6">
        <v>4053.8947899999998</v>
      </c>
      <c r="EK5" s="6">
        <v>4053.8947899999998</v>
      </c>
      <c r="EL5" s="6">
        <v>4053.8947899999998</v>
      </c>
      <c r="EM5" s="6">
        <v>4053.8947899999998</v>
      </c>
      <c r="EN5" s="6">
        <v>4053.8947899999998</v>
      </c>
      <c r="EO5" s="6">
        <v>4053.8947899999998</v>
      </c>
      <c r="EP5" s="6">
        <v>4053.8947899999998</v>
      </c>
      <c r="EQ5" s="6">
        <v>4053.8947899999998</v>
      </c>
      <c r="ER5" s="6">
        <v>4053.8947899999998</v>
      </c>
      <c r="ES5" s="6">
        <v>4244.39905</v>
      </c>
      <c r="ET5" s="6">
        <v>4244.39905</v>
      </c>
      <c r="EU5" s="6">
        <v>4244.39905</v>
      </c>
      <c r="EV5" s="6">
        <v>4244.39905</v>
      </c>
      <c r="EW5" s="6">
        <v>4244.39905</v>
      </c>
      <c r="EX5" s="6">
        <v>4244.39905</v>
      </c>
      <c r="EY5" s="6">
        <v>4244.39905</v>
      </c>
      <c r="EZ5" s="6">
        <v>4244.39905</v>
      </c>
      <c r="FA5" s="6">
        <v>4244.39905</v>
      </c>
      <c r="FB5" s="6">
        <v>4244.39905</v>
      </c>
      <c r="FC5" s="6">
        <v>4244.39905</v>
      </c>
      <c r="FD5" s="6">
        <v>4244.39905</v>
      </c>
      <c r="FE5" s="6">
        <v>1156.47515</v>
      </c>
      <c r="FF5" s="6">
        <v>4238.2326700000003</v>
      </c>
      <c r="FG5" s="6">
        <v>2315.6902599999999</v>
      </c>
      <c r="FH5" s="6">
        <v>2897.74577</v>
      </c>
      <c r="FI5" s="6">
        <v>4485.1621800000003</v>
      </c>
      <c r="FJ5" s="6">
        <v>988.78967999999998</v>
      </c>
      <c r="FK5" s="6">
        <v>1625.7973500000001</v>
      </c>
      <c r="FL5" s="6">
        <v>4148.2853500000001</v>
      </c>
      <c r="FM5" s="6">
        <v>4437.9503000000004</v>
      </c>
      <c r="FN5" s="6">
        <v>4437.9503000000004</v>
      </c>
      <c r="FO5" s="6">
        <v>4437.9503000000004</v>
      </c>
      <c r="FP5" s="6">
        <v>4437.9503000000004</v>
      </c>
      <c r="FQ5" s="6">
        <v>4634.5065599999998</v>
      </c>
      <c r="FR5" s="6">
        <v>4634.5065599999998</v>
      </c>
      <c r="FS5" s="6">
        <v>4634.5065599999998</v>
      </c>
      <c r="FT5" s="6">
        <v>4634.5065599999998</v>
      </c>
      <c r="FU5" s="6">
        <v>4634.5065599999998</v>
      </c>
      <c r="FV5" s="6">
        <v>4634.5065599999998</v>
      </c>
      <c r="FW5" s="6">
        <v>4634.5065599999998</v>
      </c>
      <c r="FX5" s="6">
        <v>4634.5065599999998</v>
      </c>
      <c r="FY5" s="6">
        <v>4634.5065599999998</v>
      </c>
      <c r="FZ5" s="6">
        <v>4634.5065599999998</v>
      </c>
      <c r="GA5" s="6">
        <v>4634.5065599999998</v>
      </c>
      <c r="GB5" s="6">
        <v>4634.5065599999998</v>
      </c>
      <c r="GC5" s="6">
        <v>4834.0178900000001</v>
      </c>
      <c r="GD5" s="6">
        <v>4834.0178900000001</v>
      </c>
      <c r="GE5" s="6">
        <v>4834.0178900000001</v>
      </c>
      <c r="GF5" s="6">
        <v>4834.0178900000001</v>
      </c>
      <c r="GG5" s="6">
        <v>4834.0178900000001</v>
      </c>
      <c r="GH5" s="6">
        <v>4834.0178900000001</v>
      </c>
      <c r="GI5" s="6">
        <v>4834.0178900000001</v>
      </c>
      <c r="GJ5" s="6">
        <v>4834.0178900000001</v>
      </c>
      <c r="GK5" s="6">
        <v>4834.0178900000001</v>
      </c>
      <c r="GL5" s="6">
        <v>4834.0178900000001</v>
      </c>
      <c r="GM5" s="6">
        <v>4834.0178900000001</v>
      </c>
      <c r="GN5" s="6">
        <v>4834.0178900000001</v>
      </c>
      <c r="GO5" s="6">
        <v>5036.42587</v>
      </c>
      <c r="GP5" s="6">
        <v>5036.42587</v>
      </c>
      <c r="GQ5" s="6">
        <v>5036.42587</v>
      </c>
      <c r="GR5" s="6">
        <v>5036.42587</v>
      </c>
      <c r="GS5" s="6">
        <v>5036.42587</v>
      </c>
      <c r="GT5" s="6">
        <v>5036.42587</v>
      </c>
      <c r="GU5" s="6">
        <v>5036.42587</v>
      </c>
      <c r="GV5" s="6">
        <v>5036.42587</v>
      </c>
      <c r="GW5" s="6">
        <v>5036.42587</v>
      </c>
      <c r="GX5" s="6">
        <v>5036.42587</v>
      </c>
      <c r="GY5" s="6">
        <v>5036.42587</v>
      </c>
      <c r="GZ5" s="6">
        <v>5036.42587</v>
      </c>
      <c r="HA5" s="6">
        <v>5241.6629599999997</v>
      </c>
      <c r="HB5" s="6">
        <v>5241.6629599999997</v>
      </c>
      <c r="HC5" s="6">
        <v>5241.6629599999997</v>
      </c>
      <c r="HD5" s="6">
        <v>5241.6629599999997</v>
      </c>
      <c r="HE5" s="6">
        <v>5241.6629599999997</v>
      </c>
      <c r="HF5" s="6">
        <v>5241.6629599999997</v>
      </c>
      <c r="HG5" s="6">
        <v>5241.6629599999997</v>
      </c>
      <c r="HH5" s="6">
        <v>5241.6629599999997</v>
      </c>
      <c r="HI5" s="6">
        <v>5241.6629599999997</v>
      </c>
      <c r="HJ5" s="6">
        <v>5241.6629599999997</v>
      </c>
      <c r="HK5" s="6">
        <v>5241.6629599999997</v>
      </c>
      <c r="HL5" s="6">
        <v>5241.6629599999997</v>
      </c>
      <c r="HM5" s="6">
        <v>1662.3259399999999</v>
      </c>
      <c r="HN5" s="6">
        <v>1626.0965900000001</v>
      </c>
      <c r="HO5" s="6">
        <v>2239.80332</v>
      </c>
      <c r="HP5" s="6">
        <v>1959.1741300000001</v>
      </c>
      <c r="HQ5" s="6">
        <v>1812.3501799999999</v>
      </c>
      <c r="HR5" s="6">
        <v>1442.26829</v>
      </c>
      <c r="HS5" s="6">
        <v>2978.9633199999998</v>
      </c>
      <c r="HT5" s="6">
        <v>5449.6518699999997</v>
      </c>
      <c r="HU5" s="6">
        <v>5449.6518699999997</v>
      </c>
      <c r="HV5" s="6">
        <v>5449.6518699999997</v>
      </c>
      <c r="HW5" s="6">
        <v>5449.6518699999997</v>
      </c>
      <c r="HX5" s="6">
        <v>5449.6518699999997</v>
      </c>
      <c r="HY5" s="6">
        <v>5660.3049099999998</v>
      </c>
      <c r="HZ5" s="6">
        <v>5660.3049099999998</v>
      </c>
      <c r="IA5" s="6">
        <v>5660.3049099999998</v>
      </c>
      <c r="IB5" s="6">
        <v>5660.3049099999998</v>
      </c>
      <c r="IC5" s="6">
        <v>5660.3049099999998</v>
      </c>
      <c r="ID5" s="6">
        <v>5660.3049099999998</v>
      </c>
      <c r="IE5" s="6">
        <v>5660.3049099999998</v>
      </c>
      <c r="IF5" s="6">
        <v>5660.3049099999998</v>
      </c>
      <c r="IG5" s="6">
        <v>5660.3049099999998</v>
      </c>
      <c r="IH5" s="6">
        <v>5660.3049099999998</v>
      </c>
      <c r="II5" s="6">
        <v>5660.3049099999998</v>
      </c>
      <c r="IJ5" s="6">
        <v>5660.3049099999998</v>
      </c>
      <c r="IK5" s="6">
        <v>5873.5232100000003</v>
      </c>
      <c r="IL5" s="6">
        <v>5873.5232100000003</v>
      </c>
      <c r="IM5" s="6">
        <v>5873.5232100000003</v>
      </c>
      <c r="IN5" s="6">
        <v>5873.5232100000003</v>
      </c>
      <c r="IO5" s="6">
        <v>5873.5232100000003</v>
      </c>
      <c r="IP5" s="6">
        <v>5873.5232100000003</v>
      </c>
      <c r="IQ5" s="6">
        <v>5873.5232100000003</v>
      </c>
      <c r="IR5" s="6">
        <v>5873.5232100000003</v>
      </c>
      <c r="IS5" s="6">
        <v>5873.5232100000003</v>
      </c>
      <c r="IT5" s="6">
        <v>5873.5232100000003</v>
      </c>
      <c r="IU5" s="6">
        <v>5873.5232100000003</v>
      </c>
      <c r="IV5" s="6">
        <v>5873.5232100000003</v>
      </c>
      <c r="IW5" s="6">
        <v>6089.1960200000003</v>
      </c>
      <c r="IX5" s="6">
        <v>6089.1960200000003</v>
      </c>
      <c r="IY5" s="6">
        <v>6089.1960200000003</v>
      </c>
      <c r="IZ5" s="6">
        <v>6089.1960200000003</v>
      </c>
      <c r="JA5" s="6">
        <v>6089.1960200000003</v>
      </c>
      <c r="JB5" s="6">
        <v>6089.1960200000003</v>
      </c>
      <c r="JC5" s="6">
        <v>6089.1960200000003</v>
      </c>
      <c r="JD5" s="6">
        <v>6089.1960200000003</v>
      </c>
      <c r="JE5" s="6">
        <v>6089.1960200000003</v>
      </c>
      <c r="JF5" s="6">
        <v>6089.1960200000003</v>
      </c>
      <c r="JG5" s="6">
        <v>6089.1960200000003</v>
      </c>
      <c r="JH5" s="6">
        <v>6089.1960200000003</v>
      </c>
      <c r="JI5" s="6">
        <v>6307.1998700000004</v>
      </c>
      <c r="JJ5" s="6">
        <v>6307.1998700000004</v>
      </c>
      <c r="JK5" s="6">
        <v>6307.1998700000004</v>
      </c>
      <c r="JL5" s="6">
        <v>6307.1998700000004</v>
      </c>
      <c r="JM5" s="6">
        <v>6307.1998700000004</v>
      </c>
      <c r="JN5" s="6">
        <v>6307.1998700000004</v>
      </c>
      <c r="JO5" s="6">
        <v>6307.1998700000004</v>
      </c>
      <c r="JP5" s="6">
        <v>6307.1998700000004</v>
      </c>
      <c r="JQ5" s="6">
        <v>6307.1998700000004</v>
      </c>
      <c r="JR5" s="6">
        <v>6307.1998700000004</v>
      </c>
      <c r="JS5" s="6">
        <v>6307.1998700000004</v>
      </c>
      <c r="JT5" s="6">
        <v>6307.1998700000004</v>
      </c>
      <c r="JU5" s="6">
        <v>2201.19886</v>
      </c>
      <c r="JV5" s="6">
        <v>6527.3977299999997</v>
      </c>
      <c r="JW5" s="6">
        <v>6527.3977299999997</v>
      </c>
      <c r="JX5" s="6">
        <v>6527.3977299999997</v>
      </c>
      <c r="JY5" s="6">
        <v>6527.3977299999997</v>
      </c>
      <c r="JZ5" s="6">
        <v>6527.3977299999997</v>
      </c>
      <c r="KA5" s="6">
        <v>6527.3977299999997</v>
      </c>
      <c r="KB5" s="6">
        <v>6527.3977299999997</v>
      </c>
      <c r="KC5" s="6">
        <v>6527.3977299999997</v>
      </c>
      <c r="KD5" s="6">
        <v>6527.3977299999997</v>
      </c>
      <c r="KE5" s="6">
        <v>6527.3977299999997</v>
      </c>
      <c r="KF5" s="6">
        <v>6527.3977299999997</v>
      </c>
      <c r="KG5" s="6">
        <v>6749.6381199999996</v>
      </c>
      <c r="KH5" s="6">
        <v>6749.6381199999996</v>
      </c>
      <c r="KI5" s="6">
        <v>6749.6381199999996</v>
      </c>
      <c r="KJ5" s="6">
        <v>6749.6381199999996</v>
      </c>
      <c r="KK5" s="6">
        <v>6749.6381199999996</v>
      </c>
      <c r="KL5" s="6">
        <v>6749.6381199999996</v>
      </c>
      <c r="KM5" s="6">
        <v>6749.6381199999996</v>
      </c>
      <c r="KN5" s="6">
        <v>6749.6381199999996</v>
      </c>
      <c r="KO5" s="6">
        <v>6749.6381199999996</v>
      </c>
      <c r="KP5" s="6">
        <v>6749.6381199999996</v>
      </c>
      <c r="KQ5" s="6">
        <v>6749.6381199999996</v>
      </c>
      <c r="KR5" s="6">
        <v>6749.6381199999996</v>
      </c>
      <c r="KS5" s="6">
        <v>6973.75414</v>
      </c>
    </row>
    <row r="9" spans="2:16384">
      <c r="B9" s="11" t="s">
        <v>23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</row>
    <row r="10" spans="2:16384" s="24" customFormat="1">
      <c r="B10" s="24" t="str">
        <f>Inputs!B11</f>
        <v>1. IRR Waterfall</v>
      </c>
    </row>
    <row r="12" spans="2:16384">
      <c r="B12" s="20" t="s">
        <v>24</v>
      </c>
    </row>
    <row r="13" spans="2:16384">
      <c r="B13" s="21" t="s">
        <v>25</v>
      </c>
      <c r="C13" s="6"/>
      <c r="E13" s="6">
        <f>D17</f>
        <v>0</v>
      </c>
      <c r="F13" s="6">
        <f t="shared" ref="F13:BQ13" si="5">E17</f>
        <v>163200</v>
      </c>
      <c r="G13" s="6">
        <f t="shared" si="5"/>
        <v>162230</v>
      </c>
      <c r="H13" s="6">
        <f t="shared" si="5"/>
        <v>161255.95832999999</v>
      </c>
      <c r="I13" s="6">
        <f t="shared" si="5"/>
        <v>160277.85816</v>
      </c>
      <c r="J13" s="6">
        <f t="shared" si="5"/>
        <v>159295.68257</v>
      </c>
      <c r="K13" s="6">
        <f t="shared" si="5"/>
        <v>158309.41458000001</v>
      </c>
      <c r="L13" s="6">
        <f t="shared" si="5"/>
        <v>157319.03714</v>
      </c>
      <c r="M13" s="6">
        <f t="shared" si="5"/>
        <v>156324.53313</v>
      </c>
      <c r="N13" s="6">
        <f t="shared" si="5"/>
        <v>155325.88535</v>
      </c>
      <c r="O13" s="6">
        <f t="shared" si="5"/>
        <v>154323.07654000001</v>
      </c>
      <c r="P13" s="6">
        <f t="shared" si="5"/>
        <v>153316.08936000001</v>
      </c>
      <c r="Q13" s="6">
        <f t="shared" si="5"/>
        <v>151789.90640000001</v>
      </c>
      <c r="R13" s="6">
        <f t="shared" si="5"/>
        <v>150101.36434</v>
      </c>
      <c r="S13" s="6">
        <f t="shared" si="5"/>
        <v>148405.78669000001</v>
      </c>
      <c r="T13" s="6">
        <f t="shared" si="5"/>
        <v>146703.14413</v>
      </c>
      <c r="U13" s="6">
        <f t="shared" si="5"/>
        <v>144993.40723000001</v>
      </c>
      <c r="V13" s="6">
        <f t="shared" si="5"/>
        <v>143276.54643000002</v>
      </c>
      <c r="W13" s="6">
        <f t="shared" si="5"/>
        <v>141552.53204000002</v>
      </c>
      <c r="X13" s="6">
        <f t="shared" si="5"/>
        <v>139821.33426000003</v>
      </c>
      <c r="Y13" s="6">
        <f t="shared" si="5"/>
        <v>138082.92315000005</v>
      </c>
      <c r="Z13" s="6">
        <f t="shared" si="5"/>
        <v>136337.26866000006</v>
      </c>
      <c r="AA13" s="6">
        <f t="shared" si="5"/>
        <v>134584.34061000007</v>
      </c>
      <c r="AB13" s="6">
        <f t="shared" si="5"/>
        <v>132824.10870000007</v>
      </c>
      <c r="AC13" s="6">
        <f t="shared" si="5"/>
        <v>131056.54249000008</v>
      </c>
      <c r="AD13" s="6">
        <f t="shared" si="5"/>
        <v>129122.49142000009</v>
      </c>
      <c r="AE13" s="6">
        <f t="shared" si="5"/>
        <v>127180.3818000001</v>
      </c>
      <c r="AF13" s="6">
        <f t="shared" si="5"/>
        <v>125230.18006000012</v>
      </c>
      <c r="AG13" s="6">
        <f t="shared" si="5"/>
        <v>123271.85248000012</v>
      </c>
      <c r="AH13" s="6">
        <f t="shared" si="5"/>
        <v>121305.36520000012</v>
      </c>
      <c r="AI13" s="6">
        <f t="shared" si="5"/>
        <v>119330.68422000013</v>
      </c>
      <c r="AJ13" s="6">
        <f t="shared" si="5"/>
        <v>117347.77540000013</v>
      </c>
      <c r="AK13" s="6">
        <f t="shared" si="5"/>
        <v>115356.60446000013</v>
      </c>
      <c r="AL13" s="6">
        <f t="shared" si="5"/>
        <v>113357.13698000014</v>
      </c>
      <c r="AM13" s="6">
        <f t="shared" si="5"/>
        <v>111349.33838000015</v>
      </c>
      <c r="AN13" s="6">
        <f t="shared" si="5"/>
        <v>109333.17396000015</v>
      </c>
      <c r="AO13" s="6">
        <f t="shared" si="5"/>
        <v>107308.60885000015</v>
      </c>
      <c r="AP13" s="6">
        <f t="shared" si="5"/>
        <v>107497.04025000015</v>
      </c>
      <c r="AQ13" s="6">
        <f t="shared" si="5"/>
        <v>106636.32179000016</v>
      </c>
      <c r="AR13" s="6">
        <f t="shared" si="5"/>
        <v>106219.50171000017</v>
      </c>
      <c r="AS13" s="6">
        <f t="shared" si="5"/>
        <v>106167.27796000018</v>
      </c>
      <c r="AT13" s="6">
        <f t="shared" si="5"/>
        <v>105137.51782000018</v>
      </c>
      <c r="AU13" s="6">
        <f t="shared" si="5"/>
        <v>105428.21858000019</v>
      </c>
      <c r="AV13" s="6">
        <f t="shared" si="5"/>
        <v>104592.30148000018</v>
      </c>
      <c r="AW13" s="6">
        <f t="shared" si="5"/>
        <v>104003.54051000018</v>
      </c>
      <c r="AX13" s="6">
        <f t="shared" si="5"/>
        <v>102948.56594000018</v>
      </c>
      <c r="AY13" s="6">
        <f t="shared" si="5"/>
        <v>101677.75396000018</v>
      </c>
      <c r="AZ13" s="6">
        <f t="shared" si="5"/>
        <v>99459.035670000172</v>
      </c>
      <c r="BA13" s="6">
        <f t="shared" si="5"/>
        <v>97231.072720000171</v>
      </c>
      <c r="BB13" s="6">
        <f t="shared" si="5"/>
        <v>94828.423220000172</v>
      </c>
      <c r="BC13" s="6">
        <f t="shared" si="5"/>
        <v>92415.762680000174</v>
      </c>
      <c r="BD13" s="6">
        <f t="shared" si="5"/>
        <v>89993.049390000175</v>
      </c>
      <c r="BE13" s="6">
        <f t="shared" si="5"/>
        <v>87560.241460000179</v>
      </c>
      <c r="BF13" s="6">
        <f t="shared" si="5"/>
        <v>85117.296830000181</v>
      </c>
      <c r="BG13" s="6">
        <f t="shared" si="5"/>
        <v>82664.173260000185</v>
      </c>
      <c r="BH13" s="6">
        <f t="shared" si="5"/>
        <v>80200.828350000185</v>
      </c>
      <c r="BI13" s="6">
        <f t="shared" si="5"/>
        <v>77727.219500000181</v>
      </c>
      <c r="BJ13" s="6">
        <f t="shared" si="5"/>
        <v>75243.303940000187</v>
      </c>
      <c r="BK13" s="6">
        <f t="shared" si="5"/>
        <v>72749.038740000193</v>
      </c>
      <c r="BL13" s="6">
        <f t="shared" si="5"/>
        <v>70244.380760000189</v>
      </c>
      <c r="BM13" s="6">
        <f t="shared" si="5"/>
        <v>67729.286710000189</v>
      </c>
      <c r="BN13" s="6">
        <f t="shared" si="5"/>
        <v>65035.1535300002</v>
      </c>
      <c r="BO13" s="6">
        <f t="shared" si="5"/>
        <v>62329.7948000002</v>
      </c>
      <c r="BP13" s="6">
        <f t="shared" si="5"/>
        <v>59613.1637400002</v>
      </c>
      <c r="BQ13" s="6">
        <f t="shared" si="5"/>
        <v>56885.213380000205</v>
      </c>
      <c r="BR13" s="6">
        <f t="shared" ref="BR13:EC13" si="6">BQ17</f>
        <v>54145.896560000205</v>
      </c>
      <c r="BS13" s="6">
        <f t="shared" si="6"/>
        <v>51395.16592000021</v>
      </c>
      <c r="BT13" s="6">
        <f t="shared" si="6"/>
        <v>48632.973900000216</v>
      </c>
      <c r="BU13" s="6">
        <f t="shared" si="6"/>
        <v>45859.272750000222</v>
      </c>
      <c r="BV13" s="6">
        <f t="shared" si="6"/>
        <v>43074.014510000226</v>
      </c>
      <c r="BW13" s="6">
        <f t="shared" si="6"/>
        <v>40277.151030000226</v>
      </c>
      <c r="BX13" s="6">
        <f t="shared" si="6"/>
        <v>37468.633950000229</v>
      </c>
      <c r="BY13" s="6">
        <f t="shared" si="6"/>
        <v>34648.414720000234</v>
      </c>
      <c r="BZ13" s="6">
        <f t="shared" si="6"/>
        <v>31644.724400000236</v>
      </c>
      <c r="CA13" s="6">
        <f t="shared" si="6"/>
        <v>28628.518710000233</v>
      </c>
      <c r="CB13" s="6">
        <f t="shared" si="6"/>
        <v>25599.74549000023</v>
      </c>
      <c r="CC13" s="6">
        <f t="shared" si="6"/>
        <v>22558.352390000229</v>
      </c>
      <c r="CD13" s="6">
        <f t="shared" si="6"/>
        <v>19504.286810000227</v>
      </c>
      <c r="CE13" s="6">
        <f t="shared" si="6"/>
        <v>16437.495960000226</v>
      </c>
      <c r="CF13" s="6">
        <f t="shared" si="6"/>
        <v>13357.926820000228</v>
      </c>
      <c r="CG13" s="6">
        <f t="shared" si="6"/>
        <v>10265.526140000229</v>
      </c>
      <c r="CH13" s="6">
        <f t="shared" si="6"/>
        <v>7160.2404600002301</v>
      </c>
      <c r="CI13" s="6">
        <f t="shared" si="6"/>
        <v>4042.0160900002306</v>
      </c>
      <c r="CJ13" s="6">
        <f t="shared" si="6"/>
        <v>910.79911000023094</v>
      </c>
      <c r="CK13" s="6">
        <f t="shared" si="6"/>
        <v>0</v>
      </c>
      <c r="CL13" s="6">
        <f t="shared" si="6"/>
        <v>0</v>
      </c>
      <c r="CM13" s="6">
        <f t="shared" si="6"/>
        <v>0</v>
      </c>
      <c r="CN13" s="6">
        <f t="shared" si="6"/>
        <v>0</v>
      </c>
      <c r="CO13" s="6">
        <f t="shared" si="6"/>
        <v>0</v>
      </c>
      <c r="CP13" s="6">
        <f t="shared" si="6"/>
        <v>0</v>
      </c>
      <c r="CQ13" s="6">
        <f t="shared" si="6"/>
        <v>0</v>
      </c>
      <c r="CR13" s="6">
        <f t="shared" si="6"/>
        <v>0</v>
      </c>
      <c r="CS13" s="6">
        <f t="shared" si="6"/>
        <v>0</v>
      </c>
      <c r="CT13" s="6">
        <f t="shared" si="6"/>
        <v>0</v>
      </c>
      <c r="CU13" s="6">
        <f t="shared" si="6"/>
        <v>0</v>
      </c>
      <c r="CV13" s="6">
        <f t="shared" si="6"/>
        <v>0</v>
      </c>
      <c r="CW13" s="6">
        <f t="shared" si="6"/>
        <v>0</v>
      </c>
      <c r="CX13" s="6">
        <f t="shared" si="6"/>
        <v>0</v>
      </c>
      <c r="CY13" s="6">
        <f t="shared" si="6"/>
        <v>0</v>
      </c>
      <c r="CZ13" s="6">
        <f t="shared" si="6"/>
        <v>0</v>
      </c>
      <c r="DA13" s="6">
        <f t="shared" si="6"/>
        <v>0</v>
      </c>
      <c r="DB13" s="6">
        <f t="shared" si="6"/>
        <v>0</v>
      </c>
      <c r="DC13" s="6">
        <f t="shared" si="6"/>
        <v>0</v>
      </c>
      <c r="DD13" s="6">
        <f t="shared" si="6"/>
        <v>0</v>
      </c>
      <c r="DE13" s="6">
        <f t="shared" si="6"/>
        <v>0</v>
      </c>
      <c r="DF13" s="6">
        <f t="shared" si="6"/>
        <v>0</v>
      </c>
      <c r="DG13" s="6">
        <f t="shared" si="6"/>
        <v>0</v>
      </c>
      <c r="DH13" s="6">
        <f t="shared" si="6"/>
        <v>0</v>
      </c>
      <c r="DI13" s="6">
        <f t="shared" si="6"/>
        <v>0</v>
      </c>
      <c r="DJ13" s="6">
        <f t="shared" si="6"/>
        <v>0</v>
      </c>
      <c r="DK13" s="6">
        <f t="shared" si="6"/>
        <v>0</v>
      </c>
      <c r="DL13" s="6">
        <f t="shared" si="6"/>
        <v>0</v>
      </c>
      <c r="DM13" s="6">
        <f t="shared" si="6"/>
        <v>0</v>
      </c>
      <c r="DN13" s="6">
        <f t="shared" si="6"/>
        <v>0</v>
      </c>
      <c r="DO13" s="6">
        <f t="shared" si="6"/>
        <v>0</v>
      </c>
      <c r="DP13" s="6">
        <f t="shared" si="6"/>
        <v>0</v>
      </c>
      <c r="DQ13" s="6">
        <f t="shared" si="6"/>
        <v>0</v>
      </c>
      <c r="DR13" s="6">
        <f t="shared" si="6"/>
        <v>0</v>
      </c>
      <c r="DS13" s="6">
        <f t="shared" si="6"/>
        <v>0</v>
      </c>
      <c r="DT13" s="6">
        <f t="shared" si="6"/>
        <v>0</v>
      </c>
      <c r="DU13" s="6">
        <f t="shared" si="6"/>
        <v>0</v>
      </c>
      <c r="DV13" s="6">
        <f t="shared" si="6"/>
        <v>0</v>
      </c>
      <c r="DW13" s="6">
        <f t="shared" si="6"/>
        <v>0</v>
      </c>
      <c r="DX13" s="6">
        <f t="shared" si="6"/>
        <v>0</v>
      </c>
      <c r="DY13" s="6">
        <f t="shared" si="6"/>
        <v>0</v>
      </c>
      <c r="DZ13" s="6">
        <f t="shared" si="6"/>
        <v>0</v>
      </c>
      <c r="EA13" s="6">
        <f t="shared" si="6"/>
        <v>0</v>
      </c>
      <c r="EB13" s="6">
        <f t="shared" si="6"/>
        <v>0</v>
      </c>
      <c r="EC13" s="6">
        <f t="shared" si="6"/>
        <v>0</v>
      </c>
      <c r="ED13" s="6">
        <f t="shared" ref="ED13:GO13" si="7">EC17</f>
        <v>0</v>
      </c>
      <c r="EE13" s="6">
        <f t="shared" si="7"/>
        <v>0</v>
      </c>
      <c r="EF13" s="6">
        <f t="shared" si="7"/>
        <v>0</v>
      </c>
      <c r="EG13" s="6">
        <f t="shared" si="7"/>
        <v>0</v>
      </c>
      <c r="EH13" s="6">
        <f t="shared" si="7"/>
        <v>0</v>
      </c>
      <c r="EI13" s="6">
        <f t="shared" si="7"/>
        <v>0</v>
      </c>
      <c r="EJ13" s="6">
        <f t="shared" si="7"/>
        <v>0</v>
      </c>
      <c r="EK13" s="6">
        <f t="shared" si="7"/>
        <v>0</v>
      </c>
      <c r="EL13" s="6">
        <f t="shared" si="7"/>
        <v>0</v>
      </c>
      <c r="EM13" s="6">
        <f t="shared" si="7"/>
        <v>0</v>
      </c>
      <c r="EN13" s="6">
        <f t="shared" si="7"/>
        <v>0</v>
      </c>
      <c r="EO13" s="6">
        <f t="shared" si="7"/>
        <v>0</v>
      </c>
      <c r="EP13" s="6">
        <f t="shared" si="7"/>
        <v>0</v>
      </c>
      <c r="EQ13" s="6">
        <f t="shared" si="7"/>
        <v>0</v>
      </c>
      <c r="ER13" s="6">
        <f t="shared" si="7"/>
        <v>0</v>
      </c>
      <c r="ES13" s="6">
        <f t="shared" si="7"/>
        <v>0</v>
      </c>
      <c r="ET13" s="6">
        <f t="shared" si="7"/>
        <v>0</v>
      </c>
      <c r="EU13" s="6">
        <f t="shared" si="7"/>
        <v>0</v>
      </c>
      <c r="EV13" s="6">
        <f t="shared" si="7"/>
        <v>0</v>
      </c>
      <c r="EW13" s="6">
        <f t="shared" si="7"/>
        <v>0</v>
      </c>
      <c r="EX13" s="6">
        <f t="shared" si="7"/>
        <v>0</v>
      </c>
      <c r="EY13" s="6">
        <f t="shared" si="7"/>
        <v>0</v>
      </c>
      <c r="EZ13" s="6">
        <f t="shared" si="7"/>
        <v>0</v>
      </c>
      <c r="FA13" s="6">
        <f t="shared" si="7"/>
        <v>0</v>
      </c>
      <c r="FB13" s="6">
        <f t="shared" si="7"/>
        <v>0</v>
      </c>
      <c r="FC13" s="6">
        <f t="shared" si="7"/>
        <v>0</v>
      </c>
      <c r="FD13" s="6">
        <f t="shared" si="7"/>
        <v>0</v>
      </c>
      <c r="FE13" s="6">
        <f t="shared" si="7"/>
        <v>0</v>
      </c>
      <c r="FF13" s="6">
        <f t="shared" si="7"/>
        <v>0</v>
      </c>
      <c r="FG13" s="6">
        <f t="shared" si="7"/>
        <v>0</v>
      </c>
      <c r="FH13" s="6">
        <f t="shared" si="7"/>
        <v>0</v>
      </c>
      <c r="FI13" s="6">
        <f t="shared" si="7"/>
        <v>0</v>
      </c>
      <c r="FJ13" s="6">
        <f t="shared" si="7"/>
        <v>0</v>
      </c>
      <c r="FK13" s="6">
        <f t="shared" si="7"/>
        <v>0</v>
      </c>
      <c r="FL13" s="6">
        <f t="shared" si="7"/>
        <v>0</v>
      </c>
      <c r="FM13" s="6">
        <f t="shared" si="7"/>
        <v>0</v>
      </c>
      <c r="FN13" s="6">
        <f t="shared" si="7"/>
        <v>0</v>
      </c>
      <c r="FO13" s="6">
        <f t="shared" si="7"/>
        <v>0</v>
      </c>
      <c r="FP13" s="6">
        <f t="shared" si="7"/>
        <v>0</v>
      </c>
      <c r="FQ13" s="6">
        <f t="shared" si="7"/>
        <v>0</v>
      </c>
      <c r="FR13" s="6">
        <f t="shared" si="7"/>
        <v>0</v>
      </c>
      <c r="FS13" s="6">
        <f t="shared" si="7"/>
        <v>0</v>
      </c>
      <c r="FT13" s="6">
        <f t="shared" si="7"/>
        <v>0</v>
      </c>
      <c r="FU13" s="6">
        <f t="shared" si="7"/>
        <v>0</v>
      </c>
      <c r="FV13" s="6">
        <f t="shared" si="7"/>
        <v>0</v>
      </c>
      <c r="FW13" s="6">
        <f t="shared" si="7"/>
        <v>0</v>
      </c>
      <c r="FX13" s="6">
        <f t="shared" si="7"/>
        <v>0</v>
      </c>
      <c r="FY13" s="6">
        <f t="shared" si="7"/>
        <v>0</v>
      </c>
      <c r="FZ13" s="6">
        <f t="shared" si="7"/>
        <v>0</v>
      </c>
      <c r="GA13" s="6">
        <f t="shared" si="7"/>
        <v>0</v>
      </c>
      <c r="GB13" s="6">
        <f t="shared" si="7"/>
        <v>0</v>
      </c>
      <c r="GC13" s="6">
        <f t="shared" si="7"/>
        <v>0</v>
      </c>
      <c r="GD13" s="6">
        <f t="shared" si="7"/>
        <v>0</v>
      </c>
      <c r="GE13" s="6">
        <f t="shared" si="7"/>
        <v>0</v>
      </c>
      <c r="GF13" s="6">
        <f t="shared" si="7"/>
        <v>0</v>
      </c>
      <c r="GG13" s="6">
        <f t="shared" si="7"/>
        <v>0</v>
      </c>
      <c r="GH13" s="6">
        <f t="shared" si="7"/>
        <v>0</v>
      </c>
      <c r="GI13" s="6">
        <f t="shared" si="7"/>
        <v>0</v>
      </c>
      <c r="GJ13" s="6">
        <f t="shared" si="7"/>
        <v>0</v>
      </c>
      <c r="GK13" s="6">
        <f t="shared" si="7"/>
        <v>0</v>
      </c>
      <c r="GL13" s="6">
        <f t="shared" si="7"/>
        <v>0</v>
      </c>
      <c r="GM13" s="6">
        <f t="shared" si="7"/>
        <v>0</v>
      </c>
      <c r="GN13" s="6">
        <f t="shared" si="7"/>
        <v>0</v>
      </c>
      <c r="GO13" s="6">
        <f t="shared" si="7"/>
        <v>0</v>
      </c>
      <c r="GP13" s="6">
        <f t="shared" ref="GP13:JA13" si="8">GO17</f>
        <v>0</v>
      </c>
      <c r="GQ13" s="6">
        <f t="shared" si="8"/>
        <v>0</v>
      </c>
      <c r="GR13" s="6">
        <f t="shared" si="8"/>
        <v>0</v>
      </c>
      <c r="GS13" s="6">
        <f t="shared" si="8"/>
        <v>0</v>
      </c>
      <c r="GT13" s="6">
        <f t="shared" si="8"/>
        <v>0</v>
      </c>
      <c r="GU13" s="6">
        <f t="shared" si="8"/>
        <v>0</v>
      </c>
      <c r="GV13" s="6">
        <f t="shared" si="8"/>
        <v>0</v>
      </c>
      <c r="GW13" s="6">
        <f t="shared" si="8"/>
        <v>0</v>
      </c>
      <c r="GX13" s="6">
        <f t="shared" si="8"/>
        <v>0</v>
      </c>
      <c r="GY13" s="6">
        <f t="shared" si="8"/>
        <v>0</v>
      </c>
      <c r="GZ13" s="6">
        <f t="shared" si="8"/>
        <v>0</v>
      </c>
      <c r="HA13" s="6">
        <f t="shared" si="8"/>
        <v>0</v>
      </c>
      <c r="HB13" s="6">
        <f t="shared" si="8"/>
        <v>0</v>
      </c>
      <c r="HC13" s="6">
        <f t="shared" si="8"/>
        <v>0</v>
      </c>
      <c r="HD13" s="6">
        <f t="shared" si="8"/>
        <v>0</v>
      </c>
      <c r="HE13" s="6">
        <f t="shared" si="8"/>
        <v>0</v>
      </c>
      <c r="HF13" s="6">
        <f t="shared" si="8"/>
        <v>0</v>
      </c>
      <c r="HG13" s="6">
        <f t="shared" si="8"/>
        <v>0</v>
      </c>
      <c r="HH13" s="6">
        <f t="shared" si="8"/>
        <v>0</v>
      </c>
      <c r="HI13" s="6">
        <f t="shared" si="8"/>
        <v>0</v>
      </c>
      <c r="HJ13" s="6">
        <f t="shared" si="8"/>
        <v>0</v>
      </c>
      <c r="HK13" s="6">
        <f t="shared" si="8"/>
        <v>0</v>
      </c>
      <c r="HL13" s="6">
        <f t="shared" si="8"/>
        <v>0</v>
      </c>
      <c r="HM13" s="6">
        <f t="shared" si="8"/>
        <v>0</v>
      </c>
      <c r="HN13" s="6">
        <f t="shared" si="8"/>
        <v>0</v>
      </c>
      <c r="HO13" s="6">
        <f t="shared" si="8"/>
        <v>0</v>
      </c>
      <c r="HP13" s="6">
        <f t="shared" si="8"/>
        <v>0</v>
      </c>
      <c r="HQ13" s="6">
        <f t="shared" si="8"/>
        <v>0</v>
      </c>
      <c r="HR13" s="6">
        <f t="shared" si="8"/>
        <v>0</v>
      </c>
      <c r="HS13" s="6">
        <f t="shared" si="8"/>
        <v>0</v>
      </c>
      <c r="HT13" s="6">
        <f t="shared" si="8"/>
        <v>0</v>
      </c>
      <c r="HU13" s="6">
        <f t="shared" si="8"/>
        <v>0</v>
      </c>
      <c r="HV13" s="6">
        <f t="shared" si="8"/>
        <v>0</v>
      </c>
      <c r="HW13" s="6">
        <f t="shared" si="8"/>
        <v>0</v>
      </c>
      <c r="HX13" s="6">
        <f t="shared" si="8"/>
        <v>0</v>
      </c>
      <c r="HY13" s="6">
        <f t="shared" si="8"/>
        <v>0</v>
      </c>
      <c r="HZ13" s="6">
        <f t="shared" si="8"/>
        <v>0</v>
      </c>
      <c r="IA13" s="6">
        <f t="shared" si="8"/>
        <v>0</v>
      </c>
      <c r="IB13" s="6">
        <f t="shared" si="8"/>
        <v>0</v>
      </c>
      <c r="IC13" s="6">
        <f t="shared" si="8"/>
        <v>0</v>
      </c>
      <c r="ID13" s="6">
        <f t="shared" si="8"/>
        <v>0</v>
      </c>
      <c r="IE13" s="6">
        <f t="shared" si="8"/>
        <v>0</v>
      </c>
      <c r="IF13" s="6">
        <f t="shared" si="8"/>
        <v>0</v>
      </c>
      <c r="IG13" s="6">
        <f t="shared" si="8"/>
        <v>0</v>
      </c>
      <c r="IH13" s="6">
        <f t="shared" si="8"/>
        <v>0</v>
      </c>
      <c r="II13" s="6">
        <f t="shared" si="8"/>
        <v>0</v>
      </c>
      <c r="IJ13" s="6">
        <f t="shared" si="8"/>
        <v>0</v>
      </c>
      <c r="IK13" s="6">
        <f t="shared" si="8"/>
        <v>0</v>
      </c>
      <c r="IL13" s="6">
        <f t="shared" si="8"/>
        <v>0</v>
      </c>
      <c r="IM13" s="6">
        <f t="shared" si="8"/>
        <v>0</v>
      </c>
      <c r="IN13" s="6">
        <f t="shared" si="8"/>
        <v>0</v>
      </c>
      <c r="IO13" s="6">
        <f t="shared" si="8"/>
        <v>0</v>
      </c>
      <c r="IP13" s="6">
        <f t="shared" si="8"/>
        <v>0</v>
      </c>
      <c r="IQ13" s="6">
        <f t="shared" si="8"/>
        <v>0</v>
      </c>
      <c r="IR13" s="6">
        <f t="shared" si="8"/>
        <v>0</v>
      </c>
      <c r="IS13" s="6">
        <f t="shared" si="8"/>
        <v>0</v>
      </c>
      <c r="IT13" s="6">
        <f t="shared" si="8"/>
        <v>0</v>
      </c>
      <c r="IU13" s="6">
        <f t="shared" si="8"/>
        <v>0</v>
      </c>
      <c r="IV13" s="6">
        <f t="shared" si="8"/>
        <v>0</v>
      </c>
      <c r="IW13" s="6">
        <f t="shared" si="8"/>
        <v>0</v>
      </c>
      <c r="IX13" s="6">
        <f t="shared" si="8"/>
        <v>0</v>
      </c>
      <c r="IY13" s="6">
        <f t="shared" si="8"/>
        <v>0</v>
      </c>
      <c r="IZ13" s="6">
        <f t="shared" si="8"/>
        <v>0</v>
      </c>
      <c r="JA13" s="6">
        <f t="shared" si="8"/>
        <v>0</v>
      </c>
      <c r="JB13" s="6">
        <f t="shared" ref="JB13:KS13" si="9">JA17</f>
        <v>0</v>
      </c>
      <c r="JC13" s="6">
        <f t="shared" si="9"/>
        <v>0</v>
      </c>
      <c r="JD13" s="6">
        <f t="shared" si="9"/>
        <v>0</v>
      </c>
      <c r="JE13" s="6">
        <f t="shared" si="9"/>
        <v>0</v>
      </c>
      <c r="JF13" s="6">
        <f t="shared" si="9"/>
        <v>0</v>
      </c>
      <c r="JG13" s="6">
        <f t="shared" si="9"/>
        <v>0</v>
      </c>
      <c r="JH13" s="6">
        <f t="shared" si="9"/>
        <v>0</v>
      </c>
      <c r="JI13" s="6">
        <f t="shared" si="9"/>
        <v>0</v>
      </c>
      <c r="JJ13" s="6">
        <f t="shared" si="9"/>
        <v>0</v>
      </c>
      <c r="JK13" s="6">
        <f t="shared" si="9"/>
        <v>0</v>
      </c>
      <c r="JL13" s="6">
        <f t="shared" si="9"/>
        <v>0</v>
      </c>
      <c r="JM13" s="6">
        <f t="shared" si="9"/>
        <v>0</v>
      </c>
      <c r="JN13" s="6">
        <f t="shared" si="9"/>
        <v>0</v>
      </c>
      <c r="JO13" s="6">
        <f t="shared" si="9"/>
        <v>0</v>
      </c>
      <c r="JP13" s="6">
        <f t="shared" si="9"/>
        <v>0</v>
      </c>
      <c r="JQ13" s="6">
        <f t="shared" si="9"/>
        <v>0</v>
      </c>
      <c r="JR13" s="6">
        <f t="shared" si="9"/>
        <v>0</v>
      </c>
      <c r="JS13" s="6">
        <f t="shared" si="9"/>
        <v>0</v>
      </c>
      <c r="JT13" s="6">
        <f t="shared" si="9"/>
        <v>0</v>
      </c>
      <c r="JU13" s="6">
        <f t="shared" si="9"/>
        <v>0</v>
      </c>
      <c r="JV13" s="6">
        <f t="shared" si="9"/>
        <v>0</v>
      </c>
      <c r="JW13" s="6">
        <f t="shared" si="9"/>
        <v>0</v>
      </c>
      <c r="JX13" s="6">
        <f t="shared" si="9"/>
        <v>0</v>
      </c>
      <c r="JY13" s="6">
        <f t="shared" si="9"/>
        <v>0</v>
      </c>
      <c r="JZ13" s="6">
        <f t="shared" si="9"/>
        <v>0</v>
      </c>
      <c r="KA13" s="6">
        <f t="shared" si="9"/>
        <v>0</v>
      </c>
      <c r="KB13" s="6">
        <f t="shared" si="9"/>
        <v>0</v>
      </c>
      <c r="KC13" s="6">
        <f t="shared" si="9"/>
        <v>0</v>
      </c>
      <c r="KD13" s="6">
        <f t="shared" si="9"/>
        <v>0</v>
      </c>
      <c r="KE13" s="6">
        <f t="shared" si="9"/>
        <v>0</v>
      </c>
      <c r="KF13" s="6">
        <f t="shared" si="9"/>
        <v>0</v>
      </c>
      <c r="KG13" s="6">
        <f t="shared" si="9"/>
        <v>0</v>
      </c>
      <c r="KH13" s="6">
        <f t="shared" si="9"/>
        <v>0</v>
      </c>
      <c r="KI13" s="6">
        <f t="shared" si="9"/>
        <v>0</v>
      </c>
      <c r="KJ13" s="6">
        <f t="shared" si="9"/>
        <v>0</v>
      </c>
      <c r="KK13" s="6">
        <f t="shared" si="9"/>
        <v>0</v>
      </c>
      <c r="KL13" s="6">
        <f t="shared" si="9"/>
        <v>0</v>
      </c>
      <c r="KM13" s="6">
        <f t="shared" si="9"/>
        <v>0</v>
      </c>
      <c r="KN13" s="6">
        <f t="shared" si="9"/>
        <v>0</v>
      </c>
      <c r="KO13" s="6">
        <f t="shared" si="9"/>
        <v>0</v>
      </c>
      <c r="KP13" s="6">
        <f t="shared" si="9"/>
        <v>0</v>
      </c>
      <c r="KQ13" s="6">
        <f t="shared" si="9"/>
        <v>0</v>
      </c>
      <c r="KR13" s="6">
        <f t="shared" si="9"/>
        <v>0</v>
      </c>
      <c r="KS13" s="6">
        <f t="shared" si="9"/>
        <v>0</v>
      </c>
    </row>
    <row r="14" spans="2:16384">
      <c r="B14" s="21" t="s">
        <v>26</v>
      </c>
      <c r="C14" s="6"/>
      <c r="E14" s="6">
        <f>IF(Inputs!$E$8=1,-E4,0)*Inputs!$E$3</f>
        <v>163200</v>
      </c>
      <c r="F14" s="6">
        <f>IF(Inputs!$E$8=1,-F4,0)*Inputs!$E$3</f>
        <v>0</v>
      </c>
      <c r="G14" s="6">
        <f>IF(Inputs!$E$8=1,-G4,0)*Inputs!$E$3</f>
        <v>0</v>
      </c>
      <c r="H14" s="6">
        <f>IF(Inputs!$E$8=1,-H4,0)*Inputs!$E$3</f>
        <v>0</v>
      </c>
      <c r="I14" s="6">
        <f>IF(Inputs!$E$8=1,-I4,0)*Inputs!$E$3</f>
        <v>0</v>
      </c>
      <c r="J14" s="6">
        <f>IF(Inputs!$E$8=1,-J4,0)*Inputs!$E$3</f>
        <v>0</v>
      </c>
      <c r="K14" s="6">
        <f>IF(Inputs!$E$8=1,-K4,0)*Inputs!$E$3</f>
        <v>0</v>
      </c>
      <c r="L14" s="6">
        <f>IF(Inputs!$E$8=1,-L4,0)*Inputs!$E$3</f>
        <v>0</v>
      </c>
      <c r="M14" s="6">
        <f>IF(Inputs!$E$8=1,-M4,0)*Inputs!$E$3</f>
        <v>0</v>
      </c>
      <c r="N14" s="6">
        <f>IF(Inputs!$E$8=1,-N4,0)*Inputs!$E$3</f>
        <v>0</v>
      </c>
      <c r="O14" s="6">
        <f>IF(Inputs!$E$8=1,-O4,0)*Inputs!$E$3</f>
        <v>0</v>
      </c>
      <c r="P14" s="6">
        <f>IF(Inputs!$E$8=1,-P4,0)*Inputs!$E$3</f>
        <v>0</v>
      </c>
      <c r="Q14" s="6">
        <f>IF(Inputs!$E$8=1,-Q4,0)*Inputs!$E$3</f>
        <v>0</v>
      </c>
      <c r="R14" s="6">
        <f>IF(Inputs!$E$8=1,-R4,0)*Inputs!$E$3</f>
        <v>0</v>
      </c>
      <c r="S14" s="6">
        <f>IF(Inputs!$E$8=1,-S4,0)*Inputs!$E$3</f>
        <v>0</v>
      </c>
      <c r="T14" s="6">
        <f>IF(Inputs!$E$8=1,-T4,0)*Inputs!$E$3</f>
        <v>0</v>
      </c>
      <c r="U14" s="6">
        <f>IF(Inputs!$E$8=1,-U4,0)*Inputs!$E$3</f>
        <v>0</v>
      </c>
      <c r="V14" s="6">
        <f>IF(Inputs!$E$8=1,-V4,0)*Inputs!$E$3</f>
        <v>0</v>
      </c>
      <c r="W14" s="6">
        <f>IF(Inputs!$E$8=1,-W4,0)*Inputs!$E$3</f>
        <v>0</v>
      </c>
      <c r="X14" s="6">
        <f>IF(Inputs!$E$8=1,-X4,0)*Inputs!$E$3</f>
        <v>0</v>
      </c>
      <c r="Y14" s="6">
        <f>IF(Inputs!$E$8=1,-Y4,0)*Inputs!$E$3</f>
        <v>0</v>
      </c>
      <c r="Z14" s="6">
        <f>IF(Inputs!$E$8=1,-Z4,0)*Inputs!$E$3</f>
        <v>0</v>
      </c>
      <c r="AA14" s="6">
        <f>IF(Inputs!$E$8=1,-AA4,0)*Inputs!$E$3</f>
        <v>0</v>
      </c>
      <c r="AB14" s="6">
        <f>IF(Inputs!$E$8=1,-AB4,0)*Inputs!$E$3</f>
        <v>0</v>
      </c>
      <c r="AC14" s="6">
        <f>IF(Inputs!$E$8=1,-AC4,0)*Inputs!$E$3</f>
        <v>0</v>
      </c>
      <c r="AD14" s="6">
        <f>IF(Inputs!$E$8=1,-AD4,0)*Inputs!$E$3</f>
        <v>0</v>
      </c>
      <c r="AE14" s="6">
        <f>IF(Inputs!$E$8=1,-AE4,0)*Inputs!$E$3</f>
        <v>0</v>
      </c>
      <c r="AF14" s="6">
        <f>IF(Inputs!$E$8=1,-AF4,0)*Inputs!$E$3</f>
        <v>0</v>
      </c>
      <c r="AG14" s="6">
        <f>IF(Inputs!$E$8=1,-AG4,0)*Inputs!$E$3</f>
        <v>0</v>
      </c>
      <c r="AH14" s="6">
        <f>IF(Inputs!$E$8=1,-AH4,0)*Inputs!$E$3</f>
        <v>0</v>
      </c>
      <c r="AI14" s="6">
        <f>IF(Inputs!$E$8=1,-AI4,0)*Inputs!$E$3</f>
        <v>0</v>
      </c>
      <c r="AJ14" s="6">
        <f>IF(Inputs!$E$8=1,-AJ4,0)*Inputs!$E$3</f>
        <v>0</v>
      </c>
      <c r="AK14" s="6">
        <f>IF(Inputs!$E$8=1,-AK4,0)*Inputs!$E$3</f>
        <v>0</v>
      </c>
      <c r="AL14" s="6">
        <f>IF(Inputs!$E$8=1,-AL4,0)*Inputs!$E$3</f>
        <v>0</v>
      </c>
      <c r="AM14" s="6">
        <f>IF(Inputs!$E$8=1,-AM4,0)*Inputs!$E$3</f>
        <v>0</v>
      </c>
      <c r="AN14" s="6">
        <f>IF(Inputs!$E$8=1,-AN4,0)*Inputs!$E$3</f>
        <v>0</v>
      </c>
      <c r="AO14" s="6">
        <f>IF(Inputs!$E$8=1,-AO4,0)*Inputs!$E$3</f>
        <v>0</v>
      </c>
      <c r="AP14" s="6">
        <f>IF(Inputs!$E$8=1,-AP4,0)*Inputs!$E$3</f>
        <v>0</v>
      </c>
      <c r="AQ14" s="6">
        <f>IF(Inputs!$E$8=1,-AQ4,0)*Inputs!$E$3</f>
        <v>0</v>
      </c>
      <c r="AR14" s="6">
        <f>IF(Inputs!$E$8=1,-AR4,0)*Inputs!$E$3</f>
        <v>0</v>
      </c>
      <c r="AS14" s="6">
        <f>IF(Inputs!$E$8=1,-AS4,0)*Inputs!$E$3</f>
        <v>0</v>
      </c>
      <c r="AT14" s="6">
        <f>IF(Inputs!$E$8=1,-AT4,0)*Inputs!$E$3</f>
        <v>0</v>
      </c>
      <c r="AU14" s="6">
        <f>IF(Inputs!$E$8=1,-AU4,0)*Inputs!$E$3</f>
        <v>0</v>
      </c>
      <c r="AV14" s="6">
        <f>IF(Inputs!$E$8=1,-AV4,0)*Inputs!$E$3</f>
        <v>0</v>
      </c>
      <c r="AW14" s="6">
        <f>IF(Inputs!$E$8=1,-AW4,0)*Inputs!$E$3</f>
        <v>0</v>
      </c>
      <c r="AX14" s="6">
        <f>IF(Inputs!$E$8=1,-AX4,0)*Inputs!$E$3</f>
        <v>0</v>
      </c>
      <c r="AY14" s="6">
        <f>IF(Inputs!$E$8=1,-AY4,0)*Inputs!$E$3</f>
        <v>0</v>
      </c>
      <c r="AZ14" s="6">
        <f>IF(Inputs!$E$8=1,-AZ4,0)*Inputs!$E$3</f>
        <v>0</v>
      </c>
      <c r="BA14" s="6">
        <f>IF(Inputs!$E$8=1,-BA4,0)*Inputs!$E$3</f>
        <v>0</v>
      </c>
      <c r="BB14" s="6">
        <f>IF(Inputs!$E$8=1,-BB4,0)*Inputs!$E$3</f>
        <v>0</v>
      </c>
      <c r="BC14" s="6">
        <f>IF(Inputs!$E$8=1,-BC4,0)*Inputs!$E$3</f>
        <v>0</v>
      </c>
      <c r="BD14" s="6">
        <f>IF(Inputs!$E$8=1,-BD4,0)*Inputs!$E$3</f>
        <v>0</v>
      </c>
      <c r="BE14" s="6">
        <f>IF(Inputs!$E$8=1,-BE4,0)*Inputs!$E$3</f>
        <v>0</v>
      </c>
      <c r="BF14" s="6">
        <f>IF(Inputs!$E$8=1,-BF4,0)*Inputs!$E$3</f>
        <v>0</v>
      </c>
      <c r="BG14" s="6">
        <f>IF(Inputs!$E$8=1,-BG4,0)*Inputs!$E$3</f>
        <v>0</v>
      </c>
      <c r="BH14" s="6">
        <f>IF(Inputs!$E$8=1,-BH4,0)*Inputs!$E$3</f>
        <v>0</v>
      </c>
      <c r="BI14" s="6">
        <f>IF(Inputs!$E$8=1,-BI4,0)*Inputs!$E$3</f>
        <v>0</v>
      </c>
      <c r="BJ14" s="6">
        <f>IF(Inputs!$E$8=1,-BJ4,0)*Inputs!$E$3</f>
        <v>0</v>
      </c>
      <c r="BK14" s="6">
        <f>IF(Inputs!$E$8=1,-BK4,0)*Inputs!$E$3</f>
        <v>0</v>
      </c>
      <c r="BL14" s="6">
        <f>IF(Inputs!$E$8=1,-BL4,0)*Inputs!$E$3</f>
        <v>0</v>
      </c>
      <c r="BM14" s="6">
        <f>IF(Inputs!$E$8=1,-BM4,0)*Inputs!$E$3</f>
        <v>0</v>
      </c>
      <c r="BN14" s="6">
        <f>IF(Inputs!$E$8=1,-BN4,0)*Inputs!$E$3</f>
        <v>0</v>
      </c>
      <c r="BO14" s="6">
        <f>IF(Inputs!$E$8=1,-BO4,0)*Inputs!$E$3</f>
        <v>0</v>
      </c>
      <c r="BP14" s="6">
        <f>IF(Inputs!$E$8=1,-BP4,0)*Inputs!$E$3</f>
        <v>0</v>
      </c>
      <c r="BQ14" s="6">
        <f>IF(Inputs!$E$8=1,-BQ4,0)*Inputs!$E$3</f>
        <v>0</v>
      </c>
      <c r="BR14" s="6">
        <f>IF(Inputs!$E$8=1,-BR4,0)*Inputs!$E$3</f>
        <v>0</v>
      </c>
      <c r="BS14" s="6">
        <f>IF(Inputs!$E$8=1,-BS4,0)*Inputs!$E$3</f>
        <v>0</v>
      </c>
      <c r="BT14" s="6">
        <f>IF(Inputs!$E$8=1,-BT4,0)*Inputs!$E$3</f>
        <v>0</v>
      </c>
      <c r="BU14" s="6">
        <f>IF(Inputs!$E$8=1,-BU4,0)*Inputs!$E$3</f>
        <v>0</v>
      </c>
      <c r="BV14" s="6">
        <f>IF(Inputs!$E$8=1,-BV4,0)*Inputs!$E$3</f>
        <v>0</v>
      </c>
      <c r="BW14" s="6">
        <f>IF(Inputs!$E$8=1,-BW4,0)*Inputs!$E$3</f>
        <v>0</v>
      </c>
      <c r="BX14" s="6">
        <f>IF(Inputs!$E$8=1,-BX4,0)*Inputs!$E$3</f>
        <v>0</v>
      </c>
      <c r="BY14" s="6">
        <f>IF(Inputs!$E$8=1,-BY4,0)*Inputs!$E$3</f>
        <v>0</v>
      </c>
      <c r="BZ14" s="6">
        <f>IF(Inputs!$E$8=1,-BZ4,0)*Inputs!$E$3</f>
        <v>0</v>
      </c>
      <c r="CA14" s="6">
        <f>IF(Inputs!$E$8=1,-CA4,0)*Inputs!$E$3</f>
        <v>0</v>
      </c>
      <c r="CB14" s="6">
        <f>IF(Inputs!$E$8=1,-CB4,0)*Inputs!$E$3</f>
        <v>0</v>
      </c>
      <c r="CC14" s="6">
        <f>IF(Inputs!$E$8=1,-CC4,0)*Inputs!$E$3</f>
        <v>0</v>
      </c>
      <c r="CD14" s="6">
        <f>IF(Inputs!$E$8=1,-CD4,0)*Inputs!$E$3</f>
        <v>0</v>
      </c>
      <c r="CE14" s="6">
        <f>IF(Inputs!$E$8=1,-CE4,0)*Inputs!$E$3</f>
        <v>0</v>
      </c>
      <c r="CF14" s="6">
        <f>IF(Inputs!$E$8=1,-CF4,0)*Inputs!$E$3</f>
        <v>0</v>
      </c>
      <c r="CG14" s="6">
        <f>IF(Inputs!$E$8=1,-CG4,0)*Inputs!$E$3</f>
        <v>0</v>
      </c>
      <c r="CH14" s="6">
        <f>IF(Inputs!$E$8=1,-CH4,0)*Inputs!$E$3</f>
        <v>0</v>
      </c>
      <c r="CI14" s="6">
        <f>IF(Inputs!$E$8=1,-CI4,0)*Inputs!$E$3</f>
        <v>0</v>
      </c>
      <c r="CJ14" s="6">
        <f>IF(Inputs!$E$8=1,-CJ4,0)*Inputs!$E$3</f>
        <v>0</v>
      </c>
      <c r="CK14" s="6">
        <f>IF(Inputs!$E$8=1,-CK4,0)*Inputs!$E$3</f>
        <v>0</v>
      </c>
      <c r="CL14" s="6">
        <f>IF(Inputs!$E$8=1,-CL4,0)*Inputs!$E$3</f>
        <v>0</v>
      </c>
      <c r="CM14" s="6">
        <f>IF(Inputs!$E$8=1,-CM4,0)*Inputs!$E$3</f>
        <v>0</v>
      </c>
      <c r="CN14" s="6">
        <f>IF(Inputs!$E$8=1,-CN4,0)*Inputs!$E$3</f>
        <v>0</v>
      </c>
      <c r="CO14" s="6">
        <f>IF(Inputs!$E$8=1,-CO4,0)*Inputs!$E$3</f>
        <v>0</v>
      </c>
      <c r="CP14" s="6">
        <f>IF(Inputs!$E$8=1,-CP4,0)*Inputs!$E$3</f>
        <v>0</v>
      </c>
      <c r="CQ14" s="6">
        <f>IF(Inputs!$E$8=1,-CQ4,0)*Inputs!$E$3</f>
        <v>0</v>
      </c>
      <c r="CR14" s="6">
        <f>IF(Inputs!$E$8=1,-CR4,0)*Inputs!$E$3</f>
        <v>0</v>
      </c>
      <c r="CS14" s="6">
        <f>IF(Inputs!$E$8=1,-CS4,0)*Inputs!$E$3</f>
        <v>0</v>
      </c>
      <c r="CT14" s="6">
        <f>IF(Inputs!$E$8=1,-CT4,0)*Inputs!$E$3</f>
        <v>0</v>
      </c>
      <c r="CU14" s="6">
        <f>IF(Inputs!$E$8=1,-CU4,0)*Inputs!$E$3</f>
        <v>0</v>
      </c>
      <c r="CV14" s="6">
        <f>IF(Inputs!$E$8=1,-CV4,0)*Inputs!$E$3</f>
        <v>0</v>
      </c>
      <c r="CW14" s="6">
        <f>IF(Inputs!$E$8=1,-CW4,0)*Inputs!$E$3</f>
        <v>0</v>
      </c>
      <c r="CX14" s="6">
        <f>IF(Inputs!$E$8=1,-CX4,0)*Inputs!$E$3</f>
        <v>0</v>
      </c>
      <c r="CY14" s="6">
        <f>IF(Inputs!$E$8=1,-CY4,0)*Inputs!$E$3</f>
        <v>0</v>
      </c>
      <c r="CZ14" s="6">
        <f>IF(Inputs!$E$8=1,-CZ4,0)*Inputs!$E$3</f>
        <v>0</v>
      </c>
      <c r="DA14" s="6">
        <f>IF(Inputs!$E$8=1,-DA4,0)*Inputs!$E$3</f>
        <v>0</v>
      </c>
      <c r="DB14" s="6">
        <f>IF(Inputs!$E$8=1,-DB4,0)*Inputs!$E$3</f>
        <v>0</v>
      </c>
      <c r="DC14" s="6">
        <f>IF(Inputs!$E$8=1,-DC4,0)*Inputs!$E$3</f>
        <v>0</v>
      </c>
      <c r="DD14" s="6">
        <f>IF(Inputs!$E$8=1,-DD4,0)*Inputs!$E$3</f>
        <v>0</v>
      </c>
      <c r="DE14" s="6">
        <f>IF(Inputs!$E$8=1,-DE4,0)*Inputs!$E$3</f>
        <v>0</v>
      </c>
      <c r="DF14" s="6">
        <f>IF(Inputs!$E$8=1,-DF4,0)*Inputs!$E$3</f>
        <v>0</v>
      </c>
      <c r="DG14" s="6">
        <f>IF(Inputs!$E$8=1,-DG4,0)*Inputs!$E$3</f>
        <v>0</v>
      </c>
      <c r="DH14" s="6">
        <f>IF(Inputs!$E$8=1,-DH4,0)*Inputs!$E$3</f>
        <v>0</v>
      </c>
      <c r="DI14" s="6">
        <f>IF(Inputs!$E$8=1,-DI4,0)*Inputs!$E$3</f>
        <v>0</v>
      </c>
      <c r="DJ14" s="6">
        <f>IF(Inputs!$E$8=1,-DJ4,0)*Inputs!$E$3</f>
        <v>0</v>
      </c>
      <c r="DK14" s="6">
        <f>IF(Inputs!$E$8=1,-DK4,0)*Inputs!$E$3</f>
        <v>0</v>
      </c>
      <c r="DL14" s="6">
        <f>IF(Inputs!$E$8=1,-DL4,0)*Inputs!$E$3</f>
        <v>0</v>
      </c>
      <c r="DM14" s="6">
        <f>IF(Inputs!$E$8=1,-DM4,0)*Inputs!$E$3</f>
        <v>0</v>
      </c>
      <c r="DN14" s="6">
        <f>IF(Inputs!$E$8=1,-DN4,0)*Inputs!$E$3</f>
        <v>0</v>
      </c>
      <c r="DO14" s="6">
        <f>IF(Inputs!$E$8=1,-DO4,0)*Inputs!$E$3</f>
        <v>0</v>
      </c>
      <c r="DP14" s="6">
        <f>IF(Inputs!$E$8=1,-DP4,0)*Inputs!$E$3</f>
        <v>0</v>
      </c>
      <c r="DQ14" s="6">
        <f>IF(Inputs!$E$8=1,-DQ4,0)*Inputs!$E$3</f>
        <v>0</v>
      </c>
      <c r="DR14" s="6">
        <f>IF(Inputs!$E$8=1,-DR4,0)*Inputs!$E$3</f>
        <v>0</v>
      </c>
      <c r="DS14" s="6">
        <f>IF(Inputs!$E$8=1,-DS4,0)*Inputs!$E$3</f>
        <v>0</v>
      </c>
      <c r="DT14" s="6">
        <f>IF(Inputs!$E$8=1,-DT4,0)*Inputs!$E$3</f>
        <v>0</v>
      </c>
      <c r="DU14" s="6">
        <f>IF(Inputs!$E$8=1,-DU4,0)*Inputs!$E$3</f>
        <v>0</v>
      </c>
      <c r="DV14" s="6">
        <f>IF(Inputs!$E$8=1,-DV4,0)*Inputs!$E$3</f>
        <v>0</v>
      </c>
      <c r="DW14" s="6">
        <f>IF(Inputs!$E$8=1,-DW4,0)*Inputs!$E$3</f>
        <v>0</v>
      </c>
      <c r="DX14" s="6">
        <f>IF(Inputs!$E$8=1,-DX4,0)*Inputs!$E$3</f>
        <v>0</v>
      </c>
      <c r="DY14" s="6">
        <f>IF(Inputs!$E$8=1,-DY4,0)*Inputs!$E$3</f>
        <v>0</v>
      </c>
      <c r="DZ14" s="6">
        <f>IF(Inputs!$E$8=1,-DZ4,0)*Inputs!$E$3</f>
        <v>0</v>
      </c>
      <c r="EA14" s="6">
        <f>IF(Inputs!$E$8=1,-EA4,0)*Inputs!$E$3</f>
        <v>0</v>
      </c>
      <c r="EB14" s="6">
        <f>IF(Inputs!$E$8=1,-EB4,0)*Inputs!$E$3</f>
        <v>0</v>
      </c>
      <c r="EC14" s="6">
        <f>IF(Inputs!$E$8=1,-EC4,0)*Inputs!$E$3</f>
        <v>0</v>
      </c>
      <c r="ED14" s="6">
        <f>IF(Inputs!$E$8=1,-ED4,0)*Inputs!$E$3</f>
        <v>0</v>
      </c>
      <c r="EE14" s="6">
        <f>IF(Inputs!$E$8=1,-EE4,0)*Inputs!$E$3</f>
        <v>0</v>
      </c>
      <c r="EF14" s="6">
        <f>IF(Inputs!$E$8=1,-EF4,0)*Inputs!$E$3</f>
        <v>0</v>
      </c>
      <c r="EG14" s="6">
        <f>IF(Inputs!$E$8=1,-EG4,0)*Inputs!$E$3</f>
        <v>0</v>
      </c>
      <c r="EH14" s="6">
        <f>IF(Inputs!$E$8=1,-EH4,0)*Inputs!$E$3</f>
        <v>0</v>
      </c>
      <c r="EI14" s="6">
        <f>IF(Inputs!$E$8=1,-EI4,0)*Inputs!$E$3</f>
        <v>0</v>
      </c>
      <c r="EJ14" s="6">
        <f>IF(Inputs!$E$8=1,-EJ4,0)*Inputs!$E$3</f>
        <v>0</v>
      </c>
      <c r="EK14" s="6">
        <f>IF(Inputs!$E$8=1,-EK4,0)*Inputs!$E$3</f>
        <v>0</v>
      </c>
      <c r="EL14" s="6">
        <f>IF(Inputs!$E$8=1,-EL4,0)*Inputs!$E$3</f>
        <v>0</v>
      </c>
      <c r="EM14" s="6">
        <f>IF(Inputs!$E$8=1,-EM4,0)*Inputs!$E$3</f>
        <v>0</v>
      </c>
      <c r="EN14" s="6">
        <f>IF(Inputs!$E$8=1,-EN4,0)*Inputs!$E$3</f>
        <v>0</v>
      </c>
      <c r="EO14" s="6">
        <f>IF(Inputs!$E$8=1,-EO4,0)*Inputs!$E$3</f>
        <v>0</v>
      </c>
      <c r="EP14" s="6">
        <f>IF(Inputs!$E$8=1,-EP4,0)*Inputs!$E$3</f>
        <v>0</v>
      </c>
      <c r="EQ14" s="6">
        <f>IF(Inputs!$E$8=1,-EQ4,0)*Inputs!$E$3</f>
        <v>0</v>
      </c>
      <c r="ER14" s="6">
        <f>IF(Inputs!$E$8=1,-ER4,0)*Inputs!$E$3</f>
        <v>0</v>
      </c>
      <c r="ES14" s="6">
        <f>IF(Inputs!$E$8=1,-ES4,0)*Inputs!$E$3</f>
        <v>0</v>
      </c>
      <c r="ET14" s="6">
        <f>IF(Inputs!$E$8=1,-ET4,0)*Inputs!$E$3</f>
        <v>0</v>
      </c>
      <c r="EU14" s="6">
        <f>IF(Inputs!$E$8=1,-EU4,0)*Inputs!$E$3</f>
        <v>0</v>
      </c>
      <c r="EV14" s="6">
        <f>IF(Inputs!$E$8=1,-EV4,0)*Inputs!$E$3</f>
        <v>0</v>
      </c>
      <c r="EW14" s="6">
        <f>IF(Inputs!$E$8=1,-EW4,0)*Inputs!$E$3</f>
        <v>0</v>
      </c>
      <c r="EX14" s="6">
        <f>IF(Inputs!$E$8=1,-EX4,0)*Inputs!$E$3</f>
        <v>0</v>
      </c>
      <c r="EY14" s="6">
        <f>IF(Inputs!$E$8=1,-EY4,0)*Inputs!$E$3</f>
        <v>0</v>
      </c>
      <c r="EZ14" s="6">
        <f>IF(Inputs!$E$8=1,-EZ4,0)*Inputs!$E$3</f>
        <v>0</v>
      </c>
      <c r="FA14" s="6">
        <f>IF(Inputs!$E$8=1,-FA4,0)*Inputs!$E$3</f>
        <v>0</v>
      </c>
      <c r="FB14" s="6">
        <f>IF(Inputs!$E$8=1,-FB4,0)*Inputs!$E$3</f>
        <v>0</v>
      </c>
      <c r="FC14" s="6">
        <f>IF(Inputs!$E$8=1,-FC4,0)*Inputs!$E$3</f>
        <v>0</v>
      </c>
      <c r="FD14" s="6">
        <f>IF(Inputs!$E$8=1,-FD4,0)*Inputs!$E$3</f>
        <v>0</v>
      </c>
      <c r="FE14" s="6">
        <f>IF(Inputs!$E$8=1,-FE4,0)*Inputs!$E$3</f>
        <v>0</v>
      </c>
      <c r="FF14" s="6">
        <f>IF(Inputs!$E$8=1,-FF4,0)*Inputs!$E$3</f>
        <v>0</v>
      </c>
      <c r="FG14" s="6">
        <f>IF(Inputs!$E$8=1,-FG4,0)*Inputs!$E$3</f>
        <v>0</v>
      </c>
      <c r="FH14" s="6">
        <f>IF(Inputs!$E$8=1,-FH4,0)*Inputs!$E$3</f>
        <v>0</v>
      </c>
      <c r="FI14" s="6">
        <f>IF(Inputs!$E$8=1,-FI4,0)*Inputs!$E$3</f>
        <v>0</v>
      </c>
      <c r="FJ14" s="6">
        <f>IF(Inputs!$E$8=1,-FJ4,0)*Inputs!$E$3</f>
        <v>0</v>
      </c>
      <c r="FK14" s="6">
        <f>IF(Inputs!$E$8=1,-FK4,0)*Inputs!$E$3</f>
        <v>0</v>
      </c>
      <c r="FL14" s="6">
        <f>IF(Inputs!$E$8=1,-FL4,0)*Inputs!$E$3</f>
        <v>0</v>
      </c>
      <c r="FM14" s="6">
        <f>IF(Inputs!$E$8=1,-FM4,0)*Inputs!$E$3</f>
        <v>0</v>
      </c>
      <c r="FN14" s="6">
        <f>IF(Inputs!$E$8=1,-FN4,0)*Inputs!$E$3</f>
        <v>0</v>
      </c>
      <c r="FO14" s="6">
        <f>IF(Inputs!$E$8=1,-FO4,0)*Inputs!$E$3</f>
        <v>0</v>
      </c>
      <c r="FP14" s="6">
        <f>IF(Inputs!$E$8=1,-FP4,0)*Inputs!$E$3</f>
        <v>0</v>
      </c>
      <c r="FQ14" s="6">
        <f>IF(Inputs!$E$8=1,-FQ4,0)*Inputs!$E$3</f>
        <v>0</v>
      </c>
      <c r="FR14" s="6">
        <f>IF(Inputs!$E$8=1,-FR4,0)*Inputs!$E$3</f>
        <v>0</v>
      </c>
      <c r="FS14" s="6">
        <f>IF(Inputs!$E$8=1,-FS4,0)*Inputs!$E$3</f>
        <v>0</v>
      </c>
      <c r="FT14" s="6">
        <f>IF(Inputs!$E$8=1,-FT4,0)*Inputs!$E$3</f>
        <v>0</v>
      </c>
      <c r="FU14" s="6">
        <f>IF(Inputs!$E$8=1,-FU4,0)*Inputs!$E$3</f>
        <v>0</v>
      </c>
      <c r="FV14" s="6">
        <f>IF(Inputs!$E$8=1,-FV4,0)*Inputs!$E$3</f>
        <v>0</v>
      </c>
      <c r="FW14" s="6">
        <f>IF(Inputs!$E$8=1,-FW4,0)*Inputs!$E$3</f>
        <v>0</v>
      </c>
      <c r="FX14" s="6">
        <f>IF(Inputs!$E$8=1,-FX4,0)*Inputs!$E$3</f>
        <v>0</v>
      </c>
      <c r="FY14" s="6">
        <f>IF(Inputs!$E$8=1,-FY4,0)*Inputs!$E$3</f>
        <v>0</v>
      </c>
      <c r="FZ14" s="6">
        <f>IF(Inputs!$E$8=1,-FZ4,0)*Inputs!$E$3</f>
        <v>0</v>
      </c>
      <c r="GA14" s="6">
        <f>IF(Inputs!$E$8=1,-GA4,0)*Inputs!$E$3</f>
        <v>0</v>
      </c>
      <c r="GB14" s="6">
        <f>IF(Inputs!$E$8=1,-GB4,0)*Inputs!$E$3</f>
        <v>0</v>
      </c>
      <c r="GC14" s="6">
        <f>IF(Inputs!$E$8=1,-GC4,0)*Inputs!$E$3</f>
        <v>0</v>
      </c>
      <c r="GD14" s="6">
        <f>IF(Inputs!$E$8=1,-GD4,0)*Inputs!$E$3</f>
        <v>0</v>
      </c>
      <c r="GE14" s="6">
        <f>IF(Inputs!$E$8=1,-GE4,0)*Inputs!$E$3</f>
        <v>0</v>
      </c>
      <c r="GF14" s="6">
        <f>IF(Inputs!$E$8=1,-GF4,0)*Inputs!$E$3</f>
        <v>0</v>
      </c>
      <c r="GG14" s="6">
        <f>IF(Inputs!$E$8=1,-GG4,0)*Inputs!$E$3</f>
        <v>0</v>
      </c>
      <c r="GH14" s="6">
        <f>IF(Inputs!$E$8=1,-GH4,0)*Inputs!$E$3</f>
        <v>0</v>
      </c>
      <c r="GI14" s="6">
        <f>IF(Inputs!$E$8=1,-GI4,0)*Inputs!$E$3</f>
        <v>0</v>
      </c>
      <c r="GJ14" s="6">
        <f>IF(Inputs!$E$8=1,-GJ4,0)*Inputs!$E$3</f>
        <v>0</v>
      </c>
      <c r="GK14" s="6">
        <f>IF(Inputs!$E$8=1,-GK4,0)*Inputs!$E$3</f>
        <v>0</v>
      </c>
      <c r="GL14" s="6">
        <f>IF(Inputs!$E$8=1,-GL4,0)*Inputs!$E$3</f>
        <v>0</v>
      </c>
      <c r="GM14" s="6">
        <f>IF(Inputs!$E$8=1,-GM4,0)*Inputs!$E$3</f>
        <v>0</v>
      </c>
      <c r="GN14" s="6">
        <f>IF(Inputs!$E$8=1,-GN4,0)*Inputs!$E$3</f>
        <v>0</v>
      </c>
      <c r="GO14" s="6">
        <f>IF(Inputs!$E$8=1,-GO4,0)*Inputs!$E$3</f>
        <v>0</v>
      </c>
      <c r="GP14" s="6">
        <f>IF(Inputs!$E$8=1,-GP4,0)*Inputs!$E$3</f>
        <v>0</v>
      </c>
      <c r="GQ14" s="6">
        <f>IF(Inputs!$E$8=1,-GQ4,0)*Inputs!$E$3</f>
        <v>0</v>
      </c>
      <c r="GR14" s="6">
        <f>IF(Inputs!$E$8=1,-GR4,0)*Inputs!$E$3</f>
        <v>0</v>
      </c>
      <c r="GS14" s="6">
        <f>IF(Inputs!$E$8=1,-GS4,0)*Inputs!$E$3</f>
        <v>0</v>
      </c>
      <c r="GT14" s="6">
        <f>IF(Inputs!$E$8=1,-GT4,0)*Inputs!$E$3</f>
        <v>0</v>
      </c>
      <c r="GU14" s="6">
        <f>IF(Inputs!$E$8=1,-GU4,0)*Inputs!$E$3</f>
        <v>0</v>
      </c>
      <c r="GV14" s="6">
        <f>IF(Inputs!$E$8=1,-GV4,0)*Inputs!$E$3</f>
        <v>0</v>
      </c>
      <c r="GW14" s="6">
        <f>IF(Inputs!$E$8=1,-GW4,0)*Inputs!$E$3</f>
        <v>0</v>
      </c>
      <c r="GX14" s="6">
        <f>IF(Inputs!$E$8=1,-GX4,0)*Inputs!$E$3</f>
        <v>0</v>
      </c>
      <c r="GY14" s="6">
        <f>IF(Inputs!$E$8=1,-GY4,0)*Inputs!$E$3</f>
        <v>0</v>
      </c>
      <c r="GZ14" s="6">
        <f>IF(Inputs!$E$8=1,-GZ4,0)*Inputs!$E$3</f>
        <v>0</v>
      </c>
      <c r="HA14" s="6">
        <f>IF(Inputs!$E$8=1,-HA4,0)*Inputs!$E$3</f>
        <v>0</v>
      </c>
      <c r="HB14" s="6">
        <f>IF(Inputs!$E$8=1,-HB4,0)*Inputs!$E$3</f>
        <v>0</v>
      </c>
      <c r="HC14" s="6">
        <f>IF(Inputs!$E$8=1,-HC4,0)*Inputs!$E$3</f>
        <v>0</v>
      </c>
      <c r="HD14" s="6">
        <f>IF(Inputs!$E$8=1,-HD4,0)*Inputs!$E$3</f>
        <v>0</v>
      </c>
      <c r="HE14" s="6">
        <f>IF(Inputs!$E$8=1,-HE4,0)*Inputs!$E$3</f>
        <v>0</v>
      </c>
      <c r="HF14" s="6">
        <f>IF(Inputs!$E$8=1,-HF4,0)*Inputs!$E$3</f>
        <v>0</v>
      </c>
      <c r="HG14" s="6">
        <f>IF(Inputs!$E$8=1,-HG4,0)*Inputs!$E$3</f>
        <v>0</v>
      </c>
      <c r="HH14" s="6">
        <f>IF(Inputs!$E$8=1,-HH4,0)*Inputs!$E$3</f>
        <v>0</v>
      </c>
      <c r="HI14" s="6">
        <f>IF(Inputs!$E$8=1,-HI4,0)*Inputs!$E$3</f>
        <v>0</v>
      </c>
      <c r="HJ14" s="6">
        <f>IF(Inputs!$E$8=1,-HJ4,0)*Inputs!$E$3</f>
        <v>0</v>
      </c>
      <c r="HK14" s="6">
        <f>IF(Inputs!$E$8=1,-HK4,0)*Inputs!$E$3</f>
        <v>0</v>
      </c>
      <c r="HL14" s="6">
        <f>IF(Inputs!$E$8=1,-HL4,0)*Inputs!$E$3</f>
        <v>0</v>
      </c>
      <c r="HM14" s="6">
        <f>IF(Inputs!$E$8=1,-HM4,0)*Inputs!$E$3</f>
        <v>0</v>
      </c>
      <c r="HN14" s="6">
        <f>IF(Inputs!$E$8=1,-HN4,0)*Inputs!$E$3</f>
        <v>0</v>
      </c>
      <c r="HO14" s="6">
        <f>IF(Inputs!$E$8=1,-HO4,0)*Inputs!$E$3</f>
        <v>0</v>
      </c>
      <c r="HP14" s="6">
        <f>IF(Inputs!$E$8=1,-HP4,0)*Inputs!$E$3</f>
        <v>0</v>
      </c>
      <c r="HQ14" s="6">
        <f>IF(Inputs!$E$8=1,-HQ4,0)*Inputs!$E$3</f>
        <v>0</v>
      </c>
      <c r="HR14" s="6">
        <f>IF(Inputs!$E$8=1,-HR4,0)*Inputs!$E$3</f>
        <v>0</v>
      </c>
      <c r="HS14" s="6">
        <f>IF(Inputs!$E$8=1,-HS4,0)*Inputs!$E$3</f>
        <v>0</v>
      </c>
      <c r="HT14" s="6">
        <f>IF(Inputs!$E$8=1,-HT4,0)*Inputs!$E$3</f>
        <v>0</v>
      </c>
      <c r="HU14" s="6">
        <f>IF(Inputs!$E$8=1,-HU4,0)*Inputs!$E$3</f>
        <v>0</v>
      </c>
      <c r="HV14" s="6">
        <f>IF(Inputs!$E$8=1,-HV4,0)*Inputs!$E$3</f>
        <v>0</v>
      </c>
      <c r="HW14" s="6">
        <f>IF(Inputs!$E$8=1,-HW4,0)*Inputs!$E$3</f>
        <v>0</v>
      </c>
      <c r="HX14" s="6">
        <f>IF(Inputs!$E$8=1,-HX4,0)*Inputs!$E$3</f>
        <v>0</v>
      </c>
      <c r="HY14" s="6">
        <f>IF(Inputs!$E$8=1,-HY4,0)*Inputs!$E$3</f>
        <v>0</v>
      </c>
      <c r="HZ14" s="6">
        <f>IF(Inputs!$E$8=1,-HZ4,0)*Inputs!$E$3</f>
        <v>0</v>
      </c>
      <c r="IA14" s="6">
        <f>IF(Inputs!$E$8=1,-IA4,0)*Inputs!$E$3</f>
        <v>0</v>
      </c>
      <c r="IB14" s="6">
        <f>IF(Inputs!$E$8=1,-IB4,0)*Inputs!$E$3</f>
        <v>0</v>
      </c>
      <c r="IC14" s="6">
        <f>IF(Inputs!$E$8=1,-IC4,0)*Inputs!$E$3</f>
        <v>0</v>
      </c>
      <c r="ID14" s="6">
        <f>IF(Inputs!$E$8=1,-ID4,0)*Inputs!$E$3</f>
        <v>0</v>
      </c>
      <c r="IE14" s="6">
        <f>IF(Inputs!$E$8=1,-IE4,0)*Inputs!$E$3</f>
        <v>0</v>
      </c>
      <c r="IF14" s="6">
        <f>IF(Inputs!$E$8=1,-IF4,0)*Inputs!$E$3</f>
        <v>0</v>
      </c>
      <c r="IG14" s="6">
        <f>IF(Inputs!$E$8=1,-IG4,0)*Inputs!$E$3</f>
        <v>0</v>
      </c>
      <c r="IH14" s="6">
        <f>IF(Inputs!$E$8=1,-IH4,0)*Inputs!$E$3</f>
        <v>0</v>
      </c>
      <c r="II14" s="6">
        <f>IF(Inputs!$E$8=1,-II4,0)*Inputs!$E$3</f>
        <v>0</v>
      </c>
      <c r="IJ14" s="6">
        <f>IF(Inputs!$E$8=1,-IJ4,0)*Inputs!$E$3</f>
        <v>0</v>
      </c>
      <c r="IK14" s="6">
        <f>IF(Inputs!$E$8=1,-IK4,0)*Inputs!$E$3</f>
        <v>0</v>
      </c>
      <c r="IL14" s="6">
        <f>IF(Inputs!$E$8=1,-IL4,0)*Inputs!$E$3</f>
        <v>0</v>
      </c>
      <c r="IM14" s="6">
        <f>IF(Inputs!$E$8=1,-IM4,0)*Inputs!$E$3</f>
        <v>0</v>
      </c>
      <c r="IN14" s="6">
        <f>IF(Inputs!$E$8=1,-IN4,0)*Inputs!$E$3</f>
        <v>0</v>
      </c>
      <c r="IO14" s="6">
        <f>IF(Inputs!$E$8=1,-IO4,0)*Inputs!$E$3</f>
        <v>0</v>
      </c>
      <c r="IP14" s="6">
        <f>IF(Inputs!$E$8=1,-IP4,0)*Inputs!$E$3</f>
        <v>0</v>
      </c>
      <c r="IQ14" s="6">
        <f>IF(Inputs!$E$8=1,-IQ4,0)*Inputs!$E$3</f>
        <v>0</v>
      </c>
      <c r="IR14" s="6">
        <f>IF(Inputs!$E$8=1,-IR4,0)*Inputs!$E$3</f>
        <v>0</v>
      </c>
      <c r="IS14" s="6">
        <f>IF(Inputs!$E$8=1,-IS4,0)*Inputs!$E$3</f>
        <v>0</v>
      </c>
      <c r="IT14" s="6">
        <f>IF(Inputs!$E$8=1,-IT4,0)*Inputs!$E$3</f>
        <v>0</v>
      </c>
      <c r="IU14" s="6">
        <f>IF(Inputs!$E$8=1,-IU4,0)*Inputs!$E$3</f>
        <v>0</v>
      </c>
      <c r="IV14" s="6">
        <f>IF(Inputs!$E$8=1,-IV4,0)*Inputs!$E$3</f>
        <v>0</v>
      </c>
      <c r="IW14" s="6">
        <f>IF(Inputs!$E$8=1,-IW4,0)*Inputs!$E$3</f>
        <v>0</v>
      </c>
      <c r="IX14" s="6">
        <f>IF(Inputs!$E$8=1,-IX4,0)*Inputs!$E$3</f>
        <v>0</v>
      </c>
      <c r="IY14" s="6">
        <f>IF(Inputs!$E$8=1,-IY4,0)*Inputs!$E$3</f>
        <v>0</v>
      </c>
      <c r="IZ14" s="6">
        <f>IF(Inputs!$E$8=1,-IZ4,0)*Inputs!$E$3</f>
        <v>0</v>
      </c>
      <c r="JA14" s="6">
        <f>IF(Inputs!$E$8=1,-JA4,0)*Inputs!$E$3</f>
        <v>0</v>
      </c>
      <c r="JB14" s="6">
        <f>IF(Inputs!$E$8=1,-JB4,0)*Inputs!$E$3</f>
        <v>0</v>
      </c>
      <c r="JC14" s="6">
        <f>IF(Inputs!$E$8=1,-JC4,0)*Inputs!$E$3</f>
        <v>0</v>
      </c>
      <c r="JD14" s="6">
        <f>IF(Inputs!$E$8=1,-JD4,0)*Inputs!$E$3</f>
        <v>0</v>
      </c>
      <c r="JE14" s="6">
        <f>IF(Inputs!$E$8=1,-JE4,0)*Inputs!$E$3</f>
        <v>0</v>
      </c>
      <c r="JF14" s="6">
        <f>IF(Inputs!$E$8=1,-JF4,0)*Inputs!$E$3</f>
        <v>0</v>
      </c>
      <c r="JG14" s="6">
        <f>IF(Inputs!$E$8=1,-JG4,0)*Inputs!$E$3</f>
        <v>0</v>
      </c>
      <c r="JH14" s="6">
        <f>IF(Inputs!$E$8=1,-JH4,0)*Inputs!$E$3</f>
        <v>0</v>
      </c>
      <c r="JI14" s="6">
        <f>IF(Inputs!$E$8=1,-JI4,0)*Inputs!$E$3</f>
        <v>0</v>
      </c>
      <c r="JJ14" s="6">
        <f>IF(Inputs!$E$8=1,-JJ4,0)*Inputs!$E$3</f>
        <v>0</v>
      </c>
      <c r="JK14" s="6">
        <f>IF(Inputs!$E$8=1,-JK4,0)*Inputs!$E$3</f>
        <v>0</v>
      </c>
      <c r="JL14" s="6">
        <f>IF(Inputs!$E$8=1,-JL4,0)*Inputs!$E$3</f>
        <v>0</v>
      </c>
      <c r="JM14" s="6">
        <f>IF(Inputs!$E$8=1,-JM4,0)*Inputs!$E$3</f>
        <v>0</v>
      </c>
      <c r="JN14" s="6">
        <f>IF(Inputs!$E$8=1,-JN4,0)*Inputs!$E$3</f>
        <v>0</v>
      </c>
      <c r="JO14" s="6">
        <f>IF(Inputs!$E$8=1,-JO4,0)*Inputs!$E$3</f>
        <v>0</v>
      </c>
      <c r="JP14" s="6">
        <f>IF(Inputs!$E$8=1,-JP4,0)*Inputs!$E$3</f>
        <v>0</v>
      </c>
      <c r="JQ14" s="6">
        <f>IF(Inputs!$E$8=1,-JQ4,0)*Inputs!$E$3</f>
        <v>0</v>
      </c>
      <c r="JR14" s="6">
        <f>IF(Inputs!$E$8=1,-JR4,0)*Inputs!$E$3</f>
        <v>0</v>
      </c>
      <c r="JS14" s="6">
        <f>IF(Inputs!$E$8=1,-JS4,0)*Inputs!$E$3</f>
        <v>0</v>
      </c>
      <c r="JT14" s="6">
        <f>IF(Inputs!$E$8=1,-JT4,0)*Inputs!$E$3</f>
        <v>0</v>
      </c>
      <c r="JU14" s="6">
        <f>IF(Inputs!$E$8=1,-JU4,0)*Inputs!$E$3</f>
        <v>0</v>
      </c>
      <c r="JV14" s="6">
        <f>IF(Inputs!$E$8=1,-JV4,0)*Inputs!$E$3</f>
        <v>0</v>
      </c>
      <c r="JW14" s="6">
        <f>IF(Inputs!$E$8=1,-JW4,0)*Inputs!$E$3</f>
        <v>0</v>
      </c>
      <c r="JX14" s="6">
        <f>IF(Inputs!$E$8=1,-JX4,0)*Inputs!$E$3</f>
        <v>0</v>
      </c>
      <c r="JY14" s="6">
        <f>IF(Inputs!$E$8=1,-JY4,0)*Inputs!$E$3</f>
        <v>0</v>
      </c>
      <c r="JZ14" s="6">
        <f>IF(Inputs!$E$8=1,-JZ4,0)*Inputs!$E$3</f>
        <v>0</v>
      </c>
      <c r="KA14" s="6">
        <f>IF(Inputs!$E$8=1,-KA4,0)*Inputs!$E$3</f>
        <v>0</v>
      </c>
      <c r="KB14" s="6">
        <f>IF(Inputs!$E$8=1,-KB4,0)*Inputs!$E$3</f>
        <v>0</v>
      </c>
      <c r="KC14" s="6">
        <f>IF(Inputs!$E$8=1,-KC4,0)*Inputs!$E$3</f>
        <v>0</v>
      </c>
      <c r="KD14" s="6">
        <f>IF(Inputs!$E$8=1,-KD4,0)*Inputs!$E$3</f>
        <v>0</v>
      </c>
      <c r="KE14" s="6">
        <f>IF(Inputs!$E$8=1,-KE4,0)*Inputs!$E$3</f>
        <v>0</v>
      </c>
      <c r="KF14" s="6">
        <f>IF(Inputs!$E$8=1,-KF4,0)*Inputs!$E$3</f>
        <v>0</v>
      </c>
      <c r="KG14" s="6">
        <f>IF(Inputs!$E$8=1,-KG4,0)*Inputs!$E$3</f>
        <v>0</v>
      </c>
      <c r="KH14" s="6">
        <f>IF(Inputs!$E$8=1,-KH4,0)*Inputs!$E$3</f>
        <v>0</v>
      </c>
      <c r="KI14" s="6">
        <f>IF(Inputs!$E$8=1,-KI4,0)*Inputs!$E$3</f>
        <v>0</v>
      </c>
      <c r="KJ14" s="6">
        <f>IF(Inputs!$E$8=1,-KJ4,0)*Inputs!$E$3</f>
        <v>0</v>
      </c>
      <c r="KK14" s="6">
        <f>IF(Inputs!$E$8=1,-KK4,0)*Inputs!$E$3</f>
        <v>0</v>
      </c>
      <c r="KL14" s="6">
        <f>IF(Inputs!$E$8=1,-KL4,0)*Inputs!$E$3</f>
        <v>0</v>
      </c>
      <c r="KM14" s="6">
        <f>IF(Inputs!$E$8=1,-KM4,0)*Inputs!$E$3</f>
        <v>0</v>
      </c>
      <c r="KN14" s="6">
        <f>IF(Inputs!$E$8=1,-KN4,0)*Inputs!$E$3</f>
        <v>0</v>
      </c>
      <c r="KO14" s="6">
        <f>IF(Inputs!$E$8=1,-KO4,0)*Inputs!$E$3</f>
        <v>0</v>
      </c>
      <c r="KP14" s="6">
        <f>IF(Inputs!$E$8=1,-KP4,0)*Inputs!$E$3</f>
        <v>0</v>
      </c>
      <c r="KQ14" s="6">
        <f>IF(Inputs!$E$8=1,-KQ4,0)*Inputs!$E$3</f>
        <v>0</v>
      </c>
      <c r="KR14" s="6">
        <f>IF(Inputs!$E$8=1,-KR4,0)*Inputs!$E$3</f>
        <v>0</v>
      </c>
      <c r="KS14" s="6">
        <f>IF(Inputs!$E$8=1,-KS4,0)*Inputs!$E$3</f>
        <v>0</v>
      </c>
    </row>
    <row r="15" spans="2:16384">
      <c r="B15" s="21" t="s">
        <v>27</v>
      </c>
      <c r="C15" s="22">
        <f>IF(Inputs!$E$8=1,Inputs!E13,0)</f>
        <v>0.05</v>
      </c>
      <c r="E15" s="6">
        <v>0</v>
      </c>
      <c r="F15" s="6">
        <f t="shared" ref="F15:BP15" si="10">ROUND(IF(((F14+F13)*$C15/12)&lt;0,0,((F14+F13)*$C15/12)),5)</f>
        <v>680</v>
      </c>
      <c r="G15" s="6">
        <f t="shared" si="10"/>
        <v>675.95833000000005</v>
      </c>
      <c r="H15" s="6">
        <f t="shared" si="10"/>
        <v>671.89982999999995</v>
      </c>
      <c r="I15" s="6">
        <f t="shared" si="10"/>
        <v>667.82440999999994</v>
      </c>
      <c r="J15" s="6">
        <f t="shared" si="10"/>
        <v>663.73200999999995</v>
      </c>
      <c r="K15" s="6">
        <f t="shared" si="10"/>
        <v>659.62256000000002</v>
      </c>
      <c r="L15" s="6">
        <f t="shared" si="10"/>
        <v>655.49599000000001</v>
      </c>
      <c r="M15" s="6">
        <f t="shared" si="10"/>
        <v>651.35221999999999</v>
      </c>
      <c r="N15" s="6">
        <f t="shared" si="10"/>
        <v>647.19119000000001</v>
      </c>
      <c r="O15" s="6">
        <f t="shared" si="10"/>
        <v>643.01282000000003</v>
      </c>
      <c r="P15" s="6">
        <f t="shared" si="10"/>
        <v>638.81704000000002</v>
      </c>
      <c r="Q15" s="6">
        <f t="shared" si="10"/>
        <v>632.45794000000001</v>
      </c>
      <c r="R15" s="6">
        <f t="shared" si="10"/>
        <v>625.42235000000005</v>
      </c>
      <c r="S15" s="6">
        <f t="shared" si="10"/>
        <v>618.35744</v>
      </c>
      <c r="T15" s="6">
        <f t="shared" si="10"/>
        <v>611.26310000000001</v>
      </c>
      <c r="U15" s="6">
        <f t="shared" si="10"/>
        <v>604.13919999999996</v>
      </c>
      <c r="V15" s="6">
        <f t="shared" si="10"/>
        <v>596.98560999999995</v>
      </c>
      <c r="W15" s="6">
        <f t="shared" si="10"/>
        <v>589.80222000000003</v>
      </c>
      <c r="X15" s="6">
        <f t="shared" si="10"/>
        <v>582.58888999999999</v>
      </c>
      <c r="Y15" s="6">
        <f t="shared" si="10"/>
        <v>575.34550999999999</v>
      </c>
      <c r="Z15" s="6">
        <f t="shared" si="10"/>
        <v>568.07195000000002</v>
      </c>
      <c r="AA15" s="6">
        <f t="shared" si="10"/>
        <v>560.76809000000003</v>
      </c>
      <c r="AB15" s="6">
        <f t="shared" si="10"/>
        <v>553.43379000000004</v>
      </c>
      <c r="AC15" s="6">
        <f t="shared" si="10"/>
        <v>546.06893000000002</v>
      </c>
      <c r="AD15" s="6">
        <f t="shared" si="10"/>
        <v>538.01038000000005</v>
      </c>
      <c r="AE15" s="6">
        <f t="shared" si="10"/>
        <v>529.91826000000003</v>
      </c>
      <c r="AF15" s="6">
        <f t="shared" si="10"/>
        <v>521.79241999999999</v>
      </c>
      <c r="AG15" s="6">
        <f t="shared" si="10"/>
        <v>513.63271999999995</v>
      </c>
      <c r="AH15" s="6">
        <f t="shared" si="10"/>
        <v>505.43902000000003</v>
      </c>
      <c r="AI15" s="6">
        <f t="shared" si="10"/>
        <v>497.21118000000001</v>
      </c>
      <c r="AJ15" s="6">
        <f t="shared" si="10"/>
        <v>488.94905999999997</v>
      </c>
      <c r="AK15" s="6">
        <f t="shared" si="10"/>
        <v>480.65251999999998</v>
      </c>
      <c r="AL15" s="6">
        <f t="shared" si="10"/>
        <v>472.32139999999998</v>
      </c>
      <c r="AM15" s="6">
        <f t="shared" si="10"/>
        <v>463.95558</v>
      </c>
      <c r="AN15" s="6">
        <f t="shared" si="10"/>
        <v>455.55489</v>
      </c>
      <c r="AO15" s="6">
        <f t="shared" si="10"/>
        <v>447.11919999999998</v>
      </c>
      <c r="AP15" s="6">
        <f t="shared" si="10"/>
        <v>447.90433000000002</v>
      </c>
      <c r="AQ15" s="6">
        <f t="shared" si="10"/>
        <v>444.31801000000002</v>
      </c>
      <c r="AR15" s="6">
        <f t="shared" si="10"/>
        <v>442.58125999999999</v>
      </c>
      <c r="AS15" s="6">
        <f t="shared" si="10"/>
        <v>442.36365999999998</v>
      </c>
      <c r="AT15" s="6">
        <f t="shared" si="10"/>
        <v>438.07299</v>
      </c>
      <c r="AU15" s="6">
        <f t="shared" si="10"/>
        <v>439.28424000000001</v>
      </c>
      <c r="AV15" s="6">
        <f t="shared" si="10"/>
        <v>435.80126000000001</v>
      </c>
      <c r="AW15" s="6">
        <f t="shared" si="10"/>
        <v>433.34809000000001</v>
      </c>
      <c r="AX15" s="6">
        <f t="shared" si="10"/>
        <v>428.95236</v>
      </c>
      <c r="AY15" s="6">
        <f t="shared" si="10"/>
        <v>423.65731</v>
      </c>
      <c r="AZ15" s="6">
        <f t="shared" si="10"/>
        <v>414.41264999999999</v>
      </c>
      <c r="BA15" s="6">
        <f t="shared" si="10"/>
        <v>405.12947000000003</v>
      </c>
      <c r="BB15" s="6">
        <f t="shared" si="10"/>
        <v>395.11842999999999</v>
      </c>
      <c r="BC15" s="6">
        <f t="shared" si="10"/>
        <v>385.06567999999999</v>
      </c>
      <c r="BD15" s="6">
        <f t="shared" si="10"/>
        <v>374.97104000000002</v>
      </c>
      <c r="BE15" s="6">
        <f t="shared" si="10"/>
        <v>364.83434</v>
      </c>
      <c r="BF15" s="6">
        <f t="shared" si="10"/>
        <v>354.65539999999999</v>
      </c>
      <c r="BG15" s="6">
        <f t="shared" si="10"/>
        <v>344.43405999999999</v>
      </c>
      <c r="BH15" s="6">
        <f t="shared" si="10"/>
        <v>334.17012</v>
      </c>
      <c r="BI15" s="6">
        <f t="shared" si="10"/>
        <v>323.86340999999999</v>
      </c>
      <c r="BJ15" s="6">
        <f t="shared" si="10"/>
        <v>313.51377000000002</v>
      </c>
      <c r="BK15" s="6">
        <f t="shared" si="10"/>
        <v>303.12099000000001</v>
      </c>
      <c r="BL15" s="6">
        <f t="shared" si="10"/>
        <v>292.68491999999998</v>
      </c>
      <c r="BM15" s="6">
        <f t="shared" si="10"/>
        <v>282.20535999999998</v>
      </c>
      <c r="BN15" s="6">
        <f t="shared" si="10"/>
        <v>270.97980999999999</v>
      </c>
      <c r="BO15" s="6">
        <f t="shared" si="10"/>
        <v>259.70747999999998</v>
      </c>
      <c r="BP15" s="6">
        <f t="shared" si="10"/>
        <v>248.38818000000001</v>
      </c>
      <c r="BQ15" s="6">
        <f t="shared" ref="BQ15:EB15" si="11">ROUND(IF(((BQ14+BQ13)*$C15/12)&lt;0,0,((BQ14+BQ13)*$C15/12)),5)</f>
        <v>237.02171999999999</v>
      </c>
      <c r="BR15" s="6">
        <f t="shared" si="11"/>
        <v>225.6079</v>
      </c>
      <c r="BS15" s="6">
        <f t="shared" si="11"/>
        <v>214.14652000000001</v>
      </c>
      <c r="BT15" s="6">
        <f t="shared" si="11"/>
        <v>202.63739000000001</v>
      </c>
      <c r="BU15" s="6">
        <f t="shared" si="11"/>
        <v>191.08029999999999</v>
      </c>
      <c r="BV15" s="6">
        <f t="shared" si="11"/>
        <v>179.47506000000001</v>
      </c>
      <c r="BW15" s="6">
        <f t="shared" si="11"/>
        <v>167.82146</v>
      </c>
      <c r="BX15" s="6">
        <f t="shared" si="11"/>
        <v>156.11931000000001</v>
      </c>
      <c r="BY15" s="6">
        <f t="shared" si="11"/>
        <v>144.36839000000001</v>
      </c>
      <c r="BZ15" s="6">
        <f t="shared" si="11"/>
        <v>131.85301999999999</v>
      </c>
      <c r="CA15" s="6">
        <f t="shared" si="11"/>
        <v>119.28549</v>
      </c>
      <c r="CB15" s="6">
        <f t="shared" si="11"/>
        <v>106.66561</v>
      </c>
      <c r="CC15" s="6">
        <f t="shared" si="11"/>
        <v>93.993129999999994</v>
      </c>
      <c r="CD15" s="6">
        <f t="shared" si="11"/>
        <v>81.267859999999999</v>
      </c>
      <c r="CE15" s="6">
        <f t="shared" si="11"/>
        <v>68.489570000000001</v>
      </c>
      <c r="CF15" s="6">
        <f t="shared" si="11"/>
        <v>55.658029999999997</v>
      </c>
      <c r="CG15" s="6">
        <f t="shared" si="11"/>
        <v>42.773029999999999</v>
      </c>
      <c r="CH15" s="6">
        <f t="shared" si="11"/>
        <v>29.834340000000001</v>
      </c>
      <c r="CI15" s="6">
        <f t="shared" si="11"/>
        <v>16.841729999999998</v>
      </c>
      <c r="CJ15" s="6">
        <f t="shared" si="11"/>
        <v>3.7949999999999999</v>
      </c>
      <c r="CK15" s="6">
        <f t="shared" si="11"/>
        <v>0</v>
      </c>
      <c r="CL15" s="6">
        <f t="shared" si="11"/>
        <v>0</v>
      </c>
      <c r="CM15" s="6">
        <f t="shared" si="11"/>
        <v>0</v>
      </c>
      <c r="CN15" s="6">
        <f t="shared" si="11"/>
        <v>0</v>
      </c>
      <c r="CO15" s="6">
        <f t="shared" si="11"/>
        <v>0</v>
      </c>
      <c r="CP15" s="6">
        <f t="shared" si="11"/>
        <v>0</v>
      </c>
      <c r="CQ15" s="6">
        <f t="shared" si="11"/>
        <v>0</v>
      </c>
      <c r="CR15" s="6">
        <f t="shared" si="11"/>
        <v>0</v>
      </c>
      <c r="CS15" s="6">
        <f t="shared" si="11"/>
        <v>0</v>
      </c>
      <c r="CT15" s="6">
        <f t="shared" si="11"/>
        <v>0</v>
      </c>
      <c r="CU15" s="6">
        <f t="shared" si="11"/>
        <v>0</v>
      </c>
      <c r="CV15" s="6">
        <f t="shared" si="11"/>
        <v>0</v>
      </c>
      <c r="CW15" s="6">
        <f t="shared" si="11"/>
        <v>0</v>
      </c>
      <c r="CX15" s="6">
        <f t="shared" si="11"/>
        <v>0</v>
      </c>
      <c r="CY15" s="6">
        <f t="shared" si="11"/>
        <v>0</v>
      </c>
      <c r="CZ15" s="6">
        <f t="shared" si="11"/>
        <v>0</v>
      </c>
      <c r="DA15" s="6">
        <f t="shared" si="11"/>
        <v>0</v>
      </c>
      <c r="DB15" s="6">
        <f t="shared" si="11"/>
        <v>0</v>
      </c>
      <c r="DC15" s="6">
        <f t="shared" si="11"/>
        <v>0</v>
      </c>
      <c r="DD15" s="6">
        <f t="shared" si="11"/>
        <v>0</v>
      </c>
      <c r="DE15" s="6">
        <f t="shared" si="11"/>
        <v>0</v>
      </c>
      <c r="DF15" s="6">
        <f t="shared" si="11"/>
        <v>0</v>
      </c>
      <c r="DG15" s="6">
        <f t="shared" si="11"/>
        <v>0</v>
      </c>
      <c r="DH15" s="6">
        <f t="shared" si="11"/>
        <v>0</v>
      </c>
      <c r="DI15" s="6">
        <f t="shared" si="11"/>
        <v>0</v>
      </c>
      <c r="DJ15" s="6">
        <f t="shared" si="11"/>
        <v>0</v>
      </c>
      <c r="DK15" s="6">
        <f t="shared" si="11"/>
        <v>0</v>
      </c>
      <c r="DL15" s="6">
        <f t="shared" si="11"/>
        <v>0</v>
      </c>
      <c r="DM15" s="6">
        <f t="shared" si="11"/>
        <v>0</v>
      </c>
      <c r="DN15" s="6">
        <f t="shared" si="11"/>
        <v>0</v>
      </c>
      <c r="DO15" s="6">
        <f t="shared" si="11"/>
        <v>0</v>
      </c>
      <c r="DP15" s="6">
        <f t="shared" si="11"/>
        <v>0</v>
      </c>
      <c r="DQ15" s="6">
        <f t="shared" si="11"/>
        <v>0</v>
      </c>
      <c r="DR15" s="6">
        <f t="shared" si="11"/>
        <v>0</v>
      </c>
      <c r="DS15" s="6">
        <f t="shared" si="11"/>
        <v>0</v>
      </c>
      <c r="DT15" s="6">
        <f t="shared" si="11"/>
        <v>0</v>
      </c>
      <c r="DU15" s="6">
        <f t="shared" si="11"/>
        <v>0</v>
      </c>
      <c r="DV15" s="6">
        <f t="shared" si="11"/>
        <v>0</v>
      </c>
      <c r="DW15" s="6">
        <f t="shared" si="11"/>
        <v>0</v>
      </c>
      <c r="DX15" s="6">
        <f t="shared" si="11"/>
        <v>0</v>
      </c>
      <c r="DY15" s="6">
        <f t="shared" si="11"/>
        <v>0</v>
      </c>
      <c r="DZ15" s="6">
        <f t="shared" si="11"/>
        <v>0</v>
      </c>
      <c r="EA15" s="6">
        <f t="shared" si="11"/>
        <v>0</v>
      </c>
      <c r="EB15" s="6">
        <f t="shared" si="11"/>
        <v>0</v>
      </c>
      <c r="EC15" s="6">
        <f t="shared" ref="EC15:GN15" si="12">ROUND(IF(((EC14+EC13)*$C15/12)&lt;0,0,((EC14+EC13)*$C15/12)),5)</f>
        <v>0</v>
      </c>
      <c r="ED15" s="6">
        <f t="shared" si="12"/>
        <v>0</v>
      </c>
      <c r="EE15" s="6">
        <f t="shared" si="12"/>
        <v>0</v>
      </c>
      <c r="EF15" s="6">
        <f t="shared" si="12"/>
        <v>0</v>
      </c>
      <c r="EG15" s="6">
        <f t="shared" si="12"/>
        <v>0</v>
      </c>
      <c r="EH15" s="6">
        <f t="shared" si="12"/>
        <v>0</v>
      </c>
      <c r="EI15" s="6">
        <f t="shared" si="12"/>
        <v>0</v>
      </c>
      <c r="EJ15" s="6">
        <f t="shared" si="12"/>
        <v>0</v>
      </c>
      <c r="EK15" s="6">
        <f t="shared" si="12"/>
        <v>0</v>
      </c>
      <c r="EL15" s="6">
        <f t="shared" si="12"/>
        <v>0</v>
      </c>
      <c r="EM15" s="6">
        <f t="shared" si="12"/>
        <v>0</v>
      </c>
      <c r="EN15" s="6">
        <f t="shared" si="12"/>
        <v>0</v>
      </c>
      <c r="EO15" s="6">
        <f t="shared" si="12"/>
        <v>0</v>
      </c>
      <c r="EP15" s="6">
        <f t="shared" si="12"/>
        <v>0</v>
      </c>
      <c r="EQ15" s="6">
        <f t="shared" si="12"/>
        <v>0</v>
      </c>
      <c r="ER15" s="6">
        <f t="shared" si="12"/>
        <v>0</v>
      </c>
      <c r="ES15" s="6">
        <f t="shared" si="12"/>
        <v>0</v>
      </c>
      <c r="ET15" s="6">
        <f t="shared" si="12"/>
        <v>0</v>
      </c>
      <c r="EU15" s="6">
        <f t="shared" si="12"/>
        <v>0</v>
      </c>
      <c r="EV15" s="6">
        <f t="shared" si="12"/>
        <v>0</v>
      </c>
      <c r="EW15" s="6">
        <f t="shared" si="12"/>
        <v>0</v>
      </c>
      <c r="EX15" s="6">
        <f t="shared" si="12"/>
        <v>0</v>
      </c>
      <c r="EY15" s="6">
        <f t="shared" si="12"/>
        <v>0</v>
      </c>
      <c r="EZ15" s="6">
        <f t="shared" si="12"/>
        <v>0</v>
      </c>
      <c r="FA15" s="6">
        <f t="shared" si="12"/>
        <v>0</v>
      </c>
      <c r="FB15" s="6">
        <f t="shared" si="12"/>
        <v>0</v>
      </c>
      <c r="FC15" s="6">
        <f t="shared" si="12"/>
        <v>0</v>
      </c>
      <c r="FD15" s="6">
        <f t="shared" si="12"/>
        <v>0</v>
      </c>
      <c r="FE15" s="6">
        <f t="shared" si="12"/>
        <v>0</v>
      </c>
      <c r="FF15" s="6">
        <f t="shared" si="12"/>
        <v>0</v>
      </c>
      <c r="FG15" s="6">
        <f t="shared" si="12"/>
        <v>0</v>
      </c>
      <c r="FH15" s="6">
        <f t="shared" si="12"/>
        <v>0</v>
      </c>
      <c r="FI15" s="6">
        <f t="shared" si="12"/>
        <v>0</v>
      </c>
      <c r="FJ15" s="6">
        <f t="shared" si="12"/>
        <v>0</v>
      </c>
      <c r="FK15" s="6">
        <f t="shared" si="12"/>
        <v>0</v>
      </c>
      <c r="FL15" s="6">
        <f t="shared" si="12"/>
        <v>0</v>
      </c>
      <c r="FM15" s="6">
        <f t="shared" si="12"/>
        <v>0</v>
      </c>
      <c r="FN15" s="6">
        <f t="shared" si="12"/>
        <v>0</v>
      </c>
      <c r="FO15" s="6">
        <f t="shared" si="12"/>
        <v>0</v>
      </c>
      <c r="FP15" s="6">
        <f t="shared" si="12"/>
        <v>0</v>
      </c>
      <c r="FQ15" s="6">
        <f t="shared" si="12"/>
        <v>0</v>
      </c>
      <c r="FR15" s="6">
        <f t="shared" si="12"/>
        <v>0</v>
      </c>
      <c r="FS15" s="6">
        <f t="shared" si="12"/>
        <v>0</v>
      </c>
      <c r="FT15" s="6">
        <f t="shared" si="12"/>
        <v>0</v>
      </c>
      <c r="FU15" s="6">
        <f t="shared" si="12"/>
        <v>0</v>
      </c>
      <c r="FV15" s="6">
        <f t="shared" si="12"/>
        <v>0</v>
      </c>
      <c r="FW15" s="6">
        <f t="shared" si="12"/>
        <v>0</v>
      </c>
      <c r="FX15" s="6">
        <f t="shared" si="12"/>
        <v>0</v>
      </c>
      <c r="FY15" s="6">
        <f t="shared" si="12"/>
        <v>0</v>
      </c>
      <c r="FZ15" s="6">
        <f t="shared" si="12"/>
        <v>0</v>
      </c>
      <c r="GA15" s="6">
        <f t="shared" si="12"/>
        <v>0</v>
      </c>
      <c r="GB15" s="6">
        <f t="shared" si="12"/>
        <v>0</v>
      </c>
      <c r="GC15" s="6">
        <f t="shared" si="12"/>
        <v>0</v>
      </c>
      <c r="GD15" s="6">
        <f t="shared" si="12"/>
        <v>0</v>
      </c>
      <c r="GE15" s="6">
        <f t="shared" si="12"/>
        <v>0</v>
      </c>
      <c r="GF15" s="6">
        <f t="shared" si="12"/>
        <v>0</v>
      </c>
      <c r="GG15" s="6">
        <f t="shared" si="12"/>
        <v>0</v>
      </c>
      <c r="GH15" s="6">
        <f t="shared" si="12"/>
        <v>0</v>
      </c>
      <c r="GI15" s="6">
        <f t="shared" si="12"/>
        <v>0</v>
      </c>
      <c r="GJ15" s="6">
        <f t="shared" si="12"/>
        <v>0</v>
      </c>
      <c r="GK15" s="6">
        <f t="shared" si="12"/>
        <v>0</v>
      </c>
      <c r="GL15" s="6">
        <f t="shared" si="12"/>
        <v>0</v>
      </c>
      <c r="GM15" s="6">
        <f t="shared" si="12"/>
        <v>0</v>
      </c>
      <c r="GN15" s="6">
        <f t="shared" si="12"/>
        <v>0</v>
      </c>
      <c r="GO15" s="6">
        <f t="shared" ref="GO15:IZ15" si="13">ROUND(IF(((GO14+GO13)*$C15/12)&lt;0,0,((GO14+GO13)*$C15/12)),5)</f>
        <v>0</v>
      </c>
      <c r="GP15" s="6">
        <f t="shared" si="13"/>
        <v>0</v>
      </c>
      <c r="GQ15" s="6">
        <f t="shared" si="13"/>
        <v>0</v>
      </c>
      <c r="GR15" s="6">
        <f t="shared" si="13"/>
        <v>0</v>
      </c>
      <c r="GS15" s="6">
        <f t="shared" si="13"/>
        <v>0</v>
      </c>
      <c r="GT15" s="6">
        <f t="shared" si="13"/>
        <v>0</v>
      </c>
      <c r="GU15" s="6">
        <f t="shared" si="13"/>
        <v>0</v>
      </c>
      <c r="GV15" s="6">
        <f t="shared" si="13"/>
        <v>0</v>
      </c>
      <c r="GW15" s="6">
        <f t="shared" si="13"/>
        <v>0</v>
      </c>
      <c r="GX15" s="6">
        <f t="shared" si="13"/>
        <v>0</v>
      </c>
      <c r="GY15" s="6">
        <f t="shared" si="13"/>
        <v>0</v>
      </c>
      <c r="GZ15" s="6">
        <f t="shared" si="13"/>
        <v>0</v>
      </c>
      <c r="HA15" s="6">
        <f t="shared" si="13"/>
        <v>0</v>
      </c>
      <c r="HB15" s="6">
        <f t="shared" si="13"/>
        <v>0</v>
      </c>
      <c r="HC15" s="6">
        <f t="shared" si="13"/>
        <v>0</v>
      </c>
      <c r="HD15" s="6">
        <f t="shared" si="13"/>
        <v>0</v>
      </c>
      <c r="HE15" s="6">
        <f t="shared" si="13"/>
        <v>0</v>
      </c>
      <c r="HF15" s="6">
        <f t="shared" si="13"/>
        <v>0</v>
      </c>
      <c r="HG15" s="6">
        <f t="shared" si="13"/>
        <v>0</v>
      </c>
      <c r="HH15" s="6">
        <f t="shared" si="13"/>
        <v>0</v>
      </c>
      <c r="HI15" s="6">
        <f t="shared" si="13"/>
        <v>0</v>
      </c>
      <c r="HJ15" s="6">
        <f t="shared" si="13"/>
        <v>0</v>
      </c>
      <c r="HK15" s="6">
        <f t="shared" si="13"/>
        <v>0</v>
      </c>
      <c r="HL15" s="6">
        <f t="shared" si="13"/>
        <v>0</v>
      </c>
      <c r="HM15" s="6">
        <f t="shared" si="13"/>
        <v>0</v>
      </c>
      <c r="HN15" s="6">
        <f t="shared" si="13"/>
        <v>0</v>
      </c>
      <c r="HO15" s="6">
        <f t="shared" si="13"/>
        <v>0</v>
      </c>
      <c r="HP15" s="6">
        <f t="shared" si="13"/>
        <v>0</v>
      </c>
      <c r="HQ15" s="6">
        <f t="shared" si="13"/>
        <v>0</v>
      </c>
      <c r="HR15" s="6">
        <f t="shared" si="13"/>
        <v>0</v>
      </c>
      <c r="HS15" s="6">
        <f t="shared" si="13"/>
        <v>0</v>
      </c>
      <c r="HT15" s="6">
        <f t="shared" si="13"/>
        <v>0</v>
      </c>
      <c r="HU15" s="6">
        <f t="shared" si="13"/>
        <v>0</v>
      </c>
      <c r="HV15" s="6">
        <f t="shared" si="13"/>
        <v>0</v>
      </c>
      <c r="HW15" s="6">
        <f t="shared" si="13"/>
        <v>0</v>
      </c>
      <c r="HX15" s="6">
        <f t="shared" si="13"/>
        <v>0</v>
      </c>
      <c r="HY15" s="6">
        <f t="shared" si="13"/>
        <v>0</v>
      </c>
      <c r="HZ15" s="6">
        <f t="shared" si="13"/>
        <v>0</v>
      </c>
      <c r="IA15" s="6">
        <f t="shared" si="13"/>
        <v>0</v>
      </c>
      <c r="IB15" s="6">
        <f t="shared" si="13"/>
        <v>0</v>
      </c>
      <c r="IC15" s="6">
        <f t="shared" si="13"/>
        <v>0</v>
      </c>
      <c r="ID15" s="6">
        <f t="shared" si="13"/>
        <v>0</v>
      </c>
      <c r="IE15" s="6">
        <f t="shared" si="13"/>
        <v>0</v>
      </c>
      <c r="IF15" s="6">
        <f t="shared" si="13"/>
        <v>0</v>
      </c>
      <c r="IG15" s="6">
        <f t="shared" si="13"/>
        <v>0</v>
      </c>
      <c r="IH15" s="6">
        <f t="shared" si="13"/>
        <v>0</v>
      </c>
      <c r="II15" s="6">
        <f t="shared" si="13"/>
        <v>0</v>
      </c>
      <c r="IJ15" s="6">
        <f t="shared" si="13"/>
        <v>0</v>
      </c>
      <c r="IK15" s="6">
        <f t="shared" si="13"/>
        <v>0</v>
      </c>
      <c r="IL15" s="6">
        <f t="shared" si="13"/>
        <v>0</v>
      </c>
      <c r="IM15" s="6">
        <f t="shared" si="13"/>
        <v>0</v>
      </c>
      <c r="IN15" s="6">
        <f t="shared" si="13"/>
        <v>0</v>
      </c>
      <c r="IO15" s="6">
        <f t="shared" si="13"/>
        <v>0</v>
      </c>
      <c r="IP15" s="6">
        <f t="shared" si="13"/>
        <v>0</v>
      </c>
      <c r="IQ15" s="6">
        <f t="shared" si="13"/>
        <v>0</v>
      </c>
      <c r="IR15" s="6">
        <f t="shared" si="13"/>
        <v>0</v>
      </c>
      <c r="IS15" s="6">
        <f t="shared" si="13"/>
        <v>0</v>
      </c>
      <c r="IT15" s="6">
        <f t="shared" si="13"/>
        <v>0</v>
      </c>
      <c r="IU15" s="6">
        <f t="shared" si="13"/>
        <v>0</v>
      </c>
      <c r="IV15" s="6">
        <f t="shared" si="13"/>
        <v>0</v>
      </c>
      <c r="IW15" s="6">
        <f t="shared" si="13"/>
        <v>0</v>
      </c>
      <c r="IX15" s="6">
        <f t="shared" si="13"/>
        <v>0</v>
      </c>
      <c r="IY15" s="6">
        <f t="shared" si="13"/>
        <v>0</v>
      </c>
      <c r="IZ15" s="6">
        <f t="shared" si="13"/>
        <v>0</v>
      </c>
      <c r="JA15" s="6">
        <f t="shared" ref="JA15:KR15" si="14">ROUND(IF(((JA14+JA13)*$C15/12)&lt;0,0,((JA14+JA13)*$C15/12)),5)</f>
        <v>0</v>
      </c>
      <c r="JB15" s="6">
        <f t="shared" si="14"/>
        <v>0</v>
      </c>
      <c r="JC15" s="6">
        <f t="shared" si="14"/>
        <v>0</v>
      </c>
      <c r="JD15" s="6">
        <f t="shared" si="14"/>
        <v>0</v>
      </c>
      <c r="JE15" s="6">
        <f t="shared" si="14"/>
        <v>0</v>
      </c>
      <c r="JF15" s="6">
        <f t="shared" si="14"/>
        <v>0</v>
      </c>
      <c r="JG15" s="6">
        <f t="shared" si="14"/>
        <v>0</v>
      </c>
      <c r="JH15" s="6">
        <f t="shared" si="14"/>
        <v>0</v>
      </c>
      <c r="JI15" s="6">
        <f t="shared" si="14"/>
        <v>0</v>
      </c>
      <c r="JJ15" s="6">
        <f t="shared" si="14"/>
        <v>0</v>
      </c>
      <c r="JK15" s="6">
        <f t="shared" si="14"/>
        <v>0</v>
      </c>
      <c r="JL15" s="6">
        <f t="shared" si="14"/>
        <v>0</v>
      </c>
      <c r="JM15" s="6">
        <f t="shared" si="14"/>
        <v>0</v>
      </c>
      <c r="JN15" s="6">
        <f t="shared" si="14"/>
        <v>0</v>
      </c>
      <c r="JO15" s="6">
        <f t="shared" si="14"/>
        <v>0</v>
      </c>
      <c r="JP15" s="6">
        <f t="shared" si="14"/>
        <v>0</v>
      </c>
      <c r="JQ15" s="6">
        <f t="shared" si="14"/>
        <v>0</v>
      </c>
      <c r="JR15" s="6">
        <f t="shared" si="14"/>
        <v>0</v>
      </c>
      <c r="JS15" s="6">
        <f t="shared" si="14"/>
        <v>0</v>
      </c>
      <c r="JT15" s="6">
        <f t="shared" si="14"/>
        <v>0</v>
      </c>
      <c r="JU15" s="6">
        <f t="shared" si="14"/>
        <v>0</v>
      </c>
      <c r="JV15" s="6">
        <f t="shared" si="14"/>
        <v>0</v>
      </c>
      <c r="JW15" s="6">
        <f t="shared" si="14"/>
        <v>0</v>
      </c>
      <c r="JX15" s="6">
        <f t="shared" si="14"/>
        <v>0</v>
      </c>
      <c r="JY15" s="6">
        <f t="shared" si="14"/>
        <v>0</v>
      </c>
      <c r="JZ15" s="6">
        <f t="shared" si="14"/>
        <v>0</v>
      </c>
      <c r="KA15" s="6">
        <f t="shared" si="14"/>
        <v>0</v>
      </c>
      <c r="KB15" s="6">
        <f t="shared" si="14"/>
        <v>0</v>
      </c>
      <c r="KC15" s="6">
        <f t="shared" si="14"/>
        <v>0</v>
      </c>
      <c r="KD15" s="6">
        <f t="shared" si="14"/>
        <v>0</v>
      </c>
      <c r="KE15" s="6">
        <f t="shared" si="14"/>
        <v>0</v>
      </c>
      <c r="KF15" s="6">
        <f t="shared" si="14"/>
        <v>0</v>
      </c>
      <c r="KG15" s="6">
        <f t="shared" si="14"/>
        <v>0</v>
      </c>
      <c r="KH15" s="6">
        <f t="shared" si="14"/>
        <v>0</v>
      </c>
      <c r="KI15" s="6">
        <f t="shared" si="14"/>
        <v>0</v>
      </c>
      <c r="KJ15" s="6">
        <f t="shared" si="14"/>
        <v>0</v>
      </c>
      <c r="KK15" s="6">
        <f t="shared" si="14"/>
        <v>0</v>
      </c>
      <c r="KL15" s="6">
        <f t="shared" si="14"/>
        <v>0</v>
      </c>
      <c r="KM15" s="6">
        <f t="shared" si="14"/>
        <v>0</v>
      </c>
      <c r="KN15" s="6">
        <f t="shared" si="14"/>
        <v>0</v>
      </c>
      <c r="KO15" s="6">
        <f t="shared" si="14"/>
        <v>0</v>
      </c>
      <c r="KP15" s="6">
        <f t="shared" si="14"/>
        <v>0</v>
      </c>
      <c r="KQ15" s="6">
        <f t="shared" si="14"/>
        <v>0</v>
      </c>
      <c r="KR15" s="6">
        <f t="shared" si="14"/>
        <v>0</v>
      </c>
      <c r="KS15" s="6">
        <f t="shared" ref="KS15" si="15">ROUND(IF(((KS14+KS13)*$C15/12)&lt;0,0,((KS14+KS13)*$C15/12)),5)</f>
        <v>0</v>
      </c>
    </row>
    <row r="16" spans="2:16384">
      <c r="B16" s="21" t="s">
        <v>28</v>
      </c>
      <c r="C16" s="22"/>
      <c r="E16" s="6">
        <f>-IF($C15=0%,0,MIN(E13+E14+E15,E5))</f>
        <v>0</v>
      </c>
      <c r="F16" s="6">
        <f>-IF($C15=0%,0,MIN(F13+F14+F15,F5))</f>
        <v>-1650</v>
      </c>
      <c r="G16" s="6">
        <f>-IF($C15=0%,0,MIN(G13+G14+G15,G5))</f>
        <v>-1650</v>
      </c>
      <c r="H16" s="6">
        <f>-IF($C15=0%,0,MIN(H13+H14+H15,H5))</f>
        <v>-1650</v>
      </c>
      <c r="I16" s="6">
        <f>-IF($C15=0%,0,MIN(I13+I14+I15,I5))</f>
        <v>-1650</v>
      </c>
      <c r="J16" s="6">
        <f>-IF($C15=0%,0,MIN(J13+J14+J15,J5))</f>
        <v>-1650</v>
      </c>
      <c r="K16" s="6">
        <f>-IF($C15=0%,0,MIN(K13+K14+K15,K5))</f>
        <v>-1650</v>
      </c>
      <c r="L16" s="6">
        <f>-IF($C15=0%,0,MIN(L13+L14+L15,L5))</f>
        <v>-1650</v>
      </c>
      <c r="M16" s="6">
        <f>-IF($C15=0%,0,MIN(M13+M14+M15,M5))</f>
        <v>-1650</v>
      </c>
      <c r="N16" s="6">
        <f>-IF($C15=0%,0,MIN(N13+N14+N15,N5))</f>
        <v>-1650</v>
      </c>
      <c r="O16" s="6">
        <f>-IF($C15=0%,0,MIN(O13+O14+O15,O5))</f>
        <v>-1650</v>
      </c>
      <c r="P16" s="6">
        <f>-IF($C15=0%,0,MIN(P13+P14+P15,P5))</f>
        <v>-2165</v>
      </c>
      <c r="Q16" s="6">
        <f>-IF($C15=0%,0,MIN(Q13+Q14+Q15,Q5))</f>
        <v>-2321</v>
      </c>
      <c r="R16" s="6">
        <f>-IF($C15=0%,0,MIN(R13+R14+R15,R5))</f>
        <v>-2321</v>
      </c>
      <c r="S16" s="6">
        <f>-IF($C15=0%,0,MIN(S13+S14+S15,S5))</f>
        <v>-2321</v>
      </c>
      <c r="T16" s="6">
        <f>-IF($C15=0%,0,MIN(T13+T14+T15,T5))</f>
        <v>-2321</v>
      </c>
      <c r="U16" s="6">
        <f>-IF($C15=0%,0,MIN(U13+U14+U15,U5))</f>
        <v>-2321</v>
      </c>
      <c r="V16" s="6">
        <f>-IF($C15=0%,0,MIN(V13+V14+V15,V5))</f>
        <v>-2321</v>
      </c>
      <c r="W16" s="6">
        <f>-IF($C15=0%,0,MIN(W13+W14+W15,W5))</f>
        <v>-2321</v>
      </c>
      <c r="X16" s="6">
        <f>-IF($C15=0%,0,MIN(X13+X14+X15,X5))</f>
        <v>-2321</v>
      </c>
      <c r="Y16" s="6">
        <f>-IF($C15=0%,0,MIN(Y13+Y14+Y15,Y5))</f>
        <v>-2321</v>
      </c>
      <c r="Z16" s="6">
        <f>-IF($C15=0%,0,MIN(Z13+Z14+Z15,Z5))</f>
        <v>-2321</v>
      </c>
      <c r="AA16" s="6">
        <f>-IF($C15=0%,0,MIN(AA13+AA14+AA15,AA5))</f>
        <v>-2321</v>
      </c>
      <c r="AB16" s="6">
        <f>-IF($C15=0%,0,MIN(AB13+AB14+AB15,AB5))</f>
        <v>-2321</v>
      </c>
      <c r="AC16" s="6">
        <f>-IF($C15=0%,0,MIN(AC13+AC14+AC15,AC5))</f>
        <v>-2480.12</v>
      </c>
      <c r="AD16" s="6">
        <f>-IF($C15=0%,0,MIN(AD13+AD14+AD15,AD5))</f>
        <v>-2480.12</v>
      </c>
      <c r="AE16" s="6">
        <f>-IF($C15=0%,0,MIN(AE13+AE14+AE15,AE5))</f>
        <v>-2480.12</v>
      </c>
      <c r="AF16" s="6">
        <f>-IF($C15=0%,0,MIN(AF13+AF14+AF15,AF5))</f>
        <v>-2480.12</v>
      </c>
      <c r="AG16" s="6">
        <f>-IF($C15=0%,0,MIN(AG13+AG14+AG15,AG5))</f>
        <v>-2480.12</v>
      </c>
      <c r="AH16" s="6">
        <f>-IF($C15=0%,0,MIN(AH13+AH14+AH15,AH5))</f>
        <v>-2480.12</v>
      </c>
      <c r="AI16" s="6">
        <f>-IF($C15=0%,0,MIN(AI13+AI14+AI15,AI5))</f>
        <v>-2480.12</v>
      </c>
      <c r="AJ16" s="6">
        <f>-IF($C15=0%,0,MIN(AJ13+AJ14+AJ15,AJ5))</f>
        <v>-2480.12</v>
      </c>
      <c r="AK16" s="6">
        <f>-IF($C15=0%,0,MIN(AK13+AK14+AK15,AK5))</f>
        <v>-2480.12</v>
      </c>
      <c r="AL16" s="6">
        <f>-IF($C15=0%,0,MIN(AL13+AL14+AL15,AL5))</f>
        <v>-2480.12</v>
      </c>
      <c r="AM16" s="6">
        <f>-IF($C15=0%,0,MIN(AM13+AM14+AM15,AM5))</f>
        <v>-2480.12</v>
      </c>
      <c r="AN16" s="6">
        <f>-IF($C15=0%,0,MIN(AN13+AN14+AN15,AN5))</f>
        <v>-2480.12</v>
      </c>
      <c r="AO16" s="6">
        <f>-IF($C15=0%,0,MIN(AO13+AO14+AO15,AO5))</f>
        <v>-258.68779999999998</v>
      </c>
      <c r="AP16" s="6">
        <f>-IF($C15=0%,0,MIN(AP13+AP14+AP15,AP5))</f>
        <v>-1308.6227899999999</v>
      </c>
      <c r="AQ16" s="6">
        <f>-IF($C15=0%,0,MIN(AQ13+AQ14+AQ15,AQ5))</f>
        <v>-861.13809000000003</v>
      </c>
      <c r="AR16" s="6">
        <f>-IF($C15=0%,0,MIN(AR13+AR14+AR15,AR5))</f>
        <v>-494.80500999999998</v>
      </c>
      <c r="AS16" s="6">
        <f>-IF($C15=0%,0,MIN(AS13+AS14+AS15,AS5))</f>
        <v>-1472.1238000000001</v>
      </c>
      <c r="AT16" s="6">
        <f>-IF($C15=0%,0,MIN(AT13+AT14+AT15,AT5))</f>
        <v>-147.37223</v>
      </c>
      <c r="AU16" s="6">
        <f>-IF($C15=0%,0,MIN(AU13+AU14+AU15,AU5))</f>
        <v>-1275.2013400000001</v>
      </c>
      <c r="AV16" s="6">
        <f>-IF($C15=0%,0,MIN(AV13+AV14+AV15,AV5))</f>
        <v>-1024.56223</v>
      </c>
      <c r="AW16" s="6">
        <f>-IF($C15=0%,0,MIN(AW13+AW14+AW15,AW5))</f>
        <v>-1488.32266</v>
      </c>
      <c r="AX16" s="6">
        <f>-IF($C15=0%,0,MIN(AX13+AX14+AX15,AX5))</f>
        <v>-1699.7643399999999</v>
      </c>
      <c r="AY16" s="6">
        <f>-IF($C15=0%,0,MIN(AY13+AY14+AY15,AY5))</f>
        <v>-2642.3755999999998</v>
      </c>
      <c r="AZ16" s="6">
        <f>-IF($C15=0%,0,MIN(AZ13+AZ14+AZ15,AZ5))</f>
        <v>-2642.3755999999998</v>
      </c>
      <c r="BA16" s="6">
        <f>-IF($C15=0%,0,MIN(BA13+BA14+BA15,BA5))</f>
        <v>-2807.7789699999998</v>
      </c>
      <c r="BB16" s="6">
        <f>-IF($C15=0%,0,MIN(BB13+BB14+BB15,BB5))</f>
        <v>-2807.7789699999998</v>
      </c>
      <c r="BC16" s="6">
        <f>-IF($C15=0%,0,MIN(BC13+BC14+BC15,BC5))</f>
        <v>-2807.7789699999998</v>
      </c>
      <c r="BD16" s="6">
        <f>-IF($C15=0%,0,MIN(BD13+BD14+BD15,BD5))</f>
        <v>-2807.7789699999998</v>
      </c>
      <c r="BE16" s="6">
        <f>-IF($C15=0%,0,MIN(BE13+BE14+BE15,BE5))</f>
        <v>-2807.7789699999998</v>
      </c>
      <c r="BF16" s="6">
        <f>-IF($C15=0%,0,MIN(BF13+BF14+BF15,BF5))</f>
        <v>-2807.7789699999998</v>
      </c>
      <c r="BG16" s="6">
        <f>-IF($C15=0%,0,MIN(BG13+BG14+BG15,BG5))</f>
        <v>-2807.7789699999998</v>
      </c>
      <c r="BH16" s="6">
        <f>-IF($C15=0%,0,MIN(BH13+BH14+BH15,BH5))</f>
        <v>-2807.7789699999998</v>
      </c>
      <c r="BI16" s="6">
        <f>-IF($C15=0%,0,MIN(BI13+BI14+BI15,BI5))</f>
        <v>-2807.7789699999998</v>
      </c>
      <c r="BJ16" s="6">
        <f>-IF($C15=0%,0,MIN(BJ13+BJ14+BJ15,BJ5))</f>
        <v>-2807.7789699999998</v>
      </c>
      <c r="BK16" s="6">
        <f>-IF($C15=0%,0,MIN(BK13+BK14+BK15,BK5))</f>
        <v>-2807.7789699999998</v>
      </c>
      <c r="BL16" s="6">
        <f>-IF($C15=0%,0,MIN(BL13+BL14+BL15,BL5))</f>
        <v>-2807.7789699999998</v>
      </c>
      <c r="BM16" s="6">
        <f>-IF($C15=0%,0,MIN(BM13+BM14+BM15,BM5))</f>
        <v>-2976.3385400000002</v>
      </c>
      <c r="BN16" s="6">
        <f>-IF($C15=0%,0,MIN(BN13+BN14+BN15,BN5))</f>
        <v>-2976.3385400000002</v>
      </c>
      <c r="BO16" s="6">
        <f>-IF($C15=0%,0,MIN(BO13+BO14+BO15,BO5))</f>
        <v>-2976.3385400000002</v>
      </c>
      <c r="BP16" s="6">
        <f>-IF($C15=0%,0,MIN(BP13+BP14+BP15,BP5))</f>
        <v>-2976.3385400000002</v>
      </c>
      <c r="BQ16" s="6">
        <f>-IF($C15=0%,0,MIN(BQ13+BQ14+BQ15,BQ5))</f>
        <v>-2976.3385400000002</v>
      </c>
      <c r="BR16" s="6">
        <f>-IF($C15=0%,0,MIN(BR13+BR14+BR15,BR5))</f>
        <v>-2976.3385400000002</v>
      </c>
      <c r="BS16" s="6">
        <f>-IF($C15=0%,0,MIN(BS13+BS14+BS15,BS5))</f>
        <v>-2976.3385400000002</v>
      </c>
      <c r="BT16" s="6">
        <f>-IF($C15=0%,0,MIN(BT13+BT14+BT15,BT5))</f>
        <v>-2976.3385400000002</v>
      </c>
      <c r="BU16" s="6">
        <f>-IF($C15=0%,0,MIN(BU13+BU14+BU15,BU5))</f>
        <v>-2976.3385400000002</v>
      </c>
      <c r="BV16" s="6">
        <f>-IF($C15=0%,0,MIN(BV13+BV14+BV15,BV5))</f>
        <v>-2976.3385400000002</v>
      </c>
      <c r="BW16" s="6">
        <f>-IF($C15=0%,0,MIN(BW13+BW14+BW15,BW5))</f>
        <v>-2976.3385400000002</v>
      </c>
      <c r="BX16" s="6">
        <f>-IF($C15=0%,0,MIN(BX13+BX14+BX15,BX5))</f>
        <v>-2976.3385400000002</v>
      </c>
      <c r="BY16" s="6">
        <f>-IF($C15=0%,0,MIN(BY13+BY14+BY15,BY5))</f>
        <v>-3148.0587099999998</v>
      </c>
      <c r="BZ16" s="6">
        <f>-IF($C15=0%,0,MIN(BZ13+BZ14+BZ15,BZ5))</f>
        <v>-3148.0587099999998</v>
      </c>
      <c r="CA16" s="6">
        <f>-IF($C15=0%,0,MIN(CA13+CA14+CA15,CA5))</f>
        <v>-3148.0587099999998</v>
      </c>
      <c r="CB16" s="6">
        <f>-IF($C15=0%,0,MIN(CB13+CB14+CB15,CB5))</f>
        <v>-3148.0587099999998</v>
      </c>
      <c r="CC16" s="6">
        <f>-IF($C15=0%,0,MIN(CC13+CC14+CC15,CC5))</f>
        <v>-3148.0587099999998</v>
      </c>
      <c r="CD16" s="6">
        <f>-IF($C15=0%,0,MIN(CD13+CD14+CD15,CD5))</f>
        <v>-3148.0587099999998</v>
      </c>
      <c r="CE16" s="6">
        <f>-IF($C15=0%,0,MIN(CE13+CE14+CE15,CE5))</f>
        <v>-3148.0587099999998</v>
      </c>
      <c r="CF16" s="6">
        <f>-IF($C15=0%,0,MIN(CF13+CF14+CF15,CF5))</f>
        <v>-3148.0587099999998</v>
      </c>
      <c r="CG16" s="6">
        <f>-IF($C15=0%,0,MIN(CG13+CG14+CG15,CG5))</f>
        <v>-3148.0587099999998</v>
      </c>
      <c r="CH16" s="6">
        <f>-IF($C15=0%,0,MIN(CH13+CH14+CH15,CH5))</f>
        <v>-3148.0587099999998</v>
      </c>
      <c r="CI16" s="6">
        <f>-IF($C15=0%,0,MIN(CI13+CI14+CI15,CI5))</f>
        <v>-3148.0587099999998</v>
      </c>
      <c r="CJ16" s="6">
        <f>-IF($C15=0%,0,MIN(CJ13+CJ14+CJ15,CJ5))</f>
        <v>-914.5941100002309</v>
      </c>
      <c r="CK16" s="6">
        <f>-IF($C15=0%,0,MIN(CK13+CK14+CK15,CK5))</f>
        <v>0</v>
      </c>
      <c r="CL16" s="6">
        <f>-IF($C15=0%,0,MIN(CL13+CL14+CL15,CL5))</f>
        <v>0</v>
      </c>
      <c r="CM16" s="6">
        <f>-IF($C15=0%,0,MIN(CM13+CM14+CM15,CM5))</f>
        <v>0</v>
      </c>
      <c r="CN16" s="6">
        <f>-IF($C15=0%,0,MIN(CN13+CN14+CN15,CN5))</f>
        <v>0</v>
      </c>
      <c r="CO16" s="6">
        <f>-IF($C15=0%,0,MIN(CO13+CO14+CO15,CO5))</f>
        <v>0</v>
      </c>
      <c r="CP16" s="6">
        <f>-IF($C15=0%,0,MIN(CP13+CP14+CP15,CP5))</f>
        <v>0</v>
      </c>
      <c r="CQ16" s="6">
        <f>-IF($C15=0%,0,MIN(CQ13+CQ14+CQ15,CQ5))</f>
        <v>0</v>
      </c>
      <c r="CR16" s="6">
        <f>-IF($C15=0%,0,MIN(CR13+CR14+CR15,CR5))</f>
        <v>0</v>
      </c>
      <c r="CS16" s="6">
        <f>-IF($C15=0%,0,MIN(CS13+CS14+CS15,CS5))</f>
        <v>0</v>
      </c>
      <c r="CT16" s="6">
        <f>-IF($C15=0%,0,MIN(CT13+CT14+CT15,CT5))</f>
        <v>0</v>
      </c>
      <c r="CU16" s="6">
        <f>-IF($C15=0%,0,MIN(CU13+CU14+CU15,CU5))</f>
        <v>0</v>
      </c>
      <c r="CV16" s="6">
        <f>-IF($C15=0%,0,MIN(CV13+CV14+CV15,CV5))</f>
        <v>0</v>
      </c>
      <c r="CW16" s="6">
        <f>-IF($C15=0%,0,MIN(CW13+CW14+CW15,CW5))</f>
        <v>0</v>
      </c>
      <c r="CX16" s="6">
        <f>-IF($C15=0%,0,MIN(CX13+CX14+CX15,CX5))</f>
        <v>0</v>
      </c>
      <c r="CY16" s="6">
        <f>-IF($C15=0%,0,MIN(CY13+CY14+CY15,CY5))</f>
        <v>0</v>
      </c>
      <c r="CZ16" s="6">
        <f>-IF($C15=0%,0,MIN(CZ13+CZ14+CZ15,CZ5))</f>
        <v>0</v>
      </c>
      <c r="DA16" s="6">
        <f>-IF($C15=0%,0,MIN(DA13+DA14+DA15,DA5))</f>
        <v>0</v>
      </c>
      <c r="DB16" s="6">
        <f>-IF($C15=0%,0,MIN(DB13+DB14+DB15,DB5))</f>
        <v>0</v>
      </c>
      <c r="DC16" s="6">
        <f>-IF($C15=0%,0,MIN(DC13+DC14+DC15,DC5))</f>
        <v>0</v>
      </c>
      <c r="DD16" s="6">
        <f>-IF($C15=0%,0,MIN(DD13+DD14+DD15,DD5))</f>
        <v>0</v>
      </c>
      <c r="DE16" s="6">
        <f>-IF($C15=0%,0,MIN(DE13+DE14+DE15,DE5))</f>
        <v>0</v>
      </c>
      <c r="DF16" s="6">
        <f>-IF($C15=0%,0,MIN(DF13+DF14+DF15,DF5))</f>
        <v>0</v>
      </c>
      <c r="DG16" s="6">
        <f>-IF($C15=0%,0,MIN(DG13+DG14+DG15,DG5))</f>
        <v>0</v>
      </c>
      <c r="DH16" s="6">
        <f>-IF($C15=0%,0,MIN(DH13+DH14+DH15,DH5))</f>
        <v>0</v>
      </c>
      <c r="DI16" s="6">
        <f>-IF($C15=0%,0,MIN(DI13+DI14+DI15,DI5))</f>
        <v>0</v>
      </c>
      <c r="DJ16" s="6">
        <f>-IF($C15=0%,0,MIN(DJ13+DJ14+DJ15,DJ5))</f>
        <v>0</v>
      </c>
      <c r="DK16" s="6">
        <f>-IF($C15=0%,0,MIN(DK13+DK14+DK15,DK5))</f>
        <v>0</v>
      </c>
      <c r="DL16" s="6">
        <f>-IF($C15=0%,0,MIN(DL13+DL14+DL15,DL5))</f>
        <v>0</v>
      </c>
      <c r="DM16" s="6">
        <f>-IF($C15=0%,0,MIN(DM13+DM14+DM15,DM5))</f>
        <v>0</v>
      </c>
      <c r="DN16" s="6">
        <f>-IF($C15=0%,0,MIN(DN13+DN14+DN15,DN5))</f>
        <v>0</v>
      </c>
      <c r="DO16" s="6">
        <f>-IF($C15=0%,0,MIN(DO13+DO14+DO15,DO5))</f>
        <v>0</v>
      </c>
      <c r="DP16" s="6">
        <f>-IF($C15=0%,0,MIN(DP13+DP14+DP15,DP5))</f>
        <v>0</v>
      </c>
      <c r="DQ16" s="6">
        <f>-IF($C15=0%,0,MIN(DQ13+DQ14+DQ15,DQ5))</f>
        <v>0</v>
      </c>
      <c r="DR16" s="6">
        <f>-IF($C15=0%,0,MIN(DR13+DR14+DR15,DR5))</f>
        <v>0</v>
      </c>
      <c r="DS16" s="6">
        <f>-IF($C15=0%,0,MIN(DS13+DS14+DS15,DS5))</f>
        <v>0</v>
      </c>
      <c r="DT16" s="6">
        <f>-IF($C15=0%,0,MIN(DT13+DT14+DT15,DT5))</f>
        <v>0</v>
      </c>
      <c r="DU16" s="6">
        <f>-IF($C15=0%,0,MIN(DU13+DU14+DU15,DU5))</f>
        <v>0</v>
      </c>
      <c r="DV16" s="6">
        <f>-IF($C15=0%,0,MIN(DV13+DV14+DV15,DV5))</f>
        <v>0</v>
      </c>
      <c r="DW16" s="6">
        <f>-IF($C15=0%,0,MIN(DW13+DW14+DW15,DW5))</f>
        <v>0</v>
      </c>
      <c r="DX16" s="6">
        <f>-IF($C15=0%,0,MIN(DX13+DX14+DX15,DX5))</f>
        <v>0</v>
      </c>
      <c r="DY16" s="6">
        <f>-IF($C15=0%,0,MIN(DY13+DY14+DY15,DY5))</f>
        <v>0</v>
      </c>
      <c r="DZ16" s="6">
        <f>-IF($C15=0%,0,MIN(DZ13+DZ14+DZ15,DZ5))</f>
        <v>0</v>
      </c>
      <c r="EA16" s="6">
        <f>-IF($C15=0%,0,MIN(EA13+EA14+EA15,EA5))</f>
        <v>0</v>
      </c>
      <c r="EB16" s="6">
        <f>-IF($C15=0%,0,MIN(EB13+EB14+EB15,EB5))</f>
        <v>0</v>
      </c>
      <c r="EC16" s="6">
        <f>-IF($C15=0%,0,MIN(EC13+EC14+EC15,EC5))</f>
        <v>0</v>
      </c>
      <c r="ED16" s="6">
        <f>-IF($C15=0%,0,MIN(ED13+ED14+ED15,ED5))</f>
        <v>0</v>
      </c>
      <c r="EE16" s="6">
        <f>-IF($C15=0%,0,MIN(EE13+EE14+EE15,EE5))</f>
        <v>0</v>
      </c>
      <c r="EF16" s="6">
        <f>-IF($C15=0%,0,MIN(EF13+EF14+EF15,EF5))</f>
        <v>0</v>
      </c>
      <c r="EG16" s="6">
        <f>-IF($C15=0%,0,MIN(EG13+EG14+EG15,EG5))</f>
        <v>0</v>
      </c>
      <c r="EH16" s="6">
        <f>-IF($C15=0%,0,MIN(EH13+EH14+EH15,EH5))</f>
        <v>0</v>
      </c>
      <c r="EI16" s="6">
        <f>-IF($C15=0%,0,MIN(EI13+EI14+EI15,EI5))</f>
        <v>0</v>
      </c>
      <c r="EJ16" s="6">
        <f>-IF($C15=0%,0,MIN(EJ13+EJ14+EJ15,EJ5))</f>
        <v>0</v>
      </c>
      <c r="EK16" s="6">
        <f>-IF($C15=0%,0,MIN(EK13+EK14+EK15,EK5))</f>
        <v>0</v>
      </c>
      <c r="EL16" s="6">
        <f>-IF($C15=0%,0,MIN(EL13+EL14+EL15,EL5))</f>
        <v>0</v>
      </c>
      <c r="EM16" s="6">
        <f>-IF($C15=0%,0,MIN(EM13+EM14+EM15,EM5))</f>
        <v>0</v>
      </c>
      <c r="EN16" s="6">
        <f>-IF($C15=0%,0,MIN(EN13+EN14+EN15,EN5))</f>
        <v>0</v>
      </c>
      <c r="EO16" s="6">
        <f>-IF($C15=0%,0,MIN(EO13+EO14+EO15,EO5))</f>
        <v>0</v>
      </c>
      <c r="EP16" s="6">
        <f>-IF($C15=0%,0,MIN(EP13+EP14+EP15,EP5))</f>
        <v>0</v>
      </c>
      <c r="EQ16" s="6">
        <f>-IF($C15=0%,0,MIN(EQ13+EQ14+EQ15,EQ5))</f>
        <v>0</v>
      </c>
      <c r="ER16" s="6">
        <f>-IF($C15=0%,0,MIN(ER13+ER14+ER15,ER5))</f>
        <v>0</v>
      </c>
      <c r="ES16" s="6">
        <f>-IF($C15=0%,0,MIN(ES13+ES14+ES15,ES5))</f>
        <v>0</v>
      </c>
      <c r="ET16" s="6">
        <f>-IF($C15=0%,0,MIN(ET13+ET14+ET15,ET5))</f>
        <v>0</v>
      </c>
      <c r="EU16" s="6">
        <f>-IF($C15=0%,0,MIN(EU13+EU14+EU15,EU5))</f>
        <v>0</v>
      </c>
      <c r="EV16" s="6">
        <f>-IF($C15=0%,0,MIN(EV13+EV14+EV15,EV5))</f>
        <v>0</v>
      </c>
      <c r="EW16" s="6">
        <f>-IF($C15=0%,0,MIN(EW13+EW14+EW15,EW5))</f>
        <v>0</v>
      </c>
      <c r="EX16" s="6">
        <f>-IF($C15=0%,0,MIN(EX13+EX14+EX15,EX5))</f>
        <v>0</v>
      </c>
      <c r="EY16" s="6">
        <f>-IF($C15=0%,0,MIN(EY13+EY14+EY15,EY5))</f>
        <v>0</v>
      </c>
      <c r="EZ16" s="6">
        <f>-IF($C15=0%,0,MIN(EZ13+EZ14+EZ15,EZ5))</f>
        <v>0</v>
      </c>
      <c r="FA16" s="6">
        <f>-IF($C15=0%,0,MIN(FA13+FA14+FA15,FA5))</f>
        <v>0</v>
      </c>
      <c r="FB16" s="6">
        <f>-IF($C15=0%,0,MIN(FB13+FB14+FB15,FB5))</f>
        <v>0</v>
      </c>
      <c r="FC16" s="6">
        <f>-IF($C15=0%,0,MIN(FC13+FC14+FC15,FC5))</f>
        <v>0</v>
      </c>
      <c r="FD16" s="6">
        <f>-IF($C15=0%,0,MIN(FD13+FD14+FD15,FD5))</f>
        <v>0</v>
      </c>
      <c r="FE16" s="6">
        <f>-IF($C15=0%,0,MIN(FE13+FE14+FE15,FE5))</f>
        <v>0</v>
      </c>
      <c r="FF16" s="6">
        <f>-IF($C15=0%,0,MIN(FF13+FF14+FF15,FF5))</f>
        <v>0</v>
      </c>
      <c r="FG16" s="6">
        <f>-IF($C15=0%,0,MIN(FG13+FG14+FG15,FG5))</f>
        <v>0</v>
      </c>
      <c r="FH16" s="6">
        <f>-IF($C15=0%,0,MIN(FH13+FH14+FH15,FH5))</f>
        <v>0</v>
      </c>
      <c r="FI16" s="6">
        <f>-IF($C15=0%,0,MIN(FI13+FI14+FI15,FI5))</f>
        <v>0</v>
      </c>
      <c r="FJ16" s="6">
        <f>-IF($C15=0%,0,MIN(FJ13+FJ14+FJ15,FJ5))</f>
        <v>0</v>
      </c>
      <c r="FK16" s="6">
        <f>-IF($C15=0%,0,MIN(FK13+FK14+FK15,FK5))</f>
        <v>0</v>
      </c>
      <c r="FL16" s="6">
        <f>-IF($C15=0%,0,MIN(FL13+FL14+FL15,FL5))</f>
        <v>0</v>
      </c>
      <c r="FM16" s="6">
        <f>-IF($C15=0%,0,MIN(FM13+FM14+FM15,FM5))</f>
        <v>0</v>
      </c>
      <c r="FN16" s="6">
        <f>-IF($C15=0%,0,MIN(FN13+FN14+FN15,FN5))</f>
        <v>0</v>
      </c>
      <c r="FO16" s="6">
        <f>-IF($C15=0%,0,MIN(FO13+FO14+FO15,FO5))</f>
        <v>0</v>
      </c>
      <c r="FP16" s="6">
        <f>-IF($C15=0%,0,MIN(FP13+FP14+FP15,FP5))</f>
        <v>0</v>
      </c>
      <c r="FQ16" s="6">
        <f>-IF($C15=0%,0,MIN(FQ13+FQ14+FQ15,FQ5))</f>
        <v>0</v>
      </c>
      <c r="FR16" s="6">
        <f>-IF($C15=0%,0,MIN(FR13+FR14+FR15,FR5))</f>
        <v>0</v>
      </c>
      <c r="FS16" s="6">
        <f>-IF($C15=0%,0,MIN(FS13+FS14+FS15,FS5))</f>
        <v>0</v>
      </c>
      <c r="FT16" s="6">
        <f>-IF($C15=0%,0,MIN(FT13+FT14+FT15,FT5))</f>
        <v>0</v>
      </c>
      <c r="FU16" s="6">
        <f>-IF($C15=0%,0,MIN(FU13+FU14+FU15,FU5))</f>
        <v>0</v>
      </c>
      <c r="FV16" s="6">
        <f>-IF($C15=0%,0,MIN(FV13+FV14+FV15,FV5))</f>
        <v>0</v>
      </c>
      <c r="FW16" s="6">
        <f>-IF($C15=0%,0,MIN(FW13+FW14+FW15,FW5))</f>
        <v>0</v>
      </c>
      <c r="FX16" s="6">
        <f>-IF($C15=0%,0,MIN(FX13+FX14+FX15,FX5))</f>
        <v>0</v>
      </c>
      <c r="FY16" s="6">
        <f>-IF($C15=0%,0,MIN(FY13+FY14+FY15,FY5))</f>
        <v>0</v>
      </c>
      <c r="FZ16" s="6">
        <f>-IF($C15=0%,0,MIN(FZ13+FZ14+FZ15,FZ5))</f>
        <v>0</v>
      </c>
      <c r="GA16" s="6">
        <f>-IF($C15=0%,0,MIN(GA13+GA14+GA15,GA5))</f>
        <v>0</v>
      </c>
      <c r="GB16" s="6">
        <f>-IF($C15=0%,0,MIN(GB13+GB14+GB15,GB5))</f>
        <v>0</v>
      </c>
      <c r="GC16" s="6">
        <f>-IF($C15=0%,0,MIN(GC13+GC14+GC15,GC5))</f>
        <v>0</v>
      </c>
      <c r="GD16" s="6">
        <f>-IF($C15=0%,0,MIN(GD13+GD14+GD15,GD5))</f>
        <v>0</v>
      </c>
      <c r="GE16" s="6">
        <f>-IF($C15=0%,0,MIN(GE13+GE14+GE15,GE5))</f>
        <v>0</v>
      </c>
      <c r="GF16" s="6">
        <f>-IF($C15=0%,0,MIN(GF13+GF14+GF15,GF5))</f>
        <v>0</v>
      </c>
      <c r="GG16" s="6">
        <f>-IF($C15=0%,0,MIN(GG13+GG14+GG15,GG5))</f>
        <v>0</v>
      </c>
      <c r="GH16" s="6">
        <f>-IF($C15=0%,0,MIN(GH13+GH14+GH15,GH5))</f>
        <v>0</v>
      </c>
      <c r="GI16" s="6">
        <f>-IF($C15=0%,0,MIN(GI13+GI14+GI15,GI5))</f>
        <v>0</v>
      </c>
      <c r="GJ16" s="6">
        <f>-IF($C15=0%,0,MIN(GJ13+GJ14+GJ15,GJ5))</f>
        <v>0</v>
      </c>
      <c r="GK16" s="6">
        <f>-IF($C15=0%,0,MIN(GK13+GK14+GK15,GK5))</f>
        <v>0</v>
      </c>
      <c r="GL16" s="6">
        <f>-IF($C15=0%,0,MIN(GL13+GL14+GL15,GL5))</f>
        <v>0</v>
      </c>
      <c r="GM16" s="6">
        <f>-IF($C15=0%,0,MIN(GM13+GM14+GM15,GM5))</f>
        <v>0</v>
      </c>
      <c r="GN16" s="6">
        <f>-IF($C15=0%,0,MIN(GN13+GN14+GN15,GN5))</f>
        <v>0</v>
      </c>
      <c r="GO16" s="6">
        <f>-IF($C15=0%,0,MIN(GO13+GO14+GO15,GO5))</f>
        <v>0</v>
      </c>
      <c r="GP16" s="6">
        <f>-IF($C15=0%,0,MIN(GP13+GP14+GP15,GP5))</f>
        <v>0</v>
      </c>
      <c r="GQ16" s="6">
        <f>-IF($C15=0%,0,MIN(GQ13+GQ14+GQ15,GQ5))</f>
        <v>0</v>
      </c>
      <c r="GR16" s="6">
        <f>-IF($C15=0%,0,MIN(GR13+GR14+GR15,GR5))</f>
        <v>0</v>
      </c>
      <c r="GS16" s="6">
        <f>-IF($C15=0%,0,MIN(GS13+GS14+GS15,GS5))</f>
        <v>0</v>
      </c>
      <c r="GT16" s="6">
        <f>-IF($C15=0%,0,MIN(GT13+GT14+GT15,GT5))</f>
        <v>0</v>
      </c>
      <c r="GU16" s="6">
        <f>-IF($C15=0%,0,MIN(GU13+GU14+GU15,GU5))</f>
        <v>0</v>
      </c>
      <c r="GV16" s="6">
        <f>-IF($C15=0%,0,MIN(GV13+GV14+GV15,GV5))</f>
        <v>0</v>
      </c>
      <c r="GW16" s="6">
        <f>-IF($C15=0%,0,MIN(GW13+GW14+GW15,GW5))</f>
        <v>0</v>
      </c>
      <c r="GX16" s="6">
        <f>-IF($C15=0%,0,MIN(GX13+GX14+GX15,GX5))</f>
        <v>0</v>
      </c>
      <c r="GY16" s="6">
        <f>-IF($C15=0%,0,MIN(GY13+GY14+GY15,GY5))</f>
        <v>0</v>
      </c>
      <c r="GZ16" s="6">
        <f>-IF($C15=0%,0,MIN(GZ13+GZ14+GZ15,GZ5))</f>
        <v>0</v>
      </c>
      <c r="HA16" s="6">
        <f>-IF($C15=0%,0,MIN(HA13+HA14+HA15,HA5))</f>
        <v>0</v>
      </c>
      <c r="HB16" s="6">
        <f>-IF($C15=0%,0,MIN(HB13+HB14+HB15,HB5))</f>
        <v>0</v>
      </c>
      <c r="HC16" s="6">
        <f>-IF($C15=0%,0,MIN(HC13+HC14+HC15,HC5))</f>
        <v>0</v>
      </c>
      <c r="HD16" s="6">
        <f>-IF($C15=0%,0,MIN(HD13+HD14+HD15,HD5))</f>
        <v>0</v>
      </c>
      <c r="HE16" s="6">
        <f>-IF($C15=0%,0,MIN(HE13+HE14+HE15,HE5))</f>
        <v>0</v>
      </c>
      <c r="HF16" s="6">
        <f>-IF($C15=0%,0,MIN(HF13+HF14+HF15,HF5))</f>
        <v>0</v>
      </c>
      <c r="HG16" s="6">
        <f>-IF($C15=0%,0,MIN(HG13+HG14+HG15,HG5))</f>
        <v>0</v>
      </c>
      <c r="HH16" s="6">
        <f>-IF($C15=0%,0,MIN(HH13+HH14+HH15,HH5))</f>
        <v>0</v>
      </c>
      <c r="HI16" s="6">
        <f>-IF($C15=0%,0,MIN(HI13+HI14+HI15,HI5))</f>
        <v>0</v>
      </c>
      <c r="HJ16" s="6">
        <f>-IF($C15=0%,0,MIN(HJ13+HJ14+HJ15,HJ5))</f>
        <v>0</v>
      </c>
      <c r="HK16" s="6">
        <f>-IF($C15=0%,0,MIN(HK13+HK14+HK15,HK5))</f>
        <v>0</v>
      </c>
      <c r="HL16" s="6">
        <f>-IF($C15=0%,0,MIN(HL13+HL14+HL15,HL5))</f>
        <v>0</v>
      </c>
      <c r="HM16" s="6">
        <f>-IF($C15=0%,0,MIN(HM13+HM14+HM15,HM5))</f>
        <v>0</v>
      </c>
      <c r="HN16" s="6">
        <f>-IF($C15=0%,0,MIN(HN13+HN14+HN15,HN5))</f>
        <v>0</v>
      </c>
      <c r="HO16" s="6">
        <f>-IF($C15=0%,0,MIN(HO13+HO14+HO15,HO5))</f>
        <v>0</v>
      </c>
      <c r="HP16" s="6">
        <f>-IF($C15=0%,0,MIN(HP13+HP14+HP15,HP5))</f>
        <v>0</v>
      </c>
      <c r="HQ16" s="6">
        <f>-IF($C15=0%,0,MIN(HQ13+HQ14+HQ15,HQ5))</f>
        <v>0</v>
      </c>
      <c r="HR16" s="6">
        <f>-IF($C15=0%,0,MIN(HR13+HR14+HR15,HR5))</f>
        <v>0</v>
      </c>
      <c r="HS16" s="6">
        <f>-IF($C15=0%,0,MIN(HS13+HS14+HS15,HS5))</f>
        <v>0</v>
      </c>
      <c r="HT16" s="6">
        <f>-IF($C15=0%,0,MIN(HT13+HT14+HT15,HT5))</f>
        <v>0</v>
      </c>
      <c r="HU16" s="6">
        <f>-IF($C15=0%,0,MIN(HU13+HU14+HU15,HU5))</f>
        <v>0</v>
      </c>
      <c r="HV16" s="6">
        <f>-IF($C15=0%,0,MIN(HV13+HV14+HV15,HV5))</f>
        <v>0</v>
      </c>
      <c r="HW16" s="6">
        <f>-IF($C15=0%,0,MIN(HW13+HW14+HW15,HW5))</f>
        <v>0</v>
      </c>
      <c r="HX16" s="6">
        <f>-IF($C15=0%,0,MIN(HX13+HX14+HX15,HX5))</f>
        <v>0</v>
      </c>
      <c r="HY16" s="6">
        <f>-IF($C15=0%,0,MIN(HY13+HY14+HY15,HY5))</f>
        <v>0</v>
      </c>
      <c r="HZ16" s="6">
        <f>-IF($C15=0%,0,MIN(HZ13+HZ14+HZ15,HZ5))</f>
        <v>0</v>
      </c>
      <c r="IA16" s="6">
        <f>-IF($C15=0%,0,MIN(IA13+IA14+IA15,IA5))</f>
        <v>0</v>
      </c>
      <c r="IB16" s="6">
        <f>-IF($C15=0%,0,MIN(IB13+IB14+IB15,IB5))</f>
        <v>0</v>
      </c>
      <c r="IC16" s="6">
        <f>-IF($C15=0%,0,MIN(IC13+IC14+IC15,IC5))</f>
        <v>0</v>
      </c>
      <c r="ID16" s="6">
        <f>-IF($C15=0%,0,MIN(ID13+ID14+ID15,ID5))</f>
        <v>0</v>
      </c>
      <c r="IE16" s="6">
        <f>-IF($C15=0%,0,MIN(IE13+IE14+IE15,IE5))</f>
        <v>0</v>
      </c>
      <c r="IF16" s="6">
        <f>-IF($C15=0%,0,MIN(IF13+IF14+IF15,IF5))</f>
        <v>0</v>
      </c>
      <c r="IG16" s="6">
        <f>-IF($C15=0%,0,MIN(IG13+IG14+IG15,IG5))</f>
        <v>0</v>
      </c>
      <c r="IH16" s="6">
        <f>-IF($C15=0%,0,MIN(IH13+IH14+IH15,IH5))</f>
        <v>0</v>
      </c>
      <c r="II16" s="6">
        <f>-IF($C15=0%,0,MIN(II13+II14+II15,II5))</f>
        <v>0</v>
      </c>
      <c r="IJ16" s="6">
        <f>-IF($C15=0%,0,MIN(IJ13+IJ14+IJ15,IJ5))</f>
        <v>0</v>
      </c>
      <c r="IK16" s="6">
        <f>-IF($C15=0%,0,MIN(IK13+IK14+IK15,IK5))</f>
        <v>0</v>
      </c>
      <c r="IL16" s="6">
        <f>-IF($C15=0%,0,MIN(IL13+IL14+IL15,IL5))</f>
        <v>0</v>
      </c>
      <c r="IM16" s="6">
        <f>-IF($C15=0%,0,MIN(IM13+IM14+IM15,IM5))</f>
        <v>0</v>
      </c>
      <c r="IN16" s="6">
        <f>-IF($C15=0%,0,MIN(IN13+IN14+IN15,IN5))</f>
        <v>0</v>
      </c>
      <c r="IO16" s="6">
        <f>-IF($C15=0%,0,MIN(IO13+IO14+IO15,IO5))</f>
        <v>0</v>
      </c>
      <c r="IP16" s="6">
        <f>-IF($C15=0%,0,MIN(IP13+IP14+IP15,IP5))</f>
        <v>0</v>
      </c>
      <c r="IQ16" s="6">
        <f>-IF($C15=0%,0,MIN(IQ13+IQ14+IQ15,IQ5))</f>
        <v>0</v>
      </c>
      <c r="IR16" s="6">
        <f>-IF($C15=0%,0,MIN(IR13+IR14+IR15,IR5))</f>
        <v>0</v>
      </c>
      <c r="IS16" s="6">
        <f>-IF($C15=0%,0,MIN(IS13+IS14+IS15,IS5))</f>
        <v>0</v>
      </c>
      <c r="IT16" s="6">
        <f>-IF($C15=0%,0,MIN(IT13+IT14+IT15,IT5))</f>
        <v>0</v>
      </c>
      <c r="IU16" s="6">
        <f>-IF($C15=0%,0,MIN(IU13+IU14+IU15,IU5))</f>
        <v>0</v>
      </c>
      <c r="IV16" s="6">
        <f>-IF($C15=0%,0,MIN(IV13+IV14+IV15,IV5))</f>
        <v>0</v>
      </c>
      <c r="IW16" s="6">
        <f>-IF($C15=0%,0,MIN(IW13+IW14+IW15,IW5))</f>
        <v>0</v>
      </c>
      <c r="IX16" s="6">
        <f>-IF($C15=0%,0,MIN(IX13+IX14+IX15,IX5))</f>
        <v>0</v>
      </c>
      <c r="IY16" s="6">
        <f>-IF($C15=0%,0,MIN(IY13+IY14+IY15,IY5))</f>
        <v>0</v>
      </c>
      <c r="IZ16" s="6">
        <f>-IF($C15=0%,0,MIN(IZ13+IZ14+IZ15,IZ5))</f>
        <v>0</v>
      </c>
      <c r="JA16" s="6">
        <f>-IF($C15=0%,0,MIN(JA13+JA14+JA15,JA5))</f>
        <v>0</v>
      </c>
      <c r="JB16" s="6">
        <f>-IF($C15=0%,0,MIN(JB13+JB14+JB15,JB5))</f>
        <v>0</v>
      </c>
      <c r="JC16" s="6">
        <f>-IF($C15=0%,0,MIN(JC13+JC14+JC15,JC5))</f>
        <v>0</v>
      </c>
      <c r="JD16" s="6">
        <f>-IF($C15=0%,0,MIN(JD13+JD14+JD15,JD5))</f>
        <v>0</v>
      </c>
      <c r="JE16" s="6">
        <f>-IF($C15=0%,0,MIN(JE13+JE14+JE15,JE5))</f>
        <v>0</v>
      </c>
      <c r="JF16" s="6">
        <f>-IF($C15=0%,0,MIN(JF13+JF14+JF15,JF5))</f>
        <v>0</v>
      </c>
      <c r="JG16" s="6">
        <f>-IF($C15=0%,0,MIN(JG13+JG14+JG15,JG5))</f>
        <v>0</v>
      </c>
      <c r="JH16" s="6">
        <f>-IF($C15=0%,0,MIN(JH13+JH14+JH15,JH5))</f>
        <v>0</v>
      </c>
      <c r="JI16" s="6">
        <f>-IF($C15=0%,0,MIN(JI13+JI14+JI15,JI5))</f>
        <v>0</v>
      </c>
      <c r="JJ16" s="6">
        <f>-IF($C15=0%,0,MIN(JJ13+JJ14+JJ15,JJ5))</f>
        <v>0</v>
      </c>
      <c r="JK16" s="6">
        <f>-IF($C15=0%,0,MIN(JK13+JK14+JK15,JK5))</f>
        <v>0</v>
      </c>
      <c r="JL16" s="6">
        <f>-IF($C15=0%,0,MIN(JL13+JL14+JL15,JL5))</f>
        <v>0</v>
      </c>
      <c r="JM16" s="6">
        <f>-IF($C15=0%,0,MIN(JM13+JM14+JM15,JM5))</f>
        <v>0</v>
      </c>
      <c r="JN16" s="6">
        <f>-IF($C15=0%,0,MIN(JN13+JN14+JN15,JN5))</f>
        <v>0</v>
      </c>
      <c r="JO16" s="6">
        <f>-IF($C15=0%,0,MIN(JO13+JO14+JO15,JO5))</f>
        <v>0</v>
      </c>
      <c r="JP16" s="6">
        <f>-IF($C15=0%,0,MIN(JP13+JP14+JP15,JP5))</f>
        <v>0</v>
      </c>
      <c r="JQ16" s="6">
        <f>-IF($C15=0%,0,MIN(JQ13+JQ14+JQ15,JQ5))</f>
        <v>0</v>
      </c>
      <c r="JR16" s="6">
        <f>-IF($C15=0%,0,MIN(JR13+JR14+JR15,JR5))</f>
        <v>0</v>
      </c>
      <c r="JS16" s="6">
        <f>-IF($C15=0%,0,MIN(JS13+JS14+JS15,JS5))</f>
        <v>0</v>
      </c>
      <c r="JT16" s="6">
        <f>-IF($C15=0%,0,MIN(JT13+JT14+JT15,JT5))</f>
        <v>0</v>
      </c>
      <c r="JU16" s="6">
        <f>-IF($C15=0%,0,MIN(JU13+JU14+JU15,JU5))</f>
        <v>0</v>
      </c>
      <c r="JV16" s="6">
        <f>-IF($C15=0%,0,MIN(JV13+JV14+JV15,JV5))</f>
        <v>0</v>
      </c>
      <c r="JW16" s="6">
        <f>-IF($C15=0%,0,MIN(JW13+JW14+JW15,JW5))</f>
        <v>0</v>
      </c>
      <c r="JX16" s="6">
        <f>-IF($C15=0%,0,MIN(JX13+JX14+JX15,JX5))</f>
        <v>0</v>
      </c>
      <c r="JY16" s="6">
        <f>-IF($C15=0%,0,MIN(JY13+JY14+JY15,JY5))</f>
        <v>0</v>
      </c>
      <c r="JZ16" s="6">
        <f>-IF($C15=0%,0,MIN(JZ13+JZ14+JZ15,JZ5))</f>
        <v>0</v>
      </c>
      <c r="KA16" s="6">
        <f>-IF($C15=0%,0,MIN(KA13+KA14+KA15,KA5))</f>
        <v>0</v>
      </c>
      <c r="KB16" s="6">
        <f>-IF($C15=0%,0,MIN(KB13+KB14+KB15,KB5))</f>
        <v>0</v>
      </c>
      <c r="KC16" s="6">
        <f>-IF($C15=0%,0,MIN(KC13+KC14+KC15,KC5))</f>
        <v>0</v>
      </c>
      <c r="KD16" s="6">
        <f>-IF($C15=0%,0,MIN(KD13+KD14+KD15,KD5))</f>
        <v>0</v>
      </c>
      <c r="KE16" s="6">
        <f>-IF($C15=0%,0,MIN(KE13+KE14+KE15,KE5))</f>
        <v>0</v>
      </c>
      <c r="KF16" s="6">
        <f>-IF($C15=0%,0,MIN(KF13+KF14+KF15,KF5))</f>
        <v>0</v>
      </c>
      <c r="KG16" s="6">
        <f>-IF($C15=0%,0,MIN(KG13+KG14+KG15,KG5))</f>
        <v>0</v>
      </c>
      <c r="KH16" s="6">
        <f>-IF($C15=0%,0,MIN(KH13+KH14+KH15,KH5))</f>
        <v>0</v>
      </c>
      <c r="KI16" s="6">
        <f>-IF($C15=0%,0,MIN(KI13+KI14+KI15,KI5))</f>
        <v>0</v>
      </c>
      <c r="KJ16" s="6">
        <f>-IF($C15=0%,0,MIN(KJ13+KJ14+KJ15,KJ5))</f>
        <v>0</v>
      </c>
      <c r="KK16" s="6">
        <f>-IF($C15=0%,0,MIN(KK13+KK14+KK15,KK5))</f>
        <v>0</v>
      </c>
      <c r="KL16" s="6">
        <f>-IF($C15=0%,0,MIN(KL13+KL14+KL15,KL5))</f>
        <v>0</v>
      </c>
      <c r="KM16" s="6">
        <f>-IF($C15=0%,0,MIN(KM13+KM14+KM15,KM5))</f>
        <v>0</v>
      </c>
      <c r="KN16" s="6">
        <f>-IF($C15=0%,0,MIN(KN13+KN14+KN15,KN5))</f>
        <v>0</v>
      </c>
      <c r="KO16" s="6">
        <f>-IF($C15=0%,0,MIN(KO13+KO14+KO15,KO5))</f>
        <v>0</v>
      </c>
      <c r="KP16" s="6">
        <f>-IF($C15=0%,0,MIN(KP13+KP14+KP15,KP5))</f>
        <v>0</v>
      </c>
      <c r="KQ16" s="6">
        <f>-IF($C15=0%,0,MIN(KQ13+KQ14+KQ15,KQ5))</f>
        <v>0</v>
      </c>
      <c r="KR16" s="6">
        <f>-IF($C15=0%,0,MIN(KR13+KR14+KR15,KR5))</f>
        <v>0</v>
      </c>
      <c r="KS16" s="6">
        <f>-IF($C15=0%,0,MIN(KS13+KS14+KS15,KS5))</f>
        <v>0</v>
      </c>
    </row>
    <row r="17" spans="2:16384">
      <c r="B17" s="21" t="s">
        <v>29</v>
      </c>
      <c r="C17" s="6"/>
      <c r="E17" s="6">
        <f>SUM(E13:E16)</f>
        <v>163200</v>
      </c>
      <c r="F17" s="6">
        <f t="shared" ref="F17:BQ17" si="16">SUM(F13:F16)</f>
        <v>162230</v>
      </c>
      <c r="G17" s="6">
        <f t="shared" si="16"/>
        <v>161255.95832999999</v>
      </c>
      <c r="H17" s="6">
        <f t="shared" si="16"/>
        <v>160277.85816</v>
      </c>
      <c r="I17" s="6">
        <f t="shared" si="16"/>
        <v>159295.68257</v>
      </c>
      <c r="J17" s="6">
        <f t="shared" si="16"/>
        <v>158309.41458000001</v>
      </c>
      <c r="K17" s="6">
        <f t="shared" si="16"/>
        <v>157319.03714</v>
      </c>
      <c r="L17" s="6">
        <f t="shared" si="16"/>
        <v>156324.53313</v>
      </c>
      <c r="M17" s="6">
        <f t="shared" si="16"/>
        <v>155325.88535</v>
      </c>
      <c r="N17" s="6">
        <f t="shared" si="16"/>
        <v>154323.07654000001</v>
      </c>
      <c r="O17" s="6">
        <f t="shared" si="16"/>
        <v>153316.08936000001</v>
      </c>
      <c r="P17" s="6">
        <f t="shared" si="16"/>
        <v>151789.90640000001</v>
      </c>
      <c r="Q17" s="6">
        <f t="shared" si="16"/>
        <v>150101.36434</v>
      </c>
      <c r="R17" s="6">
        <f t="shared" si="16"/>
        <v>148405.78669000001</v>
      </c>
      <c r="S17" s="6">
        <f t="shared" si="16"/>
        <v>146703.14413</v>
      </c>
      <c r="T17" s="6">
        <f t="shared" si="16"/>
        <v>144993.40723000001</v>
      </c>
      <c r="U17" s="6">
        <f t="shared" si="16"/>
        <v>143276.54643000002</v>
      </c>
      <c r="V17" s="6">
        <f t="shared" si="16"/>
        <v>141552.53204000002</v>
      </c>
      <c r="W17" s="6">
        <f t="shared" si="16"/>
        <v>139821.33426000003</v>
      </c>
      <c r="X17" s="6">
        <f t="shared" si="16"/>
        <v>138082.92315000005</v>
      </c>
      <c r="Y17" s="6">
        <f t="shared" si="16"/>
        <v>136337.26866000006</v>
      </c>
      <c r="Z17" s="6">
        <f t="shared" si="16"/>
        <v>134584.34061000007</v>
      </c>
      <c r="AA17" s="6">
        <f t="shared" si="16"/>
        <v>132824.10870000007</v>
      </c>
      <c r="AB17" s="6">
        <f t="shared" si="16"/>
        <v>131056.54249000008</v>
      </c>
      <c r="AC17" s="6">
        <f t="shared" si="16"/>
        <v>129122.49142000009</v>
      </c>
      <c r="AD17" s="6">
        <f t="shared" si="16"/>
        <v>127180.3818000001</v>
      </c>
      <c r="AE17" s="6">
        <f t="shared" si="16"/>
        <v>125230.18006000012</v>
      </c>
      <c r="AF17" s="6">
        <f t="shared" si="16"/>
        <v>123271.85248000012</v>
      </c>
      <c r="AG17" s="6">
        <f t="shared" si="16"/>
        <v>121305.36520000012</v>
      </c>
      <c r="AH17" s="6">
        <f t="shared" si="16"/>
        <v>119330.68422000013</v>
      </c>
      <c r="AI17" s="6">
        <f t="shared" si="16"/>
        <v>117347.77540000013</v>
      </c>
      <c r="AJ17" s="6">
        <f t="shared" si="16"/>
        <v>115356.60446000013</v>
      </c>
      <c r="AK17" s="6">
        <f t="shared" si="16"/>
        <v>113357.13698000014</v>
      </c>
      <c r="AL17" s="6">
        <f t="shared" si="16"/>
        <v>111349.33838000015</v>
      </c>
      <c r="AM17" s="6">
        <f t="shared" si="16"/>
        <v>109333.17396000015</v>
      </c>
      <c r="AN17" s="6">
        <f t="shared" si="16"/>
        <v>107308.60885000015</v>
      </c>
      <c r="AO17" s="6">
        <f t="shared" si="16"/>
        <v>107497.04025000015</v>
      </c>
      <c r="AP17" s="6">
        <f t="shared" si="16"/>
        <v>106636.32179000016</v>
      </c>
      <c r="AQ17" s="6">
        <f t="shared" si="16"/>
        <v>106219.50171000017</v>
      </c>
      <c r="AR17" s="6">
        <f t="shared" si="16"/>
        <v>106167.27796000018</v>
      </c>
      <c r="AS17" s="6">
        <f t="shared" si="16"/>
        <v>105137.51782000018</v>
      </c>
      <c r="AT17" s="6">
        <f t="shared" si="16"/>
        <v>105428.21858000019</v>
      </c>
      <c r="AU17" s="6">
        <f t="shared" si="16"/>
        <v>104592.30148000018</v>
      </c>
      <c r="AV17" s="6">
        <f t="shared" si="16"/>
        <v>104003.54051000018</v>
      </c>
      <c r="AW17" s="6">
        <f t="shared" si="16"/>
        <v>102948.56594000018</v>
      </c>
      <c r="AX17" s="6">
        <f t="shared" si="16"/>
        <v>101677.75396000018</v>
      </c>
      <c r="AY17" s="6">
        <f t="shared" si="16"/>
        <v>99459.035670000172</v>
      </c>
      <c r="AZ17" s="6">
        <f t="shared" si="16"/>
        <v>97231.072720000171</v>
      </c>
      <c r="BA17" s="6">
        <f t="shared" si="16"/>
        <v>94828.423220000172</v>
      </c>
      <c r="BB17" s="6">
        <f t="shared" si="16"/>
        <v>92415.762680000174</v>
      </c>
      <c r="BC17" s="6">
        <f t="shared" si="16"/>
        <v>89993.049390000175</v>
      </c>
      <c r="BD17" s="6">
        <f t="shared" si="16"/>
        <v>87560.241460000179</v>
      </c>
      <c r="BE17" s="6">
        <f t="shared" si="16"/>
        <v>85117.296830000181</v>
      </c>
      <c r="BF17" s="6">
        <f t="shared" si="16"/>
        <v>82664.173260000185</v>
      </c>
      <c r="BG17" s="6">
        <f t="shared" si="16"/>
        <v>80200.828350000185</v>
      </c>
      <c r="BH17" s="6">
        <f t="shared" si="16"/>
        <v>77727.219500000181</v>
      </c>
      <c r="BI17" s="6">
        <f t="shared" si="16"/>
        <v>75243.303940000187</v>
      </c>
      <c r="BJ17" s="6">
        <f t="shared" si="16"/>
        <v>72749.038740000193</v>
      </c>
      <c r="BK17" s="6">
        <f t="shared" si="16"/>
        <v>70244.380760000189</v>
      </c>
      <c r="BL17" s="6">
        <f t="shared" si="16"/>
        <v>67729.286710000189</v>
      </c>
      <c r="BM17" s="6">
        <f t="shared" si="16"/>
        <v>65035.1535300002</v>
      </c>
      <c r="BN17" s="6">
        <f t="shared" si="16"/>
        <v>62329.7948000002</v>
      </c>
      <c r="BO17" s="6">
        <f t="shared" si="16"/>
        <v>59613.1637400002</v>
      </c>
      <c r="BP17" s="6">
        <f t="shared" si="16"/>
        <v>56885.213380000205</v>
      </c>
      <c r="BQ17" s="6">
        <f t="shared" si="16"/>
        <v>54145.896560000205</v>
      </c>
      <c r="BR17" s="6">
        <f t="shared" ref="BR17:EC17" si="17">SUM(BR13:BR16)</f>
        <v>51395.16592000021</v>
      </c>
      <c r="BS17" s="6">
        <f t="shared" si="17"/>
        <v>48632.973900000216</v>
      </c>
      <c r="BT17" s="6">
        <f t="shared" si="17"/>
        <v>45859.272750000222</v>
      </c>
      <c r="BU17" s="6">
        <f t="shared" si="17"/>
        <v>43074.014510000226</v>
      </c>
      <c r="BV17" s="6">
        <f t="shared" si="17"/>
        <v>40277.151030000226</v>
      </c>
      <c r="BW17" s="6">
        <f t="shared" si="17"/>
        <v>37468.633950000229</v>
      </c>
      <c r="BX17" s="6">
        <f t="shared" si="17"/>
        <v>34648.414720000234</v>
      </c>
      <c r="BY17" s="6">
        <f t="shared" si="17"/>
        <v>31644.724400000236</v>
      </c>
      <c r="BZ17" s="6">
        <f t="shared" si="17"/>
        <v>28628.518710000233</v>
      </c>
      <c r="CA17" s="6">
        <f t="shared" si="17"/>
        <v>25599.74549000023</v>
      </c>
      <c r="CB17" s="6">
        <f t="shared" si="17"/>
        <v>22558.352390000229</v>
      </c>
      <c r="CC17" s="6">
        <f t="shared" si="17"/>
        <v>19504.286810000227</v>
      </c>
      <c r="CD17" s="6">
        <f t="shared" si="17"/>
        <v>16437.495960000226</v>
      </c>
      <c r="CE17" s="6">
        <f t="shared" si="17"/>
        <v>13357.926820000228</v>
      </c>
      <c r="CF17" s="6">
        <f t="shared" si="17"/>
        <v>10265.526140000229</v>
      </c>
      <c r="CG17" s="6">
        <f t="shared" si="17"/>
        <v>7160.2404600002301</v>
      </c>
      <c r="CH17" s="6">
        <f t="shared" si="17"/>
        <v>4042.0160900002306</v>
      </c>
      <c r="CI17" s="6">
        <f t="shared" si="17"/>
        <v>910.79911000023094</v>
      </c>
      <c r="CJ17" s="6">
        <f t="shared" si="17"/>
        <v>0</v>
      </c>
      <c r="CK17" s="6">
        <f t="shared" si="17"/>
        <v>0</v>
      </c>
      <c r="CL17" s="6">
        <f t="shared" si="17"/>
        <v>0</v>
      </c>
      <c r="CM17" s="6">
        <f t="shared" si="17"/>
        <v>0</v>
      </c>
      <c r="CN17" s="6">
        <f t="shared" si="17"/>
        <v>0</v>
      </c>
      <c r="CO17" s="6">
        <f t="shared" si="17"/>
        <v>0</v>
      </c>
      <c r="CP17" s="6">
        <f t="shared" si="17"/>
        <v>0</v>
      </c>
      <c r="CQ17" s="6">
        <f t="shared" si="17"/>
        <v>0</v>
      </c>
      <c r="CR17" s="6">
        <f t="shared" si="17"/>
        <v>0</v>
      </c>
      <c r="CS17" s="6">
        <f t="shared" si="17"/>
        <v>0</v>
      </c>
      <c r="CT17" s="6">
        <f t="shared" si="17"/>
        <v>0</v>
      </c>
      <c r="CU17" s="6">
        <f t="shared" si="17"/>
        <v>0</v>
      </c>
      <c r="CV17" s="6">
        <f t="shared" si="17"/>
        <v>0</v>
      </c>
      <c r="CW17" s="6">
        <f t="shared" si="17"/>
        <v>0</v>
      </c>
      <c r="CX17" s="6">
        <f t="shared" si="17"/>
        <v>0</v>
      </c>
      <c r="CY17" s="6">
        <f t="shared" si="17"/>
        <v>0</v>
      </c>
      <c r="CZ17" s="6">
        <f t="shared" si="17"/>
        <v>0</v>
      </c>
      <c r="DA17" s="6">
        <f t="shared" si="17"/>
        <v>0</v>
      </c>
      <c r="DB17" s="6">
        <f t="shared" si="17"/>
        <v>0</v>
      </c>
      <c r="DC17" s="6">
        <f t="shared" si="17"/>
        <v>0</v>
      </c>
      <c r="DD17" s="6">
        <f t="shared" si="17"/>
        <v>0</v>
      </c>
      <c r="DE17" s="6">
        <f t="shared" si="17"/>
        <v>0</v>
      </c>
      <c r="DF17" s="6">
        <f t="shared" si="17"/>
        <v>0</v>
      </c>
      <c r="DG17" s="6">
        <f t="shared" si="17"/>
        <v>0</v>
      </c>
      <c r="DH17" s="6">
        <f t="shared" si="17"/>
        <v>0</v>
      </c>
      <c r="DI17" s="6">
        <f t="shared" si="17"/>
        <v>0</v>
      </c>
      <c r="DJ17" s="6">
        <f t="shared" si="17"/>
        <v>0</v>
      </c>
      <c r="DK17" s="6">
        <f t="shared" si="17"/>
        <v>0</v>
      </c>
      <c r="DL17" s="6">
        <f t="shared" si="17"/>
        <v>0</v>
      </c>
      <c r="DM17" s="6">
        <f t="shared" si="17"/>
        <v>0</v>
      </c>
      <c r="DN17" s="6">
        <f t="shared" si="17"/>
        <v>0</v>
      </c>
      <c r="DO17" s="6">
        <f t="shared" si="17"/>
        <v>0</v>
      </c>
      <c r="DP17" s="6">
        <f t="shared" si="17"/>
        <v>0</v>
      </c>
      <c r="DQ17" s="6">
        <f t="shared" si="17"/>
        <v>0</v>
      </c>
      <c r="DR17" s="6">
        <f t="shared" si="17"/>
        <v>0</v>
      </c>
      <c r="DS17" s="6">
        <f t="shared" si="17"/>
        <v>0</v>
      </c>
      <c r="DT17" s="6">
        <f t="shared" si="17"/>
        <v>0</v>
      </c>
      <c r="DU17" s="6">
        <f t="shared" si="17"/>
        <v>0</v>
      </c>
      <c r="DV17" s="6">
        <f t="shared" si="17"/>
        <v>0</v>
      </c>
      <c r="DW17" s="6">
        <f t="shared" si="17"/>
        <v>0</v>
      </c>
      <c r="DX17" s="6">
        <f t="shared" si="17"/>
        <v>0</v>
      </c>
      <c r="DY17" s="6">
        <f t="shared" si="17"/>
        <v>0</v>
      </c>
      <c r="DZ17" s="6">
        <f t="shared" si="17"/>
        <v>0</v>
      </c>
      <c r="EA17" s="6">
        <f t="shared" si="17"/>
        <v>0</v>
      </c>
      <c r="EB17" s="6">
        <f t="shared" si="17"/>
        <v>0</v>
      </c>
      <c r="EC17" s="6">
        <f t="shared" si="17"/>
        <v>0</v>
      </c>
      <c r="ED17" s="6">
        <f t="shared" ref="ED17:GO17" si="18">SUM(ED13:ED16)</f>
        <v>0</v>
      </c>
      <c r="EE17" s="6">
        <f t="shared" si="18"/>
        <v>0</v>
      </c>
      <c r="EF17" s="6">
        <f t="shared" si="18"/>
        <v>0</v>
      </c>
      <c r="EG17" s="6">
        <f t="shared" si="18"/>
        <v>0</v>
      </c>
      <c r="EH17" s="6">
        <f t="shared" si="18"/>
        <v>0</v>
      </c>
      <c r="EI17" s="6">
        <f t="shared" si="18"/>
        <v>0</v>
      </c>
      <c r="EJ17" s="6">
        <f t="shared" si="18"/>
        <v>0</v>
      </c>
      <c r="EK17" s="6">
        <f t="shared" si="18"/>
        <v>0</v>
      </c>
      <c r="EL17" s="6">
        <f t="shared" si="18"/>
        <v>0</v>
      </c>
      <c r="EM17" s="6">
        <f t="shared" si="18"/>
        <v>0</v>
      </c>
      <c r="EN17" s="6">
        <f t="shared" si="18"/>
        <v>0</v>
      </c>
      <c r="EO17" s="6">
        <f t="shared" si="18"/>
        <v>0</v>
      </c>
      <c r="EP17" s="6">
        <f t="shared" si="18"/>
        <v>0</v>
      </c>
      <c r="EQ17" s="6">
        <f t="shared" si="18"/>
        <v>0</v>
      </c>
      <c r="ER17" s="6">
        <f t="shared" si="18"/>
        <v>0</v>
      </c>
      <c r="ES17" s="6">
        <f t="shared" si="18"/>
        <v>0</v>
      </c>
      <c r="ET17" s="6">
        <f t="shared" si="18"/>
        <v>0</v>
      </c>
      <c r="EU17" s="6">
        <f t="shared" si="18"/>
        <v>0</v>
      </c>
      <c r="EV17" s="6">
        <f t="shared" si="18"/>
        <v>0</v>
      </c>
      <c r="EW17" s="6">
        <f t="shared" si="18"/>
        <v>0</v>
      </c>
      <c r="EX17" s="6">
        <f t="shared" si="18"/>
        <v>0</v>
      </c>
      <c r="EY17" s="6">
        <f t="shared" si="18"/>
        <v>0</v>
      </c>
      <c r="EZ17" s="6">
        <f t="shared" si="18"/>
        <v>0</v>
      </c>
      <c r="FA17" s="6">
        <f t="shared" si="18"/>
        <v>0</v>
      </c>
      <c r="FB17" s="6">
        <f t="shared" si="18"/>
        <v>0</v>
      </c>
      <c r="FC17" s="6">
        <f t="shared" si="18"/>
        <v>0</v>
      </c>
      <c r="FD17" s="6">
        <f t="shared" si="18"/>
        <v>0</v>
      </c>
      <c r="FE17" s="6">
        <f t="shared" si="18"/>
        <v>0</v>
      </c>
      <c r="FF17" s="6">
        <f t="shared" si="18"/>
        <v>0</v>
      </c>
      <c r="FG17" s="6">
        <f t="shared" si="18"/>
        <v>0</v>
      </c>
      <c r="FH17" s="6">
        <f t="shared" si="18"/>
        <v>0</v>
      </c>
      <c r="FI17" s="6">
        <f t="shared" si="18"/>
        <v>0</v>
      </c>
      <c r="FJ17" s="6">
        <f t="shared" si="18"/>
        <v>0</v>
      </c>
      <c r="FK17" s="6">
        <f t="shared" si="18"/>
        <v>0</v>
      </c>
      <c r="FL17" s="6">
        <f t="shared" si="18"/>
        <v>0</v>
      </c>
      <c r="FM17" s="6">
        <f t="shared" si="18"/>
        <v>0</v>
      </c>
      <c r="FN17" s="6">
        <f t="shared" si="18"/>
        <v>0</v>
      </c>
      <c r="FO17" s="6">
        <f t="shared" si="18"/>
        <v>0</v>
      </c>
      <c r="FP17" s="6">
        <f t="shared" si="18"/>
        <v>0</v>
      </c>
      <c r="FQ17" s="6">
        <f t="shared" si="18"/>
        <v>0</v>
      </c>
      <c r="FR17" s="6">
        <f t="shared" si="18"/>
        <v>0</v>
      </c>
      <c r="FS17" s="6">
        <f t="shared" si="18"/>
        <v>0</v>
      </c>
      <c r="FT17" s="6">
        <f t="shared" si="18"/>
        <v>0</v>
      </c>
      <c r="FU17" s="6">
        <f t="shared" si="18"/>
        <v>0</v>
      </c>
      <c r="FV17" s="6">
        <f t="shared" si="18"/>
        <v>0</v>
      </c>
      <c r="FW17" s="6">
        <f t="shared" si="18"/>
        <v>0</v>
      </c>
      <c r="FX17" s="6">
        <f t="shared" si="18"/>
        <v>0</v>
      </c>
      <c r="FY17" s="6">
        <f t="shared" si="18"/>
        <v>0</v>
      </c>
      <c r="FZ17" s="6">
        <f t="shared" si="18"/>
        <v>0</v>
      </c>
      <c r="GA17" s="6">
        <f t="shared" si="18"/>
        <v>0</v>
      </c>
      <c r="GB17" s="6">
        <f t="shared" si="18"/>
        <v>0</v>
      </c>
      <c r="GC17" s="6">
        <f t="shared" si="18"/>
        <v>0</v>
      </c>
      <c r="GD17" s="6">
        <f t="shared" si="18"/>
        <v>0</v>
      </c>
      <c r="GE17" s="6">
        <f t="shared" si="18"/>
        <v>0</v>
      </c>
      <c r="GF17" s="6">
        <f t="shared" si="18"/>
        <v>0</v>
      </c>
      <c r="GG17" s="6">
        <f t="shared" si="18"/>
        <v>0</v>
      </c>
      <c r="GH17" s="6">
        <f t="shared" si="18"/>
        <v>0</v>
      </c>
      <c r="GI17" s="6">
        <f t="shared" si="18"/>
        <v>0</v>
      </c>
      <c r="GJ17" s="6">
        <f t="shared" si="18"/>
        <v>0</v>
      </c>
      <c r="GK17" s="6">
        <f t="shared" si="18"/>
        <v>0</v>
      </c>
      <c r="GL17" s="6">
        <f t="shared" si="18"/>
        <v>0</v>
      </c>
      <c r="GM17" s="6">
        <f t="shared" si="18"/>
        <v>0</v>
      </c>
      <c r="GN17" s="6">
        <f t="shared" si="18"/>
        <v>0</v>
      </c>
      <c r="GO17" s="6">
        <f t="shared" si="18"/>
        <v>0</v>
      </c>
      <c r="GP17" s="6">
        <f t="shared" ref="GP17:JA17" si="19">SUM(GP13:GP16)</f>
        <v>0</v>
      </c>
      <c r="GQ17" s="6">
        <f t="shared" si="19"/>
        <v>0</v>
      </c>
      <c r="GR17" s="6">
        <f t="shared" si="19"/>
        <v>0</v>
      </c>
      <c r="GS17" s="6">
        <f t="shared" si="19"/>
        <v>0</v>
      </c>
      <c r="GT17" s="6">
        <f t="shared" si="19"/>
        <v>0</v>
      </c>
      <c r="GU17" s="6">
        <f t="shared" si="19"/>
        <v>0</v>
      </c>
      <c r="GV17" s="6">
        <f t="shared" si="19"/>
        <v>0</v>
      </c>
      <c r="GW17" s="6">
        <f t="shared" si="19"/>
        <v>0</v>
      </c>
      <c r="GX17" s="6">
        <f t="shared" si="19"/>
        <v>0</v>
      </c>
      <c r="GY17" s="6">
        <f t="shared" si="19"/>
        <v>0</v>
      </c>
      <c r="GZ17" s="6">
        <f t="shared" si="19"/>
        <v>0</v>
      </c>
      <c r="HA17" s="6">
        <f t="shared" si="19"/>
        <v>0</v>
      </c>
      <c r="HB17" s="6">
        <f t="shared" si="19"/>
        <v>0</v>
      </c>
      <c r="HC17" s="6">
        <f t="shared" si="19"/>
        <v>0</v>
      </c>
      <c r="HD17" s="6">
        <f t="shared" si="19"/>
        <v>0</v>
      </c>
      <c r="HE17" s="6">
        <f t="shared" si="19"/>
        <v>0</v>
      </c>
      <c r="HF17" s="6">
        <f t="shared" si="19"/>
        <v>0</v>
      </c>
      <c r="HG17" s="6">
        <f t="shared" si="19"/>
        <v>0</v>
      </c>
      <c r="HH17" s="6">
        <f t="shared" si="19"/>
        <v>0</v>
      </c>
      <c r="HI17" s="6">
        <f t="shared" si="19"/>
        <v>0</v>
      </c>
      <c r="HJ17" s="6">
        <f t="shared" si="19"/>
        <v>0</v>
      </c>
      <c r="HK17" s="6">
        <f t="shared" si="19"/>
        <v>0</v>
      </c>
      <c r="HL17" s="6">
        <f t="shared" si="19"/>
        <v>0</v>
      </c>
      <c r="HM17" s="6">
        <f t="shared" si="19"/>
        <v>0</v>
      </c>
      <c r="HN17" s="6">
        <f t="shared" si="19"/>
        <v>0</v>
      </c>
      <c r="HO17" s="6">
        <f t="shared" si="19"/>
        <v>0</v>
      </c>
      <c r="HP17" s="6">
        <f t="shared" si="19"/>
        <v>0</v>
      </c>
      <c r="HQ17" s="6">
        <f t="shared" si="19"/>
        <v>0</v>
      </c>
      <c r="HR17" s="6">
        <f t="shared" si="19"/>
        <v>0</v>
      </c>
      <c r="HS17" s="6">
        <f t="shared" si="19"/>
        <v>0</v>
      </c>
      <c r="HT17" s="6">
        <f t="shared" si="19"/>
        <v>0</v>
      </c>
      <c r="HU17" s="6">
        <f t="shared" si="19"/>
        <v>0</v>
      </c>
      <c r="HV17" s="6">
        <f t="shared" si="19"/>
        <v>0</v>
      </c>
      <c r="HW17" s="6">
        <f t="shared" si="19"/>
        <v>0</v>
      </c>
      <c r="HX17" s="6">
        <f t="shared" si="19"/>
        <v>0</v>
      </c>
      <c r="HY17" s="6">
        <f t="shared" si="19"/>
        <v>0</v>
      </c>
      <c r="HZ17" s="6">
        <f t="shared" si="19"/>
        <v>0</v>
      </c>
      <c r="IA17" s="6">
        <f t="shared" si="19"/>
        <v>0</v>
      </c>
      <c r="IB17" s="6">
        <f t="shared" si="19"/>
        <v>0</v>
      </c>
      <c r="IC17" s="6">
        <f t="shared" si="19"/>
        <v>0</v>
      </c>
      <c r="ID17" s="6">
        <f t="shared" si="19"/>
        <v>0</v>
      </c>
      <c r="IE17" s="6">
        <f t="shared" si="19"/>
        <v>0</v>
      </c>
      <c r="IF17" s="6">
        <f t="shared" si="19"/>
        <v>0</v>
      </c>
      <c r="IG17" s="6">
        <f t="shared" si="19"/>
        <v>0</v>
      </c>
      <c r="IH17" s="6">
        <f t="shared" si="19"/>
        <v>0</v>
      </c>
      <c r="II17" s="6">
        <f t="shared" si="19"/>
        <v>0</v>
      </c>
      <c r="IJ17" s="6">
        <f t="shared" si="19"/>
        <v>0</v>
      </c>
      <c r="IK17" s="6">
        <f t="shared" si="19"/>
        <v>0</v>
      </c>
      <c r="IL17" s="6">
        <f t="shared" si="19"/>
        <v>0</v>
      </c>
      <c r="IM17" s="6">
        <f t="shared" si="19"/>
        <v>0</v>
      </c>
      <c r="IN17" s="6">
        <f t="shared" si="19"/>
        <v>0</v>
      </c>
      <c r="IO17" s="6">
        <f t="shared" si="19"/>
        <v>0</v>
      </c>
      <c r="IP17" s="6">
        <f t="shared" si="19"/>
        <v>0</v>
      </c>
      <c r="IQ17" s="6">
        <f t="shared" si="19"/>
        <v>0</v>
      </c>
      <c r="IR17" s="6">
        <f t="shared" si="19"/>
        <v>0</v>
      </c>
      <c r="IS17" s="6">
        <f t="shared" si="19"/>
        <v>0</v>
      </c>
      <c r="IT17" s="6">
        <f t="shared" si="19"/>
        <v>0</v>
      </c>
      <c r="IU17" s="6">
        <f t="shared" si="19"/>
        <v>0</v>
      </c>
      <c r="IV17" s="6">
        <f t="shared" si="19"/>
        <v>0</v>
      </c>
      <c r="IW17" s="6">
        <f t="shared" si="19"/>
        <v>0</v>
      </c>
      <c r="IX17" s="6">
        <f t="shared" si="19"/>
        <v>0</v>
      </c>
      <c r="IY17" s="6">
        <f t="shared" si="19"/>
        <v>0</v>
      </c>
      <c r="IZ17" s="6">
        <f t="shared" si="19"/>
        <v>0</v>
      </c>
      <c r="JA17" s="6">
        <f t="shared" si="19"/>
        <v>0</v>
      </c>
      <c r="JB17" s="6">
        <f t="shared" ref="JB17:KS17" si="20">SUM(JB13:JB16)</f>
        <v>0</v>
      </c>
      <c r="JC17" s="6">
        <f t="shared" si="20"/>
        <v>0</v>
      </c>
      <c r="JD17" s="6">
        <f t="shared" si="20"/>
        <v>0</v>
      </c>
      <c r="JE17" s="6">
        <f t="shared" si="20"/>
        <v>0</v>
      </c>
      <c r="JF17" s="6">
        <f t="shared" si="20"/>
        <v>0</v>
      </c>
      <c r="JG17" s="6">
        <f t="shared" si="20"/>
        <v>0</v>
      </c>
      <c r="JH17" s="6">
        <f t="shared" si="20"/>
        <v>0</v>
      </c>
      <c r="JI17" s="6">
        <f t="shared" si="20"/>
        <v>0</v>
      </c>
      <c r="JJ17" s="6">
        <f t="shared" si="20"/>
        <v>0</v>
      </c>
      <c r="JK17" s="6">
        <f t="shared" si="20"/>
        <v>0</v>
      </c>
      <c r="JL17" s="6">
        <f t="shared" si="20"/>
        <v>0</v>
      </c>
      <c r="JM17" s="6">
        <f t="shared" si="20"/>
        <v>0</v>
      </c>
      <c r="JN17" s="6">
        <f t="shared" si="20"/>
        <v>0</v>
      </c>
      <c r="JO17" s="6">
        <f t="shared" si="20"/>
        <v>0</v>
      </c>
      <c r="JP17" s="6">
        <f t="shared" si="20"/>
        <v>0</v>
      </c>
      <c r="JQ17" s="6">
        <f t="shared" si="20"/>
        <v>0</v>
      </c>
      <c r="JR17" s="6">
        <f t="shared" si="20"/>
        <v>0</v>
      </c>
      <c r="JS17" s="6">
        <f t="shared" si="20"/>
        <v>0</v>
      </c>
      <c r="JT17" s="6">
        <f t="shared" si="20"/>
        <v>0</v>
      </c>
      <c r="JU17" s="6">
        <f t="shared" si="20"/>
        <v>0</v>
      </c>
      <c r="JV17" s="6">
        <f t="shared" si="20"/>
        <v>0</v>
      </c>
      <c r="JW17" s="6">
        <f t="shared" si="20"/>
        <v>0</v>
      </c>
      <c r="JX17" s="6">
        <f t="shared" si="20"/>
        <v>0</v>
      </c>
      <c r="JY17" s="6">
        <f t="shared" si="20"/>
        <v>0</v>
      </c>
      <c r="JZ17" s="6">
        <f t="shared" si="20"/>
        <v>0</v>
      </c>
      <c r="KA17" s="6">
        <f t="shared" si="20"/>
        <v>0</v>
      </c>
      <c r="KB17" s="6">
        <f t="shared" si="20"/>
        <v>0</v>
      </c>
      <c r="KC17" s="6">
        <f t="shared" si="20"/>
        <v>0</v>
      </c>
      <c r="KD17" s="6">
        <f t="shared" si="20"/>
        <v>0</v>
      </c>
      <c r="KE17" s="6">
        <f t="shared" si="20"/>
        <v>0</v>
      </c>
      <c r="KF17" s="6">
        <f t="shared" si="20"/>
        <v>0</v>
      </c>
      <c r="KG17" s="6">
        <f t="shared" si="20"/>
        <v>0</v>
      </c>
      <c r="KH17" s="6">
        <f t="shared" si="20"/>
        <v>0</v>
      </c>
      <c r="KI17" s="6">
        <f t="shared" si="20"/>
        <v>0</v>
      </c>
      <c r="KJ17" s="6">
        <f t="shared" si="20"/>
        <v>0</v>
      </c>
      <c r="KK17" s="6">
        <f t="shared" si="20"/>
        <v>0</v>
      </c>
      <c r="KL17" s="6">
        <f t="shared" si="20"/>
        <v>0</v>
      </c>
      <c r="KM17" s="6">
        <f t="shared" si="20"/>
        <v>0</v>
      </c>
      <c r="KN17" s="6">
        <f t="shared" si="20"/>
        <v>0</v>
      </c>
      <c r="KO17" s="6">
        <f t="shared" si="20"/>
        <v>0</v>
      </c>
      <c r="KP17" s="6">
        <f t="shared" si="20"/>
        <v>0</v>
      </c>
      <c r="KQ17" s="6">
        <f t="shared" si="20"/>
        <v>0</v>
      </c>
      <c r="KR17" s="6">
        <f t="shared" si="20"/>
        <v>0</v>
      </c>
      <c r="KS17" s="6">
        <f t="shared" si="20"/>
        <v>0</v>
      </c>
    </row>
    <row r="18" spans="2:16384">
      <c r="B18" s="21"/>
      <c r="C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</row>
    <row r="19" spans="2:16384" s="7" customFormat="1">
      <c r="B19" s="28" t="s">
        <v>30</v>
      </c>
      <c r="C19" s="31">
        <f>IRR(E19:KS19)*12</f>
        <v>4.999999999614424E-2</v>
      </c>
      <c r="E19" s="9">
        <f>-E14-E16</f>
        <v>-163200</v>
      </c>
      <c r="F19" s="9">
        <f t="shared" ref="F19:BQ19" si="21">-F14-F16</f>
        <v>1650</v>
      </c>
      <c r="G19" s="9">
        <f t="shared" si="21"/>
        <v>1650</v>
      </c>
      <c r="H19" s="9">
        <f t="shared" si="21"/>
        <v>1650</v>
      </c>
      <c r="I19" s="9">
        <f t="shared" si="21"/>
        <v>1650</v>
      </c>
      <c r="J19" s="9">
        <f t="shared" si="21"/>
        <v>1650</v>
      </c>
      <c r="K19" s="9">
        <f t="shared" si="21"/>
        <v>1650</v>
      </c>
      <c r="L19" s="9">
        <f t="shared" si="21"/>
        <v>1650</v>
      </c>
      <c r="M19" s="9">
        <f t="shared" si="21"/>
        <v>1650</v>
      </c>
      <c r="N19" s="9">
        <f t="shared" si="21"/>
        <v>1650</v>
      </c>
      <c r="O19" s="9">
        <f t="shared" si="21"/>
        <v>1650</v>
      </c>
      <c r="P19" s="9">
        <f t="shared" si="21"/>
        <v>2165</v>
      </c>
      <c r="Q19" s="9">
        <f t="shared" si="21"/>
        <v>2321</v>
      </c>
      <c r="R19" s="9">
        <f t="shared" si="21"/>
        <v>2321</v>
      </c>
      <c r="S19" s="9">
        <f t="shared" si="21"/>
        <v>2321</v>
      </c>
      <c r="T19" s="9">
        <f t="shared" si="21"/>
        <v>2321</v>
      </c>
      <c r="U19" s="9">
        <f t="shared" si="21"/>
        <v>2321</v>
      </c>
      <c r="V19" s="9">
        <f t="shared" si="21"/>
        <v>2321</v>
      </c>
      <c r="W19" s="9">
        <f t="shared" si="21"/>
        <v>2321</v>
      </c>
      <c r="X19" s="9">
        <f t="shared" si="21"/>
        <v>2321</v>
      </c>
      <c r="Y19" s="9">
        <f t="shared" si="21"/>
        <v>2321</v>
      </c>
      <c r="Z19" s="9">
        <f t="shared" si="21"/>
        <v>2321</v>
      </c>
      <c r="AA19" s="9">
        <f t="shared" si="21"/>
        <v>2321</v>
      </c>
      <c r="AB19" s="9">
        <f t="shared" si="21"/>
        <v>2321</v>
      </c>
      <c r="AC19" s="9">
        <f t="shared" si="21"/>
        <v>2480.12</v>
      </c>
      <c r="AD19" s="9">
        <f t="shared" si="21"/>
        <v>2480.12</v>
      </c>
      <c r="AE19" s="9">
        <f t="shared" si="21"/>
        <v>2480.12</v>
      </c>
      <c r="AF19" s="9">
        <f t="shared" si="21"/>
        <v>2480.12</v>
      </c>
      <c r="AG19" s="9">
        <f t="shared" si="21"/>
        <v>2480.12</v>
      </c>
      <c r="AH19" s="9">
        <f t="shared" si="21"/>
        <v>2480.12</v>
      </c>
      <c r="AI19" s="9">
        <f t="shared" si="21"/>
        <v>2480.12</v>
      </c>
      <c r="AJ19" s="9">
        <f t="shared" si="21"/>
        <v>2480.12</v>
      </c>
      <c r="AK19" s="9">
        <f t="shared" si="21"/>
        <v>2480.12</v>
      </c>
      <c r="AL19" s="9">
        <f t="shared" si="21"/>
        <v>2480.12</v>
      </c>
      <c r="AM19" s="9">
        <f t="shared" si="21"/>
        <v>2480.12</v>
      </c>
      <c r="AN19" s="9">
        <f t="shared" si="21"/>
        <v>2480.12</v>
      </c>
      <c r="AO19" s="9">
        <f t="shared" si="21"/>
        <v>258.68779999999998</v>
      </c>
      <c r="AP19" s="9">
        <f t="shared" si="21"/>
        <v>1308.6227899999999</v>
      </c>
      <c r="AQ19" s="9">
        <f t="shared" si="21"/>
        <v>861.13809000000003</v>
      </c>
      <c r="AR19" s="9">
        <f t="shared" si="21"/>
        <v>494.80500999999998</v>
      </c>
      <c r="AS19" s="9">
        <f t="shared" si="21"/>
        <v>1472.1238000000001</v>
      </c>
      <c r="AT19" s="9">
        <f t="shared" si="21"/>
        <v>147.37223</v>
      </c>
      <c r="AU19" s="9">
        <f t="shared" si="21"/>
        <v>1275.2013400000001</v>
      </c>
      <c r="AV19" s="9">
        <f t="shared" si="21"/>
        <v>1024.56223</v>
      </c>
      <c r="AW19" s="9">
        <f t="shared" si="21"/>
        <v>1488.32266</v>
      </c>
      <c r="AX19" s="9">
        <f t="shared" si="21"/>
        <v>1699.7643399999999</v>
      </c>
      <c r="AY19" s="9">
        <f t="shared" si="21"/>
        <v>2642.3755999999998</v>
      </c>
      <c r="AZ19" s="9">
        <f t="shared" si="21"/>
        <v>2642.3755999999998</v>
      </c>
      <c r="BA19" s="9">
        <f t="shared" si="21"/>
        <v>2807.7789699999998</v>
      </c>
      <c r="BB19" s="9">
        <f t="shared" si="21"/>
        <v>2807.7789699999998</v>
      </c>
      <c r="BC19" s="9">
        <f t="shared" si="21"/>
        <v>2807.7789699999998</v>
      </c>
      <c r="BD19" s="9">
        <f t="shared" si="21"/>
        <v>2807.7789699999998</v>
      </c>
      <c r="BE19" s="9">
        <f t="shared" si="21"/>
        <v>2807.7789699999998</v>
      </c>
      <c r="BF19" s="9">
        <f t="shared" si="21"/>
        <v>2807.7789699999998</v>
      </c>
      <c r="BG19" s="9">
        <f t="shared" si="21"/>
        <v>2807.7789699999998</v>
      </c>
      <c r="BH19" s="9">
        <f t="shared" si="21"/>
        <v>2807.7789699999998</v>
      </c>
      <c r="BI19" s="9">
        <f t="shared" si="21"/>
        <v>2807.7789699999998</v>
      </c>
      <c r="BJ19" s="9">
        <f t="shared" si="21"/>
        <v>2807.7789699999998</v>
      </c>
      <c r="BK19" s="9">
        <f t="shared" si="21"/>
        <v>2807.7789699999998</v>
      </c>
      <c r="BL19" s="9">
        <f t="shared" si="21"/>
        <v>2807.7789699999998</v>
      </c>
      <c r="BM19" s="9">
        <f t="shared" si="21"/>
        <v>2976.3385400000002</v>
      </c>
      <c r="BN19" s="9">
        <f t="shared" si="21"/>
        <v>2976.3385400000002</v>
      </c>
      <c r="BO19" s="9">
        <f t="shared" si="21"/>
        <v>2976.3385400000002</v>
      </c>
      <c r="BP19" s="9">
        <f t="shared" si="21"/>
        <v>2976.3385400000002</v>
      </c>
      <c r="BQ19" s="9">
        <f t="shared" si="21"/>
        <v>2976.3385400000002</v>
      </c>
      <c r="BR19" s="9">
        <f t="shared" ref="BR19:EC19" si="22">-BR14-BR16</f>
        <v>2976.3385400000002</v>
      </c>
      <c r="BS19" s="9">
        <f t="shared" si="22"/>
        <v>2976.3385400000002</v>
      </c>
      <c r="BT19" s="9">
        <f t="shared" si="22"/>
        <v>2976.3385400000002</v>
      </c>
      <c r="BU19" s="9">
        <f t="shared" si="22"/>
        <v>2976.3385400000002</v>
      </c>
      <c r="BV19" s="9">
        <f t="shared" si="22"/>
        <v>2976.3385400000002</v>
      </c>
      <c r="BW19" s="9">
        <f t="shared" si="22"/>
        <v>2976.3385400000002</v>
      </c>
      <c r="BX19" s="9">
        <f t="shared" si="22"/>
        <v>2976.3385400000002</v>
      </c>
      <c r="BY19" s="9">
        <f t="shared" si="22"/>
        <v>3148.0587099999998</v>
      </c>
      <c r="BZ19" s="9">
        <f t="shared" si="22"/>
        <v>3148.0587099999998</v>
      </c>
      <c r="CA19" s="9">
        <f t="shared" si="22"/>
        <v>3148.0587099999998</v>
      </c>
      <c r="CB19" s="9">
        <f t="shared" si="22"/>
        <v>3148.0587099999998</v>
      </c>
      <c r="CC19" s="9">
        <f t="shared" si="22"/>
        <v>3148.0587099999998</v>
      </c>
      <c r="CD19" s="9">
        <f t="shared" si="22"/>
        <v>3148.0587099999998</v>
      </c>
      <c r="CE19" s="9">
        <f t="shared" si="22"/>
        <v>3148.0587099999998</v>
      </c>
      <c r="CF19" s="9">
        <f t="shared" si="22"/>
        <v>3148.0587099999998</v>
      </c>
      <c r="CG19" s="9">
        <f t="shared" si="22"/>
        <v>3148.0587099999998</v>
      </c>
      <c r="CH19" s="9">
        <f t="shared" si="22"/>
        <v>3148.0587099999998</v>
      </c>
      <c r="CI19" s="9">
        <f t="shared" si="22"/>
        <v>3148.0587099999998</v>
      </c>
      <c r="CJ19" s="9">
        <f t="shared" si="22"/>
        <v>914.5941100002309</v>
      </c>
      <c r="CK19" s="9">
        <f t="shared" si="22"/>
        <v>0</v>
      </c>
      <c r="CL19" s="9">
        <f t="shared" si="22"/>
        <v>0</v>
      </c>
      <c r="CM19" s="9">
        <f t="shared" si="22"/>
        <v>0</v>
      </c>
      <c r="CN19" s="9">
        <f t="shared" si="22"/>
        <v>0</v>
      </c>
      <c r="CO19" s="9">
        <f t="shared" si="22"/>
        <v>0</v>
      </c>
      <c r="CP19" s="9">
        <f t="shared" si="22"/>
        <v>0</v>
      </c>
      <c r="CQ19" s="9">
        <f t="shared" si="22"/>
        <v>0</v>
      </c>
      <c r="CR19" s="9">
        <f t="shared" si="22"/>
        <v>0</v>
      </c>
      <c r="CS19" s="9">
        <f t="shared" si="22"/>
        <v>0</v>
      </c>
      <c r="CT19" s="9">
        <f t="shared" si="22"/>
        <v>0</v>
      </c>
      <c r="CU19" s="9">
        <f t="shared" si="22"/>
        <v>0</v>
      </c>
      <c r="CV19" s="9">
        <f t="shared" si="22"/>
        <v>0</v>
      </c>
      <c r="CW19" s="9">
        <f t="shared" si="22"/>
        <v>0</v>
      </c>
      <c r="CX19" s="9">
        <f t="shared" si="22"/>
        <v>0</v>
      </c>
      <c r="CY19" s="9">
        <f t="shared" si="22"/>
        <v>0</v>
      </c>
      <c r="CZ19" s="9">
        <f t="shared" si="22"/>
        <v>0</v>
      </c>
      <c r="DA19" s="9">
        <f t="shared" si="22"/>
        <v>0</v>
      </c>
      <c r="DB19" s="9">
        <f t="shared" si="22"/>
        <v>0</v>
      </c>
      <c r="DC19" s="9">
        <f t="shared" si="22"/>
        <v>0</v>
      </c>
      <c r="DD19" s="9">
        <f t="shared" si="22"/>
        <v>0</v>
      </c>
      <c r="DE19" s="9">
        <f t="shared" si="22"/>
        <v>0</v>
      </c>
      <c r="DF19" s="9">
        <f t="shared" si="22"/>
        <v>0</v>
      </c>
      <c r="DG19" s="9">
        <f t="shared" si="22"/>
        <v>0</v>
      </c>
      <c r="DH19" s="9">
        <f t="shared" si="22"/>
        <v>0</v>
      </c>
      <c r="DI19" s="9">
        <f t="shared" si="22"/>
        <v>0</v>
      </c>
      <c r="DJ19" s="9">
        <f t="shared" si="22"/>
        <v>0</v>
      </c>
      <c r="DK19" s="9">
        <f t="shared" si="22"/>
        <v>0</v>
      </c>
      <c r="DL19" s="9">
        <f t="shared" si="22"/>
        <v>0</v>
      </c>
      <c r="DM19" s="9">
        <f t="shared" si="22"/>
        <v>0</v>
      </c>
      <c r="DN19" s="9">
        <f t="shared" si="22"/>
        <v>0</v>
      </c>
      <c r="DO19" s="9">
        <f t="shared" si="22"/>
        <v>0</v>
      </c>
      <c r="DP19" s="9">
        <f t="shared" si="22"/>
        <v>0</v>
      </c>
      <c r="DQ19" s="9">
        <f t="shared" si="22"/>
        <v>0</v>
      </c>
      <c r="DR19" s="9">
        <f t="shared" si="22"/>
        <v>0</v>
      </c>
      <c r="DS19" s="9">
        <f t="shared" si="22"/>
        <v>0</v>
      </c>
      <c r="DT19" s="9">
        <f t="shared" si="22"/>
        <v>0</v>
      </c>
      <c r="DU19" s="9">
        <f t="shared" si="22"/>
        <v>0</v>
      </c>
      <c r="DV19" s="9">
        <f t="shared" si="22"/>
        <v>0</v>
      </c>
      <c r="DW19" s="9">
        <f t="shared" si="22"/>
        <v>0</v>
      </c>
      <c r="DX19" s="9">
        <f t="shared" si="22"/>
        <v>0</v>
      </c>
      <c r="DY19" s="9">
        <f t="shared" si="22"/>
        <v>0</v>
      </c>
      <c r="DZ19" s="9">
        <f t="shared" si="22"/>
        <v>0</v>
      </c>
      <c r="EA19" s="9">
        <f t="shared" si="22"/>
        <v>0</v>
      </c>
      <c r="EB19" s="9">
        <f t="shared" si="22"/>
        <v>0</v>
      </c>
      <c r="EC19" s="9">
        <f t="shared" si="22"/>
        <v>0</v>
      </c>
      <c r="ED19" s="9">
        <f t="shared" ref="ED19:GO19" si="23">-ED14-ED16</f>
        <v>0</v>
      </c>
      <c r="EE19" s="9">
        <f t="shared" si="23"/>
        <v>0</v>
      </c>
      <c r="EF19" s="9">
        <f t="shared" si="23"/>
        <v>0</v>
      </c>
      <c r="EG19" s="9">
        <f t="shared" si="23"/>
        <v>0</v>
      </c>
      <c r="EH19" s="9">
        <f t="shared" si="23"/>
        <v>0</v>
      </c>
      <c r="EI19" s="9">
        <f t="shared" si="23"/>
        <v>0</v>
      </c>
      <c r="EJ19" s="9">
        <f t="shared" si="23"/>
        <v>0</v>
      </c>
      <c r="EK19" s="9">
        <f t="shared" si="23"/>
        <v>0</v>
      </c>
      <c r="EL19" s="9">
        <f t="shared" si="23"/>
        <v>0</v>
      </c>
      <c r="EM19" s="9">
        <f t="shared" si="23"/>
        <v>0</v>
      </c>
      <c r="EN19" s="9">
        <f t="shared" si="23"/>
        <v>0</v>
      </c>
      <c r="EO19" s="9">
        <f t="shared" si="23"/>
        <v>0</v>
      </c>
      <c r="EP19" s="9">
        <f t="shared" si="23"/>
        <v>0</v>
      </c>
      <c r="EQ19" s="9">
        <f t="shared" si="23"/>
        <v>0</v>
      </c>
      <c r="ER19" s="9">
        <f t="shared" si="23"/>
        <v>0</v>
      </c>
      <c r="ES19" s="9">
        <f t="shared" si="23"/>
        <v>0</v>
      </c>
      <c r="ET19" s="9">
        <f t="shared" si="23"/>
        <v>0</v>
      </c>
      <c r="EU19" s="9">
        <f t="shared" si="23"/>
        <v>0</v>
      </c>
      <c r="EV19" s="9">
        <f t="shared" si="23"/>
        <v>0</v>
      </c>
      <c r="EW19" s="9">
        <f t="shared" si="23"/>
        <v>0</v>
      </c>
      <c r="EX19" s="9">
        <f t="shared" si="23"/>
        <v>0</v>
      </c>
      <c r="EY19" s="9">
        <f t="shared" si="23"/>
        <v>0</v>
      </c>
      <c r="EZ19" s="9">
        <f t="shared" si="23"/>
        <v>0</v>
      </c>
      <c r="FA19" s="9">
        <f t="shared" si="23"/>
        <v>0</v>
      </c>
      <c r="FB19" s="9">
        <f t="shared" si="23"/>
        <v>0</v>
      </c>
      <c r="FC19" s="9">
        <f t="shared" si="23"/>
        <v>0</v>
      </c>
      <c r="FD19" s="9">
        <f t="shared" si="23"/>
        <v>0</v>
      </c>
      <c r="FE19" s="9">
        <f t="shared" si="23"/>
        <v>0</v>
      </c>
      <c r="FF19" s="9">
        <f t="shared" si="23"/>
        <v>0</v>
      </c>
      <c r="FG19" s="9">
        <f t="shared" si="23"/>
        <v>0</v>
      </c>
      <c r="FH19" s="9">
        <f t="shared" si="23"/>
        <v>0</v>
      </c>
      <c r="FI19" s="9">
        <f t="shared" si="23"/>
        <v>0</v>
      </c>
      <c r="FJ19" s="9">
        <f t="shared" si="23"/>
        <v>0</v>
      </c>
      <c r="FK19" s="9">
        <f t="shared" si="23"/>
        <v>0</v>
      </c>
      <c r="FL19" s="9">
        <f t="shared" si="23"/>
        <v>0</v>
      </c>
      <c r="FM19" s="9">
        <f t="shared" si="23"/>
        <v>0</v>
      </c>
      <c r="FN19" s="9">
        <f t="shared" si="23"/>
        <v>0</v>
      </c>
      <c r="FO19" s="9">
        <f t="shared" si="23"/>
        <v>0</v>
      </c>
      <c r="FP19" s="9">
        <f t="shared" si="23"/>
        <v>0</v>
      </c>
      <c r="FQ19" s="9">
        <f t="shared" si="23"/>
        <v>0</v>
      </c>
      <c r="FR19" s="9">
        <f t="shared" si="23"/>
        <v>0</v>
      </c>
      <c r="FS19" s="9">
        <f t="shared" si="23"/>
        <v>0</v>
      </c>
      <c r="FT19" s="9">
        <f t="shared" si="23"/>
        <v>0</v>
      </c>
      <c r="FU19" s="9">
        <f t="shared" si="23"/>
        <v>0</v>
      </c>
      <c r="FV19" s="9">
        <f t="shared" si="23"/>
        <v>0</v>
      </c>
      <c r="FW19" s="9">
        <f t="shared" si="23"/>
        <v>0</v>
      </c>
      <c r="FX19" s="9">
        <f t="shared" si="23"/>
        <v>0</v>
      </c>
      <c r="FY19" s="9">
        <f t="shared" si="23"/>
        <v>0</v>
      </c>
      <c r="FZ19" s="9">
        <f t="shared" si="23"/>
        <v>0</v>
      </c>
      <c r="GA19" s="9">
        <f t="shared" si="23"/>
        <v>0</v>
      </c>
      <c r="GB19" s="9">
        <f t="shared" si="23"/>
        <v>0</v>
      </c>
      <c r="GC19" s="9">
        <f t="shared" si="23"/>
        <v>0</v>
      </c>
      <c r="GD19" s="9">
        <f t="shared" si="23"/>
        <v>0</v>
      </c>
      <c r="GE19" s="9">
        <f t="shared" si="23"/>
        <v>0</v>
      </c>
      <c r="GF19" s="9">
        <f t="shared" si="23"/>
        <v>0</v>
      </c>
      <c r="GG19" s="9">
        <f t="shared" si="23"/>
        <v>0</v>
      </c>
      <c r="GH19" s="9">
        <f t="shared" si="23"/>
        <v>0</v>
      </c>
      <c r="GI19" s="9">
        <f t="shared" si="23"/>
        <v>0</v>
      </c>
      <c r="GJ19" s="9">
        <f t="shared" si="23"/>
        <v>0</v>
      </c>
      <c r="GK19" s="9">
        <f t="shared" si="23"/>
        <v>0</v>
      </c>
      <c r="GL19" s="9">
        <f t="shared" si="23"/>
        <v>0</v>
      </c>
      <c r="GM19" s="9">
        <f t="shared" si="23"/>
        <v>0</v>
      </c>
      <c r="GN19" s="9">
        <f t="shared" si="23"/>
        <v>0</v>
      </c>
      <c r="GO19" s="9">
        <f t="shared" si="23"/>
        <v>0</v>
      </c>
      <c r="GP19" s="9">
        <f t="shared" ref="GP19:JA19" si="24">-GP14-GP16</f>
        <v>0</v>
      </c>
      <c r="GQ19" s="9">
        <f t="shared" si="24"/>
        <v>0</v>
      </c>
      <c r="GR19" s="9">
        <f t="shared" si="24"/>
        <v>0</v>
      </c>
      <c r="GS19" s="9">
        <f t="shared" si="24"/>
        <v>0</v>
      </c>
      <c r="GT19" s="9">
        <f t="shared" si="24"/>
        <v>0</v>
      </c>
      <c r="GU19" s="9">
        <f t="shared" si="24"/>
        <v>0</v>
      </c>
      <c r="GV19" s="9">
        <f t="shared" si="24"/>
        <v>0</v>
      </c>
      <c r="GW19" s="9">
        <f t="shared" si="24"/>
        <v>0</v>
      </c>
      <c r="GX19" s="9">
        <f t="shared" si="24"/>
        <v>0</v>
      </c>
      <c r="GY19" s="9">
        <f t="shared" si="24"/>
        <v>0</v>
      </c>
      <c r="GZ19" s="9">
        <f t="shared" si="24"/>
        <v>0</v>
      </c>
      <c r="HA19" s="9">
        <f t="shared" si="24"/>
        <v>0</v>
      </c>
      <c r="HB19" s="9">
        <f t="shared" si="24"/>
        <v>0</v>
      </c>
      <c r="HC19" s="9">
        <f t="shared" si="24"/>
        <v>0</v>
      </c>
      <c r="HD19" s="9">
        <f t="shared" si="24"/>
        <v>0</v>
      </c>
      <c r="HE19" s="9">
        <f t="shared" si="24"/>
        <v>0</v>
      </c>
      <c r="HF19" s="9">
        <f t="shared" si="24"/>
        <v>0</v>
      </c>
      <c r="HG19" s="9">
        <f t="shared" si="24"/>
        <v>0</v>
      </c>
      <c r="HH19" s="9">
        <f t="shared" si="24"/>
        <v>0</v>
      </c>
      <c r="HI19" s="9">
        <f t="shared" si="24"/>
        <v>0</v>
      </c>
      <c r="HJ19" s="9">
        <f t="shared" si="24"/>
        <v>0</v>
      </c>
      <c r="HK19" s="9">
        <f t="shared" si="24"/>
        <v>0</v>
      </c>
      <c r="HL19" s="9">
        <f t="shared" si="24"/>
        <v>0</v>
      </c>
      <c r="HM19" s="9">
        <f t="shared" si="24"/>
        <v>0</v>
      </c>
      <c r="HN19" s="9">
        <f t="shared" si="24"/>
        <v>0</v>
      </c>
      <c r="HO19" s="9">
        <f t="shared" si="24"/>
        <v>0</v>
      </c>
      <c r="HP19" s="9">
        <f t="shared" si="24"/>
        <v>0</v>
      </c>
      <c r="HQ19" s="9">
        <f t="shared" si="24"/>
        <v>0</v>
      </c>
      <c r="HR19" s="9">
        <f t="shared" si="24"/>
        <v>0</v>
      </c>
      <c r="HS19" s="9">
        <f t="shared" si="24"/>
        <v>0</v>
      </c>
      <c r="HT19" s="9">
        <f t="shared" si="24"/>
        <v>0</v>
      </c>
      <c r="HU19" s="9">
        <f t="shared" si="24"/>
        <v>0</v>
      </c>
      <c r="HV19" s="9">
        <f t="shared" si="24"/>
        <v>0</v>
      </c>
      <c r="HW19" s="9">
        <f t="shared" si="24"/>
        <v>0</v>
      </c>
      <c r="HX19" s="9">
        <f t="shared" si="24"/>
        <v>0</v>
      </c>
      <c r="HY19" s="9">
        <f t="shared" si="24"/>
        <v>0</v>
      </c>
      <c r="HZ19" s="9">
        <f t="shared" si="24"/>
        <v>0</v>
      </c>
      <c r="IA19" s="9">
        <f t="shared" si="24"/>
        <v>0</v>
      </c>
      <c r="IB19" s="9">
        <f t="shared" si="24"/>
        <v>0</v>
      </c>
      <c r="IC19" s="9">
        <f t="shared" si="24"/>
        <v>0</v>
      </c>
      <c r="ID19" s="9">
        <f t="shared" si="24"/>
        <v>0</v>
      </c>
      <c r="IE19" s="9">
        <f t="shared" si="24"/>
        <v>0</v>
      </c>
      <c r="IF19" s="9">
        <f t="shared" si="24"/>
        <v>0</v>
      </c>
      <c r="IG19" s="9">
        <f t="shared" si="24"/>
        <v>0</v>
      </c>
      <c r="IH19" s="9">
        <f t="shared" si="24"/>
        <v>0</v>
      </c>
      <c r="II19" s="9">
        <f t="shared" si="24"/>
        <v>0</v>
      </c>
      <c r="IJ19" s="9">
        <f t="shared" si="24"/>
        <v>0</v>
      </c>
      <c r="IK19" s="9">
        <f t="shared" si="24"/>
        <v>0</v>
      </c>
      <c r="IL19" s="9">
        <f t="shared" si="24"/>
        <v>0</v>
      </c>
      <c r="IM19" s="9">
        <f t="shared" si="24"/>
        <v>0</v>
      </c>
      <c r="IN19" s="9">
        <f t="shared" si="24"/>
        <v>0</v>
      </c>
      <c r="IO19" s="9">
        <f t="shared" si="24"/>
        <v>0</v>
      </c>
      <c r="IP19" s="9">
        <f t="shared" si="24"/>
        <v>0</v>
      </c>
      <c r="IQ19" s="9">
        <f t="shared" si="24"/>
        <v>0</v>
      </c>
      <c r="IR19" s="9">
        <f t="shared" si="24"/>
        <v>0</v>
      </c>
      <c r="IS19" s="9">
        <f t="shared" si="24"/>
        <v>0</v>
      </c>
      <c r="IT19" s="9">
        <f t="shared" si="24"/>
        <v>0</v>
      </c>
      <c r="IU19" s="9">
        <f t="shared" si="24"/>
        <v>0</v>
      </c>
      <c r="IV19" s="9">
        <f t="shared" si="24"/>
        <v>0</v>
      </c>
      <c r="IW19" s="9">
        <f t="shared" si="24"/>
        <v>0</v>
      </c>
      <c r="IX19" s="9">
        <f t="shared" si="24"/>
        <v>0</v>
      </c>
      <c r="IY19" s="9">
        <f t="shared" si="24"/>
        <v>0</v>
      </c>
      <c r="IZ19" s="9">
        <f t="shared" si="24"/>
        <v>0</v>
      </c>
      <c r="JA19" s="9">
        <f t="shared" si="24"/>
        <v>0</v>
      </c>
      <c r="JB19" s="9">
        <f t="shared" ref="JB19:KS19" si="25">-JB14-JB16</f>
        <v>0</v>
      </c>
      <c r="JC19" s="9">
        <f t="shared" si="25"/>
        <v>0</v>
      </c>
      <c r="JD19" s="9">
        <f t="shared" si="25"/>
        <v>0</v>
      </c>
      <c r="JE19" s="9">
        <f t="shared" si="25"/>
        <v>0</v>
      </c>
      <c r="JF19" s="9">
        <f t="shared" si="25"/>
        <v>0</v>
      </c>
      <c r="JG19" s="9">
        <f t="shared" si="25"/>
        <v>0</v>
      </c>
      <c r="JH19" s="9">
        <f t="shared" si="25"/>
        <v>0</v>
      </c>
      <c r="JI19" s="9">
        <f t="shared" si="25"/>
        <v>0</v>
      </c>
      <c r="JJ19" s="9">
        <f t="shared" si="25"/>
        <v>0</v>
      </c>
      <c r="JK19" s="9">
        <f t="shared" si="25"/>
        <v>0</v>
      </c>
      <c r="JL19" s="9">
        <f t="shared" si="25"/>
        <v>0</v>
      </c>
      <c r="JM19" s="9">
        <f t="shared" si="25"/>
        <v>0</v>
      </c>
      <c r="JN19" s="9">
        <f t="shared" si="25"/>
        <v>0</v>
      </c>
      <c r="JO19" s="9">
        <f t="shared" si="25"/>
        <v>0</v>
      </c>
      <c r="JP19" s="9">
        <f t="shared" si="25"/>
        <v>0</v>
      </c>
      <c r="JQ19" s="9">
        <f t="shared" si="25"/>
        <v>0</v>
      </c>
      <c r="JR19" s="9">
        <f t="shared" si="25"/>
        <v>0</v>
      </c>
      <c r="JS19" s="9">
        <f t="shared" si="25"/>
        <v>0</v>
      </c>
      <c r="JT19" s="9">
        <f t="shared" si="25"/>
        <v>0</v>
      </c>
      <c r="JU19" s="9">
        <f t="shared" si="25"/>
        <v>0</v>
      </c>
      <c r="JV19" s="9">
        <f t="shared" si="25"/>
        <v>0</v>
      </c>
      <c r="JW19" s="9">
        <f t="shared" si="25"/>
        <v>0</v>
      </c>
      <c r="JX19" s="9">
        <f t="shared" si="25"/>
        <v>0</v>
      </c>
      <c r="JY19" s="9">
        <f t="shared" si="25"/>
        <v>0</v>
      </c>
      <c r="JZ19" s="9">
        <f t="shared" si="25"/>
        <v>0</v>
      </c>
      <c r="KA19" s="9">
        <f t="shared" si="25"/>
        <v>0</v>
      </c>
      <c r="KB19" s="9">
        <f t="shared" si="25"/>
        <v>0</v>
      </c>
      <c r="KC19" s="9">
        <f t="shared" si="25"/>
        <v>0</v>
      </c>
      <c r="KD19" s="9">
        <f t="shared" si="25"/>
        <v>0</v>
      </c>
      <c r="KE19" s="9">
        <f t="shared" si="25"/>
        <v>0</v>
      </c>
      <c r="KF19" s="9">
        <f t="shared" si="25"/>
        <v>0</v>
      </c>
      <c r="KG19" s="9">
        <f t="shared" si="25"/>
        <v>0</v>
      </c>
      <c r="KH19" s="9">
        <f t="shared" si="25"/>
        <v>0</v>
      </c>
      <c r="KI19" s="9">
        <f t="shared" si="25"/>
        <v>0</v>
      </c>
      <c r="KJ19" s="9">
        <f t="shared" si="25"/>
        <v>0</v>
      </c>
      <c r="KK19" s="9">
        <f t="shared" si="25"/>
        <v>0</v>
      </c>
      <c r="KL19" s="9">
        <f t="shared" si="25"/>
        <v>0</v>
      </c>
      <c r="KM19" s="9">
        <f t="shared" si="25"/>
        <v>0</v>
      </c>
      <c r="KN19" s="9">
        <f t="shared" si="25"/>
        <v>0</v>
      </c>
      <c r="KO19" s="9">
        <f t="shared" si="25"/>
        <v>0</v>
      </c>
      <c r="KP19" s="9">
        <f t="shared" si="25"/>
        <v>0</v>
      </c>
      <c r="KQ19" s="9">
        <f t="shared" si="25"/>
        <v>0</v>
      </c>
      <c r="KR19" s="9">
        <f t="shared" si="25"/>
        <v>0</v>
      </c>
      <c r="KS19" s="9">
        <f t="shared" si="25"/>
        <v>0</v>
      </c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1" spans="2:16384">
      <c r="B21" s="21" t="s">
        <v>31</v>
      </c>
      <c r="C21" s="22"/>
      <c r="E21" s="6">
        <f>IF(Inputs!$E$8=1,E5+E16+IF(E4&gt;0,E4,0),0)</f>
        <v>0</v>
      </c>
      <c r="F21" s="6">
        <f>IF(Inputs!$E$8=1,F5+F16+IF(F4&gt;0,F4,0),0)</f>
        <v>0</v>
      </c>
      <c r="G21" s="6">
        <f>IF(Inputs!$E$8=1,G5+G16+IF(G4&gt;0,G4,0),0)</f>
        <v>0</v>
      </c>
      <c r="H21" s="6">
        <f>IF(Inputs!$E$8=1,H5+H16+IF(H4&gt;0,H4,0),0)</f>
        <v>0</v>
      </c>
      <c r="I21" s="6">
        <f>IF(Inputs!$E$8=1,I5+I16+IF(I4&gt;0,I4,0),0)</f>
        <v>0</v>
      </c>
      <c r="J21" s="6">
        <f>IF(Inputs!$E$8=1,J5+J16+IF(J4&gt;0,J4,0),0)</f>
        <v>0</v>
      </c>
      <c r="K21" s="6">
        <f>IF(Inputs!$E$8=1,K5+K16+IF(K4&gt;0,K4,0),0)</f>
        <v>0</v>
      </c>
      <c r="L21" s="6">
        <f>IF(Inputs!$E$8=1,L5+L16+IF(L4&gt;0,L4,0),0)</f>
        <v>0</v>
      </c>
      <c r="M21" s="6">
        <f>IF(Inputs!$E$8=1,M5+M16+IF(M4&gt;0,M4,0),0)</f>
        <v>0</v>
      </c>
      <c r="N21" s="6">
        <f>IF(Inputs!$E$8=1,N5+N16+IF(N4&gt;0,N4,0),0)</f>
        <v>0</v>
      </c>
      <c r="O21" s="6">
        <f>IF(Inputs!$E$8=1,O5+O16+IF(O4&gt;0,O4,0),0)</f>
        <v>0</v>
      </c>
      <c r="P21" s="6">
        <f>IF(Inputs!$E$8=1,P5+P16+IF(P4&gt;0,P4,0),0)</f>
        <v>0</v>
      </c>
      <c r="Q21" s="6">
        <f>IF(Inputs!$E$8=1,Q5+Q16+IF(Q4&gt;0,Q4,0),0)</f>
        <v>0</v>
      </c>
      <c r="R21" s="6">
        <f>IF(Inputs!$E$8=1,R5+R16+IF(R4&gt;0,R4,0),0)</f>
        <v>0</v>
      </c>
      <c r="S21" s="6">
        <f>IF(Inputs!$E$8=1,S5+S16+IF(S4&gt;0,S4,0),0)</f>
        <v>0</v>
      </c>
      <c r="T21" s="6">
        <f>IF(Inputs!$E$8=1,T5+T16+IF(T4&gt;0,T4,0),0)</f>
        <v>0</v>
      </c>
      <c r="U21" s="6">
        <f>IF(Inputs!$E$8=1,U5+U16+IF(U4&gt;0,U4,0),0)</f>
        <v>0</v>
      </c>
      <c r="V21" s="6">
        <f>IF(Inputs!$E$8=1,V5+V16+IF(V4&gt;0,V4,0),0)</f>
        <v>0</v>
      </c>
      <c r="W21" s="6">
        <f>IF(Inputs!$E$8=1,W5+W16+IF(W4&gt;0,W4,0),0)</f>
        <v>0</v>
      </c>
      <c r="X21" s="6">
        <f>IF(Inputs!$E$8=1,X5+X16+IF(X4&gt;0,X4,0),0)</f>
        <v>0</v>
      </c>
      <c r="Y21" s="6">
        <f>IF(Inputs!$E$8=1,Y5+Y16+IF(Y4&gt;0,Y4,0),0)</f>
        <v>0</v>
      </c>
      <c r="Z21" s="6">
        <f>IF(Inputs!$E$8=1,Z5+Z16+IF(Z4&gt;0,Z4,0),0)</f>
        <v>0</v>
      </c>
      <c r="AA21" s="6">
        <f>IF(Inputs!$E$8=1,AA5+AA16+IF(AA4&gt;0,AA4,0),0)</f>
        <v>0</v>
      </c>
      <c r="AB21" s="6">
        <f>IF(Inputs!$E$8=1,AB5+AB16+IF(AB4&gt;0,AB4,0),0)</f>
        <v>0</v>
      </c>
      <c r="AC21" s="6">
        <f>IF(Inputs!$E$8=1,AC5+AC16+IF(AC4&gt;0,AC4,0),0)</f>
        <v>0</v>
      </c>
      <c r="AD21" s="6">
        <f>IF(Inputs!$E$8=1,AD5+AD16+IF(AD4&gt;0,AD4,0),0)</f>
        <v>0</v>
      </c>
      <c r="AE21" s="6">
        <f>IF(Inputs!$E$8=1,AE5+AE16+IF(AE4&gt;0,AE4,0),0)</f>
        <v>0</v>
      </c>
      <c r="AF21" s="6">
        <f>IF(Inputs!$E$8=1,AF5+AF16+IF(AF4&gt;0,AF4,0),0)</f>
        <v>0</v>
      </c>
      <c r="AG21" s="6">
        <f>IF(Inputs!$E$8=1,AG5+AG16+IF(AG4&gt;0,AG4,0),0)</f>
        <v>0</v>
      </c>
      <c r="AH21" s="6">
        <f>IF(Inputs!$E$8=1,AH5+AH16+IF(AH4&gt;0,AH4,0),0)</f>
        <v>0</v>
      </c>
      <c r="AI21" s="6">
        <f>IF(Inputs!$E$8=1,AI5+AI16+IF(AI4&gt;0,AI4,0),0)</f>
        <v>0</v>
      </c>
      <c r="AJ21" s="6">
        <f>IF(Inputs!$E$8=1,AJ5+AJ16+IF(AJ4&gt;0,AJ4,0),0)</f>
        <v>0</v>
      </c>
      <c r="AK21" s="6">
        <f>IF(Inputs!$E$8=1,AK5+AK16+IF(AK4&gt;0,AK4,0),0)</f>
        <v>0</v>
      </c>
      <c r="AL21" s="6">
        <f>IF(Inputs!$E$8=1,AL5+AL16+IF(AL4&gt;0,AL4,0),0)</f>
        <v>0</v>
      </c>
      <c r="AM21" s="6">
        <f>IF(Inputs!$E$8=1,AM5+AM16+IF(AM4&gt;0,AM4,0),0)</f>
        <v>0</v>
      </c>
      <c r="AN21" s="6">
        <f>IF(Inputs!$E$8=1,AN5+AN16+IF(AN4&gt;0,AN4,0),0)</f>
        <v>0</v>
      </c>
      <c r="AO21" s="6">
        <f>IF(Inputs!$E$8=1,AO5+AO16+IF(AO4&gt;0,AO4,0),0)</f>
        <v>0</v>
      </c>
      <c r="AP21" s="6">
        <f>IF(Inputs!$E$8=1,AP5+AP16+IF(AP4&gt;0,AP4,0),0)</f>
        <v>0</v>
      </c>
      <c r="AQ21" s="6">
        <f>IF(Inputs!$E$8=1,AQ5+AQ16+IF(AQ4&gt;0,AQ4,0),0)</f>
        <v>0</v>
      </c>
      <c r="AR21" s="6">
        <f>IF(Inputs!$E$8=1,AR5+AR16+IF(AR4&gt;0,AR4,0),0)</f>
        <v>0</v>
      </c>
      <c r="AS21" s="6">
        <f>IF(Inputs!$E$8=1,AS5+AS16+IF(AS4&gt;0,AS4,0),0)</f>
        <v>0</v>
      </c>
      <c r="AT21" s="6">
        <f>IF(Inputs!$E$8=1,AT5+AT16+IF(AT4&gt;0,AT4,0),0)</f>
        <v>0</v>
      </c>
      <c r="AU21" s="6">
        <f>IF(Inputs!$E$8=1,AU5+AU16+IF(AU4&gt;0,AU4,0),0)</f>
        <v>0</v>
      </c>
      <c r="AV21" s="6">
        <f>IF(Inputs!$E$8=1,AV5+AV16+IF(AV4&gt;0,AV4,0),0)</f>
        <v>0</v>
      </c>
      <c r="AW21" s="6">
        <f>IF(Inputs!$E$8=1,AW5+AW16+IF(AW4&gt;0,AW4,0),0)</f>
        <v>0</v>
      </c>
      <c r="AX21" s="6">
        <f>IF(Inputs!$E$8=1,AX5+AX16+IF(AX4&gt;0,AX4,0),0)</f>
        <v>0</v>
      </c>
      <c r="AY21" s="6">
        <f>IF(Inputs!$E$8=1,AY5+AY16+IF(AY4&gt;0,AY4,0),0)</f>
        <v>0</v>
      </c>
      <c r="AZ21" s="6">
        <f>IF(Inputs!$E$8=1,AZ5+AZ16+IF(AZ4&gt;0,AZ4,0),0)</f>
        <v>0</v>
      </c>
      <c r="BA21" s="6">
        <f>IF(Inputs!$E$8=1,BA5+BA16+IF(BA4&gt;0,BA4,0),0)</f>
        <v>0</v>
      </c>
      <c r="BB21" s="6">
        <f>IF(Inputs!$E$8=1,BB5+BB16+IF(BB4&gt;0,BB4,0),0)</f>
        <v>0</v>
      </c>
      <c r="BC21" s="6">
        <f>IF(Inputs!$E$8=1,BC5+BC16+IF(BC4&gt;0,BC4,0),0)</f>
        <v>0</v>
      </c>
      <c r="BD21" s="6">
        <f>IF(Inputs!$E$8=1,BD5+BD16+IF(BD4&gt;0,BD4,0),0)</f>
        <v>0</v>
      </c>
      <c r="BE21" s="6">
        <f>IF(Inputs!$E$8=1,BE5+BE16+IF(BE4&gt;0,BE4,0),0)</f>
        <v>0</v>
      </c>
      <c r="BF21" s="6">
        <f>IF(Inputs!$E$8=1,BF5+BF16+IF(BF4&gt;0,BF4,0),0)</f>
        <v>0</v>
      </c>
      <c r="BG21" s="6">
        <f>IF(Inputs!$E$8=1,BG5+BG16+IF(BG4&gt;0,BG4,0),0)</f>
        <v>0</v>
      </c>
      <c r="BH21" s="6">
        <f>IF(Inputs!$E$8=1,BH5+BH16+IF(BH4&gt;0,BH4,0),0)</f>
        <v>0</v>
      </c>
      <c r="BI21" s="6">
        <f>IF(Inputs!$E$8=1,BI5+BI16+IF(BI4&gt;0,BI4,0),0)</f>
        <v>0</v>
      </c>
      <c r="BJ21" s="6">
        <f>IF(Inputs!$E$8=1,BJ5+BJ16+IF(BJ4&gt;0,BJ4,0),0)</f>
        <v>0</v>
      </c>
      <c r="BK21" s="6">
        <f>IF(Inputs!$E$8=1,BK5+BK16+IF(BK4&gt;0,BK4,0),0)</f>
        <v>0</v>
      </c>
      <c r="BL21" s="6">
        <f>IF(Inputs!$E$8=1,BL5+BL16+IF(BL4&gt;0,BL4,0),0)</f>
        <v>0</v>
      </c>
      <c r="BM21" s="6">
        <f>IF(Inputs!$E$8=1,BM5+BM16+IF(BM4&gt;0,BM4,0),0)</f>
        <v>0</v>
      </c>
      <c r="BN21" s="6">
        <f>IF(Inputs!$E$8=1,BN5+BN16+IF(BN4&gt;0,BN4,0),0)</f>
        <v>0</v>
      </c>
      <c r="BO21" s="6">
        <f>IF(Inputs!$E$8=1,BO5+BO16+IF(BO4&gt;0,BO4,0),0)</f>
        <v>0</v>
      </c>
      <c r="BP21" s="6">
        <f>IF(Inputs!$E$8=1,BP5+BP16+IF(BP4&gt;0,BP4,0),0)</f>
        <v>0</v>
      </c>
      <c r="BQ21" s="6">
        <f>IF(Inputs!$E$8=1,BQ5+BQ16+IF(BQ4&gt;0,BQ4,0),0)</f>
        <v>0</v>
      </c>
      <c r="BR21" s="6">
        <f>IF(Inputs!$E$8=1,BR5+BR16+IF(BR4&gt;0,BR4,0),0)</f>
        <v>0</v>
      </c>
      <c r="BS21" s="6">
        <f>IF(Inputs!$E$8=1,BS5+BS16+IF(BS4&gt;0,BS4,0),0)</f>
        <v>0</v>
      </c>
      <c r="BT21" s="6">
        <f>IF(Inputs!$E$8=1,BT5+BT16+IF(BT4&gt;0,BT4,0),0)</f>
        <v>0</v>
      </c>
      <c r="BU21" s="6">
        <f>IF(Inputs!$E$8=1,BU5+BU16+IF(BU4&gt;0,BU4,0),0)</f>
        <v>0</v>
      </c>
      <c r="BV21" s="6">
        <f>IF(Inputs!$E$8=1,BV5+BV16+IF(BV4&gt;0,BV4,0),0)</f>
        <v>0</v>
      </c>
      <c r="BW21" s="6">
        <f>IF(Inputs!$E$8=1,BW5+BW16+IF(BW4&gt;0,BW4,0),0)</f>
        <v>0</v>
      </c>
      <c r="BX21" s="6">
        <f>IF(Inputs!$E$8=1,BX5+BX16+IF(BX4&gt;0,BX4,0),0)</f>
        <v>0</v>
      </c>
      <c r="BY21" s="6">
        <f>IF(Inputs!$E$8=1,BY5+BY16+IF(BY4&gt;0,BY4,0),0)</f>
        <v>0</v>
      </c>
      <c r="BZ21" s="6">
        <f>IF(Inputs!$E$8=1,BZ5+BZ16+IF(BZ4&gt;0,BZ4,0),0)</f>
        <v>0</v>
      </c>
      <c r="CA21" s="6">
        <f>IF(Inputs!$E$8=1,CA5+CA16+IF(CA4&gt;0,CA4,0),0)</f>
        <v>0</v>
      </c>
      <c r="CB21" s="6">
        <f>IF(Inputs!$E$8=1,CB5+CB16+IF(CB4&gt;0,CB4,0),0)</f>
        <v>0</v>
      </c>
      <c r="CC21" s="6">
        <f>IF(Inputs!$E$8=1,CC5+CC16+IF(CC4&gt;0,CC4,0),0)</f>
        <v>0</v>
      </c>
      <c r="CD21" s="6">
        <f>IF(Inputs!$E$8=1,CD5+CD16+IF(CD4&gt;0,CD4,0),0)</f>
        <v>0</v>
      </c>
      <c r="CE21" s="6">
        <f>IF(Inputs!$E$8=1,CE5+CE16+IF(CE4&gt;0,CE4,0),0)</f>
        <v>0</v>
      </c>
      <c r="CF21" s="6">
        <f>IF(Inputs!$E$8=1,CF5+CF16+IF(CF4&gt;0,CF4,0),0)</f>
        <v>0</v>
      </c>
      <c r="CG21" s="6">
        <f>IF(Inputs!$E$8=1,CG5+CG16+IF(CG4&gt;0,CG4,0),0)</f>
        <v>0</v>
      </c>
      <c r="CH21" s="6">
        <f>IF(Inputs!$E$8=1,CH5+CH16+IF(CH4&gt;0,CH4,0),0)</f>
        <v>0</v>
      </c>
      <c r="CI21" s="6">
        <f>IF(Inputs!$E$8=1,CI5+CI16+IF(CI4&gt;0,CI4,0),0)</f>
        <v>0</v>
      </c>
      <c r="CJ21" s="6">
        <f>IF(Inputs!$E$8=1,CJ5+CJ16+IF(CJ4&gt;0,CJ4,0),0)</f>
        <v>2233.4645999997688</v>
      </c>
      <c r="CK21" s="6">
        <f>IF(Inputs!$E$8=1,CK5+CK16+IF(CK4&gt;0,CK4,0),0)</f>
        <v>3322.9394900000002</v>
      </c>
      <c r="CL21" s="6">
        <f>IF(Inputs!$E$8=1,CL5+CL16+IF(CL4&gt;0,CL4,0),0)</f>
        <v>3322.9394900000002</v>
      </c>
      <c r="CM21" s="6">
        <f>IF(Inputs!$E$8=1,CM5+CM16+IF(CM4&gt;0,CM4,0),0)</f>
        <v>3322.9394900000002</v>
      </c>
      <c r="CN21" s="6">
        <f>IF(Inputs!$E$8=1,CN5+CN16+IF(CN4&gt;0,CN4,0),0)</f>
        <v>3322.9394900000002</v>
      </c>
      <c r="CO21" s="6">
        <f>IF(Inputs!$E$8=1,CO5+CO16+IF(CO4&gt;0,CO4,0),0)</f>
        <v>3322.9394900000002</v>
      </c>
      <c r="CP21" s="6">
        <f>IF(Inputs!$E$8=1,CP5+CP16+IF(CP4&gt;0,CP4,0),0)</f>
        <v>3322.9394900000002</v>
      </c>
      <c r="CQ21" s="6">
        <f>IF(Inputs!$E$8=1,CQ5+CQ16+IF(CQ4&gt;0,CQ4,0),0)</f>
        <v>3322.9394900000002</v>
      </c>
      <c r="CR21" s="6">
        <f>IF(Inputs!$E$8=1,CR5+CR16+IF(CR4&gt;0,CR4,0),0)</f>
        <v>3322.9394900000002</v>
      </c>
      <c r="CS21" s="6">
        <f>IF(Inputs!$E$8=1,CS5+CS16+IF(CS4&gt;0,CS4,0),0)</f>
        <v>3322.9394900000002</v>
      </c>
      <c r="CT21" s="6">
        <f>IF(Inputs!$E$8=1,CT5+CT16+IF(CT4&gt;0,CT4,0),0)</f>
        <v>3322.9394900000002</v>
      </c>
      <c r="CU21" s="6">
        <f>IF(Inputs!$E$8=1,CU5+CU16+IF(CU4&gt;0,CU4,0),0)</f>
        <v>3322.9394900000002</v>
      </c>
      <c r="CV21" s="6">
        <f>IF(Inputs!$E$8=1,CV5+CV16+IF(CV4&gt;0,CV4,0),0)</f>
        <v>3322.9394900000002</v>
      </c>
      <c r="CW21" s="6">
        <f>IF(Inputs!$E$8=1,CW5+CW16+IF(CW4&gt;0,CW4,0),0)</f>
        <v>687.98806999999999</v>
      </c>
      <c r="CX21" s="6">
        <f>IF(Inputs!$E$8=1,CX5+CX16+IF(CX4&gt;0,CX4,0),0)</f>
        <v>237.94278</v>
      </c>
      <c r="CY21" s="6">
        <f>IF(Inputs!$E$8=1,CY5+CY16+IF(CY4&gt;0,CY4,0),0)</f>
        <v>797.55876999999998</v>
      </c>
      <c r="CZ21" s="6">
        <f>IF(Inputs!$E$8=1,CZ5+CZ16+IF(CZ4&gt;0,CZ4,0),0)</f>
        <v>558.29470000000003</v>
      </c>
      <c r="DA21" s="6">
        <f>IF(Inputs!$E$8=1,DA5+DA16+IF(DA4&gt;0,DA4,0),0)</f>
        <v>698.75495999999998</v>
      </c>
      <c r="DB21" s="6">
        <f>IF(Inputs!$E$8=1,DB5+DB16+IF(DB4&gt;0,DB4,0),0)</f>
        <v>639.42412999999999</v>
      </c>
      <c r="DC21" s="6">
        <f>IF(Inputs!$E$8=1,DC5+DC16+IF(DC4&gt;0,DC4,0),0)</f>
        <v>645.12025000000006</v>
      </c>
      <c r="DD21" s="6">
        <f>IF(Inputs!$E$8=1,DD5+DD16+IF(DD4&gt;0,DD4,0),0)</f>
        <v>126.94459999999999</v>
      </c>
      <c r="DE21" s="6">
        <f>IF(Inputs!$E$8=1,DE5+DE16+IF(DE4&gt;0,DE4,0),0)</f>
        <v>3500.9761400000002</v>
      </c>
      <c r="DF21" s="6">
        <f>IF(Inputs!$E$8=1,DF5+DF16+IF(DF4&gt;0,DF4,0),0)</f>
        <v>3500.9761400000002</v>
      </c>
      <c r="DG21" s="6">
        <f>IF(Inputs!$E$8=1,DG5+DG16+IF(DG4&gt;0,DG4,0),0)</f>
        <v>3500.9761400000002</v>
      </c>
      <c r="DH21" s="6">
        <f>IF(Inputs!$E$8=1,DH5+DH16+IF(DH4&gt;0,DH4,0),0)</f>
        <v>3500.9761400000002</v>
      </c>
      <c r="DI21" s="6">
        <f>IF(Inputs!$E$8=1,DI5+DI16+IF(DI4&gt;0,DI4,0),0)</f>
        <v>3682.1588200000001</v>
      </c>
      <c r="DJ21" s="6">
        <f>IF(Inputs!$E$8=1,DJ5+DJ16+IF(DJ4&gt;0,DJ4,0),0)</f>
        <v>3682.1588200000001</v>
      </c>
      <c r="DK21" s="6">
        <f>IF(Inputs!$E$8=1,DK5+DK16+IF(DK4&gt;0,DK4,0),0)</f>
        <v>3682.1588200000001</v>
      </c>
      <c r="DL21" s="6">
        <f>IF(Inputs!$E$8=1,DL5+DL16+IF(DL4&gt;0,DL4,0),0)</f>
        <v>3682.1588200000001</v>
      </c>
      <c r="DM21" s="6">
        <f>IF(Inputs!$E$8=1,DM5+DM16+IF(DM4&gt;0,DM4,0),0)</f>
        <v>3682.1588200000001</v>
      </c>
      <c r="DN21" s="6">
        <f>IF(Inputs!$E$8=1,DN5+DN16+IF(DN4&gt;0,DN4,0),0)</f>
        <v>3682.1588200000001</v>
      </c>
      <c r="DO21" s="6">
        <f>IF(Inputs!$E$8=1,DO5+DO16+IF(DO4&gt;0,DO4,0),0)</f>
        <v>3682.1588200000001</v>
      </c>
      <c r="DP21" s="6">
        <f>IF(Inputs!$E$8=1,DP5+DP16+IF(DP4&gt;0,DP4,0),0)</f>
        <v>3682.1588200000001</v>
      </c>
      <c r="DQ21" s="6">
        <f>IF(Inputs!$E$8=1,DQ5+DQ16+IF(DQ4&gt;0,DQ4,0),0)</f>
        <v>3682.1588200000001</v>
      </c>
      <c r="DR21" s="6">
        <f>IF(Inputs!$E$8=1,DR5+DR16+IF(DR4&gt;0,DR4,0),0)</f>
        <v>3682.1588200000001</v>
      </c>
      <c r="DS21" s="6">
        <f>IF(Inputs!$E$8=1,DS5+DS16+IF(DS4&gt;0,DS4,0),0)</f>
        <v>3682.1588200000001</v>
      </c>
      <c r="DT21" s="6">
        <f>IF(Inputs!$E$8=1,DT5+DT16+IF(DT4&gt;0,DT4,0),0)</f>
        <v>3682.1588200000001</v>
      </c>
      <c r="DU21" s="6">
        <f>IF(Inputs!$E$8=1,DU5+DU16+IF(DU4&gt;0,DU4,0),0)</f>
        <v>3866.4721399999999</v>
      </c>
      <c r="DV21" s="6">
        <f>IF(Inputs!$E$8=1,DV5+DV16+IF(DV4&gt;0,DV4,0),0)</f>
        <v>3866.4721399999999</v>
      </c>
      <c r="DW21" s="6">
        <f>IF(Inputs!$E$8=1,DW5+DW16+IF(DW4&gt;0,DW4,0),0)</f>
        <v>3866.4721399999999</v>
      </c>
      <c r="DX21" s="6">
        <f>IF(Inputs!$E$8=1,DX5+DX16+IF(DX4&gt;0,DX4,0),0)</f>
        <v>3866.4721399999999</v>
      </c>
      <c r="DY21" s="6">
        <f>IF(Inputs!$E$8=1,DY5+DY16+IF(DY4&gt;0,DY4,0),0)</f>
        <v>3866.4721399999999</v>
      </c>
      <c r="DZ21" s="6">
        <f>IF(Inputs!$E$8=1,DZ5+DZ16+IF(DZ4&gt;0,DZ4,0),0)</f>
        <v>3866.4721399999999</v>
      </c>
      <c r="EA21" s="6">
        <f>IF(Inputs!$E$8=1,EA5+EA16+IF(EA4&gt;0,EA4,0),0)</f>
        <v>3866.4721399999999</v>
      </c>
      <c r="EB21" s="6">
        <f>IF(Inputs!$E$8=1,EB5+EB16+IF(EB4&gt;0,EB4,0),0)</f>
        <v>3866.4721399999999</v>
      </c>
      <c r="EC21" s="6">
        <f>IF(Inputs!$E$8=1,EC5+EC16+IF(EC4&gt;0,EC4,0),0)</f>
        <v>3866.4721399999999</v>
      </c>
      <c r="ED21" s="6">
        <f>IF(Inputs!$E$8=1,ED5+ED16+IF(ED4&gt;0,ED4,0),0)</f>
        <v>3866.4721399999999</v>
      </c>
      <c r="EE21" s="6">
        <f>IF(Inputs!$E$8=1,EE5+EE16+IF(EE4&gt;0,EE4,0),0)</f>
        <v>3866.4721399999999</v>
      </c>
      <c r="EF21" s="6">
        <f>IF(Inputs!$E$8=1,EF5+EF16+IF(EF4&gt;0,EF4,0),0)</f>
        <v>3866.4721399999999</v>
      </c>
      <c r="EG21" s="6">
        <f>IF(Inputs!$E$8=1,EG5+EG16+IF(EG4&gt;0,EG4,0),0)</f>
        <v>4053.8947899999998</v>
      </c>
      <c r="EH21" s="6">
        <f>IF(Inputs!$E$8=1,EH5+EH16+IF(EH4&gt;0,EH4,0),0)</f>
        <v>4053.8947899999998</v>
      </c>
      <c r="EI21" s="6">
        <f>IF(Inputs!$E$8=1,EI5+EI16+IF(EI4&gt;0,EI4,0),0)</f>
        <v>4053.8947899999998</v>
      </c>
      <c r="EJ21" s="6">
        <f>IF(Inputs!$E$8=1,EJ5+EJ16+IF(EJ4&gt;0,EJ4,0),0)</f>
        <v>4053.8947899999998</v>
      </c>
      <c r="EK21" s="6">
        <f>IF(Inputs!$E$8=1,EK5+EK16+IF(EK4&gt;0,EK4,0),0)</f>
        <v>4053.8947899999998</v>
      </c>
      <c r="EL21" s="6">
        <f>IF(Inputs!$E$8=1,EL5+EL16+IF(EL4&gt;0,EL4,0),0)</f>
        <v>4053.8947899999998</v>
      </c>
      <c r="EM21" s="6">
        <f>IF(Inputs!$E$8=1,EM5+EM16+IF(EM4&gt;0,EM4,0),0)</f>
        <v>4053.8947899999998</v>
      </c>
      <c r="EN21" s="6">
        <f>IF(Inputs!$E$8=1,EN5+EN16+IF(EN4&gt;0,EN4,0),0)</f>
        <v>4053.8947899999998</v>
      </c>
      <c r="EO21" s="6">
        <f>IF(Inputs!$E$8=1,EO5+EO16+IF(EO4&gt;0,EO4,0),0)</f>
        <v>4053.8947899999998</v>
      </c>
      <c r="EP21" s="6">
        <f>IF(Inputs!$E$8=1,EP5+EP16+IF(EP4&gt;0,EP4,0),0)</f>
        <v>4053.8947899999998</v>
      </c>
      <c r="EQ21" s="6">
        <f>IF(Inputs!$E$8=1,EQ5+EQ16+IF(EQ4&gt;0,EQ4,0),0)</f>
        <v>4053.8947899999998</v>
      </c>
      <c r="ER21" s="6">
        <f>IF(Inputs!$E$8=1,ER5+ER16+IF(ER4&gt;0,ER4,0),0)</f>
        <v>4053.8947899999998</v>
      </c>
      <c r="ES21" s="6">
        <f>IF(Inputs!$E$8=1,ES5+ES16+IF(ES4&gt;0,ES4,0),0)</f>
        <v>4244.39905</v>
      </c>
      <c r="ET21" s="6">
        <f>IF(Inputs!$E$8=1,ET5+ET16+IF(ET4&gt;0,ET4,0),0)</f>
        <v>4244.39905</v>
      </c>
      <c r="EU21" s="6">
        <f>IF(Inputs!$E$8=1,EU5+EU16+IF(EU4&gt;0,EU4,0),0)</f>
        <v>4244.39905</v>
      </c>
      <c r="EV21" s="6">
        <f>IF(Inputs!$E$8=1,EV5+EV16+IF(EV4&gt;0,EV4,0),0)</f>
        <v>4244.39905</v>
      </c>
      <c r="EW21" s="6">
        <f>IF(Inputs!$E$8=1,EW5+EW16+IF(EW4&gt;0,EW4,0),0)</f>
        <v>4244.39905</v>
      </c>
      <c r="EX21" s="6">
        <f>IF(Inputs!$E$8=1,EX5+EX16+IF(EX4&gt;0,EX4,0),0)</f>
        <v>4244.39905</v>
      </c>
      <c r="EY21" s="6">
        <f>IF(Inputs!$E$8=1,EY5+EY16+IF(EY4&gt;0,EY4,0),0)</f>
        <v>4244.39905</v>
      </c>
      <c r="EZ21" s="6">
        <f>IF(Inputs!$E$8=1,EZ5+EZ16+IF(EZ4&gt;0,EZ4,0),0)</f>
        <v>4244.39905</v>
      </c>
      <c r="FA21" s="6">
        <f>IF(Inputs!$E$8=1,FA5+FA16+IF(FA4&gt;0,FA4,0),0)</f>
        <v>4244.39905</v>
      </c>
      <c r="FB21" s="6">
        <f>IF(Inputs!$E$8=1,FB5+FB16+IF(FB4&gt;0,FB4,0),0)</f>
        <v>4244.39905</v>
      </c>
      <c r="FC21" s="6">
        <f>IF(Inputs!$E$8=1,FC5+FC16+IF(FC4&gt;0,FC4,0),0)</f>
        <v>4244.39905</v>
      </c>
      <c r="FD21" s="6">
        <f>IF(Inputs!$E$8=1,FD5+FD16+IF(FD4&gt;0,FD4,0),0)</f>
        <v>4244.39905</v>
      </c>
      <c r="FE21" s="6">
        <f>IF(Inputs!$E$8=1,FE5+FE16+IF(FE4&gt;0,FE4,0),0)</f>
        <v>1156.47515</v>
      </c>
      <c r="FF21" s="6">
        <f>IF(Inputs!$E$8=1,FF5+FF16+IF(FF4&gt;0,FF4,0),0)</f>
        <v>4238.2326700000003</v>
      </c>
      <c r="FG21" s="6">
        <f>IF(Inputs!$E$8=1,FG5+FG16+IF(FG4&gt;0,FG4,0),0)</f>
        <v>2315.6902599999999</v>
      </c>
      <c r="FH21" s="6">
        <f>IF(Inputs!$E$8=1,FH5+FH16+IF(FH4&gt;0,FH4,0),0)</f>
        <v>2897.74577</v>
      </c>
      <c r="FI21" s="6">
        <f>IF(Inputs!$E$8=1,FI5+FI16+IF(FI4&gt;0,FI4,0),0)</f>
        <v>4485.1621800000003</v>
      </c>
      <c r="FJ21" s="6">
        <f>IF(Inputs!$E$8=1,FJ5+FJ16+IF(FJ4&gt;0,FJ4,0),0)</f>
        <v>988.78967999999998</v>
      </c>
      <c r="FK21" s="6">
        <f>IF(Inputs!$E$8=1,FK5+FK16+IF(FK4&gt;0,FK4,0),0)</f>
        <v>1625.7973500000001</v>
      </c>
      <c r="FL21" s="6">
        <f>IF(Inputs!$E$8=1,FL5+FL16+IF(FL4&gt;0,FL4,0),0)</f>
        <v>4148.2853500000001</v>
      </c>
      <c r="FM21" s="6">
        <f>IF(Inputs!$E$8=1,FM5+FM16+IF(FM4&gt;0,FM4,0),0)</f>
        <v>4437.9503000000004</v>
      </c>
      <c r="FN21" s="6">
        <f>IF(Inputs!$E$8=1,FN5+FN16+IF(FN4&gt;0,FN4,0),0)</f>
        <v>4437.9503000000004</v>
      </c>
      <c r="FO21" s="6">
        <f>IF(Inputs!$E$8=1,FO5+FO16+IF(FO4&gt;0,FO4,0),0)</f>
        <v>4437.9503000000004</v>
      </c>
      <c r="FP21" s="6">
        <f>IF(Inputs!$E$8=1,FP5+FP16+IF(FP4&gt;0,FP4,0),0)</f>
        <v>4437.9503000000004</v>
      </c>
      <c r="FQ21" s="6">
        <f>IF(Inputs!$E$8=1,FQ5+FQ16+IF(FQ4&gt;0,FQ4,0),0)</f>
        <v>4634.5065599999998</v>
      </c>
      <c r="FR21" s="6">
        <f>IF(Inputs!$E$8=1,FR5+FR16+IF(FR4&gt;0,FR4,0),0)</f>
        <v>4634.5065599999998</v>
      </c>
      <c r="FS21" s="6">
        <f>IF(Inputs!$E$8=1,FS5+FS16+IF(FS4&gt;0,FS4,0),0)</f>
        <v>4634.5065599999998</v>
      </c>
      <c r="FT21" s="6">
        <f>IF(Inputs!$E$8=1,FT5+FT16+IF(FT4&gt;0,FT4,0),0)</f>
        <v>4634.5065599999998</v>
      </c>
      <c r="FU21" s="6">
        <f>IF(Inputs!$E$8=1,FU5+FU16+IF(FU4&gt;0,FU4,0),0)</f>
        <v>4634.5065599999998</v>
      </c>
      <c r="FV21" s="6">
        <f>IF(Inputs!$E$8=1,FV5+FV16+IF(FV4&gt;0,FV4,0),0)</f>
        <v>4634.5065599999998</v>
      </c>
      <c r="FW21" s="6">
        <f>IF(Inputs!$E$8=1,FW5+FW16+IF(FW4&gt;0,FW4,0),0)</f>
        <v>4634.5065599999998</v>
      </c>
      <c r="FX21" s="6">
        <f>IF(Inputs!$E$8=1,FX5+FX16+IF(FX4&gt;0,FX4,0),0)</f>
        <v>4634.5065599999998</v>
      </c>
      <c r="FY21" s="6">
        <f>IF(Inputs!$E$8=1,FY5+FY16+IF(FY4&gt;0,FY4,0),0)</f>
        <v>4634.5065599999998</v>
      </c>
      <c r="FZ21" s="6">
        <f>IF(Inputs!$E$8=1,FZ5+FZ16+IF(FZ4&gt;0,FZ4,0),0)</f>
        <v>4634.5065599999998</v>
      </c>
      <c r="GA21" s="6">
        <f>IF(Inputs!$E$8=1,GA5+GA16+IF(GA4&gt;0,GA4,0),0)</f>
        <v>4634.5065599999998</v>
      </c>
      <c r="GB21" s="6">
        <f>IF(Inputs!$E$8=1,GB5+GB16+IF(GB4&gt;0,GB4,0),0)</f>
        <v>4634.5065599999998</v>
      </c>
      <c r="GC21" s="6">
        <f>IF(Inputs!$E$8=1,GC5+GC16+IF(GC4&gt;0,GC4,0),0)</f>
        <v>4834.0178900000001</v>
      </c>
      <c r="GD21" s="6">
        <f>IF(Inputs!$E$8=1,GD5+GD16+IF(GD4&gt;0,GD4,0),0)</f>
        <v>4834.0178900000001</v>
      </c>
      <c r="GE21" s="6">
        <f>IF(Inputs!$E$8=1,GE5+GE16+IF(GE4&gt;0,GE4,0),0)</f>
        <v>4834.0178900000001</v>
      </c>
      <c r="GF21" s="6">
        <f>IF(Inputs!$E$8=1,GF5+GF16+IF(GF4&gt;0,GF4,0),0)</f>
        <v>4834.0178900000001</v>
      </c>
      <c r="GG21" s="6">
        <f>IF(Inputs!$E$8=1,GG5+GG16+IF(GG4&gt;0,GG4,0),0)</f>
        <v>4834.0178900000001</v>
      </c>
      <c r="GH21" s="6">
        <f>IF(Inputs!$E$8=1,GH5+GH16+IF(GH4&gt;0,GH4,0),0)</f>
        <v>4834.0178900000001</v>
      </c>
      <c r="GI21" s="6">
        <f>IF(Inputs!$E$8=1,GI5+GI16+IF(GI4&gt;0,GI4,0),0)</f>
        <v>4834.0178900000001</v>
      </c>
      <c r="GJ21" s="6">
        <f>IF(Inputs!$E$8=1,GJ5+GJ16+IF(GJ4&gt;0,GJ4,0),0)</f>
        <v>4834.0178900000001</v>
      </c>
      <c r="GK21" s="6">
        <f>IF(Inputs!$E$8=1,GK5+GK16+IF(GK4&gt;0,GK4,0),0)</f>
        <v>4834.0178900000001</v>
      </c>
      <c r="GL21" s="6">
        <f>IF(Inputs!$E$8=1,GL5+GL16+IF(GL4&gt;0,GL4,0),0)</f>
        <v>4834.0178900000001</v>
      </c>
      <c r="GM21" s="6">
        <f>IF(Inputs!$E$8=1,GM5+GM16+IF(GM4&gt;0,GM4,0),0)</f>
        <v>4834.0178900000001</v>
      </c>
      <c r="GN21" s="6">
        <f>IF(Inputs!$E$8=1,GN5+GN16+IF(GN4&gt;0,GN4,0),0)</f>
        <v>4834.0178900000001</v>
      </c>
      <c r="GO21" s="6">
        <f>IF(Inputs!$E$8=1,GO5+GO16+IF(GO4&gt;0,GO4,0),0)</f>
        <v>5036.42587</v>
      </c>
      <c r="GP21" s="6">
        <f>IF(Inputs!$E$8=1,GP5+GP16+IF(GP4&gt;0,GP4,0),0)</f>
        <v>5036.42587</v>
      </c>
      <c r="GQ21" s="6">
        <f>IF(Inputs!$E$8=1,GQ5+GQ16+IF(GQ4&gt;0,GQ4,0),0)</f>
        <v>5036.42587</v>
      </c>
      <c r="GR21" s="6">
        <f>IF(Inputs!$E$8=1,GR5+GR16+IF(GR4&gt;0,GR4,0),0)</f>
        <v>5036.42587</v>
      </c>
      <c r="GS21" s="6">
        <f>IF(Inputs!$E$8=1,GS5+GS16+IF(GS4&gt;0,GS4,0),0)</f>
        <v>5036.42587</v>
      </c>
      <c r="GT21" s="6">
        <f>IF(Inputs!$E$8=1,GT5+GT16+IF(GT4&gt;0,GT4,0),0)</f>
        <v>5036.42587</v>
      </c>
      <c r="GU21" s="6">
        <f>IF(Inputs!$E$8=1,GU5+GU16+IF(GU4&gt;0,GU4,0),0)</f>
        <v>5036.42587</v>
      </c>
      <c r="GV21" s="6">
        <f>IF(Inputs!$E$8=1,GV5+GV16+IF(GV4&gt;0,GV4,0),0)</f>
        <v>5036.42587</v>
      </c>
      <c r="GW21" s="6">
        <f>IF(Inputs!$E$8=1,GW5+GW16+IF(GW4&gt;0,GW4,0),0)</f>
        <v>5036.42587</v>
      </c>
      <c r="GX21" s="6">
        <f>IF(Inputs!$E$8=1,GX5+GX16+IF(GX4&gt;0,GX4,0),0)</f>
        <v>5036.42587</v>
      </c>
      <c r="GY21" s="6">
        <f>IF(Inputs!$E$8=1,GY5+GY16+IF(GY4&gt;0,GY4,0),0)</f>
        <v>5036.42587</v>
      </c>
      <c r="GZ21" s="6">
        <f>IF(Inputs!$E$8=1,GZ5+GZ16+IF(GZ4&gt;0,GZ4,0),0)</f>
        <v>5036.42587</v>
      </c>
      <c r="HA21" s="6">
        <f>IF(Inputs!$E$8=1,HA5+HA16+IF(HA4&gt;0,HA4,0),0)</f>
        <v>5241.6629599999997</v>
      </c>
      <c r="HB21" s="6">
        <f>IF(Inputs!$E$8=1,HB5+HB16+IF(HB4&gt;0,HB4,0),0)</f>
        <v>5241.6629599999997</v>
      </c>
      <c r="HC21" s="6">
        <f>IF(Inputs!$E$8=1,HC5+HC16+IF(HC4&gt;0,HC4,0),0)</f>
        <v>5241.6629599999997</v>
      </c>
      <c r="HD21" s="6">
        <f>IF(Inputs!$E$8=1,HD5+HD16+IF(HD4&gt;0,HD4,0),0)</f>
        <v>5241.6629599999997</v>
      </c>
      <c r="HE21" s="6">
        <f>IF(Inputs!$E$8=1,HE5+HE16+IF(HE4&gt;0,HE4,0),0)</f>
        <v>5241.6629599999997</v>
      </c>
      <c r="HF21" s="6">
        <f>IF(Inputs!$E$8=1,HF5+HF16+IF(HF4&gt;0,HF4,0),0)</f>
        <v>5241.6629599999997</v>
      </c>
      <c r="HG21" s="6">
        <f>IF(Inputs!$E$8=1,HG5+HG16+IF(HG4&gt;0,HG4,0),0)</f>
        <v>5241.6629599999997</v>
      </c>
      <c r="HH21" s="6">
        <f>IF(Inputs!$E$8=1,HH5+HH16+IF(HH4&gt;0,HH4,0),0)</f>
        <v>5241.6629599999997</v>
      </c>
      <c r="HI21" s="6">
        <f>IF(Inputs!$E$8=1,HI5+HI16+IF(HI4&gt;0,HI4,0),0)</f>
        <v>5241.6629599999997</v>
      </c>
      <c r="HJ21" s="6">
        <f>IF(Inputs!$E$8=1,HJ5+HJ16+IF(HJ4&gt;0,HJ4,0),0)</f>
        <v>5241.6629599999997</v>
      </c>
      <c r="HK21" s="6">
        <f>IF(Inputs!$E$8=1,HK5+HK16+IF(HK4&gt;0,HK4,0),0)</f>
        <v>5241.6629599999997</v>
      </c>
      <c r="HL21" s="6">
        <f>IF(Inputs!$E$8=1,HL5+HL16+IF(HL4&gt;0,HL4,0),0)</f>
        <v>5241.6629599999997</v>
      </c>
      <c r="HM21" s="6">
        <f>IF(Inputs!$E$8=1,HM5+HM16+IF(HM4&gt;0,HM4,0),0)</f>
        <v>1662.3259399999999</v>
      </c>
      <c r="HN21" s="6">
        <f>IF(Inputs!$E$8=1,HN5+HN16+IF(HN4&gt;0,HN4,0),0)</f>
        <v>1626.0965900000001</v>
      </c>
      <c r="HO21" s="6">
        <f>IF(Inputs!$E$8=1,HO5+HO16+IF(HO4&gt;0,HO4,0),0)</f>
        <v>2239.80332</v>
      </c>
      <c r="HP21" s="6">
        <f>IF(Inputs!$E$8=1,HP5+HP16+IF(HP4&gt;0,HP4,0),0)</f>
        <v>1959.1741300000001</v>
      </c>
      <c r="HQ21" s="6">
        <f>IF(Inputs!$E$8=1,HQ5+HQ16+IF(HQ4&gt;0,HQ4,0),0)</f>
        <v>1812.3501799999999</v>
      </c>
      <c r="HR21" s="6">
        <f>IF(Inputs!$E$8=1,HR5+HR16+IF(HR4&gt;0,HR4,0),0)</f>
        <v>1442.26829</v>
      </c>
      <c r="HS21" s="6">
        <f>IF(Inputs!$E$8=1,HS5+HS16+IF(HS4&gt;0,HS4,0),0)</f>
        <v>2978.9633199999998</v>
      </c>
      <c r="HT21" s="6">
        <f>IF(Inputs!$E$8=1,HT5+HT16+IF(HT4&gt;0,HT4,0),0)</f>
        <v>5449.6518699999997</v>
      </c>
      <c r="HU21" s="6">
        <f>IF(Inputs!$E$8=1,HU5+HU16+IF(HU4&gt;0,HU4,0),0)</f>
        <v>5449.6518699999997</v>
      </c>
      <c r="HV21" s="6">
        <f>IF(Inputs!$E$8=1,HV5+HV16+IF(HV4&gt;0,HV4,0),0)</f>
        <v>5449.6518699999997</v>
      </c>
      <c r="HW21" s="6">
        <f>IF(Inputs!$E$8=1,HW5+HW16+IF(HW4&gt;0,HW4,0),0)</f>
        <v>5449.6518699999997</v>
      </c>
      <c r="HX21" s="6">
        <f>IF(Inputs!$E$8=1,HX5+HX16+IF(HX4&gt;0,HX4,0),0)</f>
        <v>5449.6518699999997</v>
      </c>
      <c r="HY21" s="6">
        <f>IF(Inputs!$E$8=1,HY5+HY16+IF(HY4&gt;0,HY4,0),0)</f>
        <v>5660.3049099999998</v>
      </c>
      <c r="HZ21" s="6">
        <f>IF(Inputs!$E$8=1,HZ5+HZ16+IF(HZ4&gt;0,HZ4,0),0)</f>
        <v>5660.3049099999998</v>
      </c>
      <c r="IA21" s="6">
        <f>IF(Inputs!$E$8=1,IA5+IA16+IF(IA4&gt;0,IA4,0),0)</f>
        <v>5660.3049099999998</v>
      </c>
      <c r="IB21" s="6">
        <f>IF(Inputs!$E$8=1,IB5+IB16+IF(IB4&gt;0,IB4,0),0)</f>
        <v>5660.3049099999998</v>
      </c>
      <c r="IC21" s="6">
        <f>IF(Inputs!$E$8=1,IC5+IC16+IF(IC4&gt;0,IC4,0),0)</f>
        <v>5660.3049099999998</v>
      </c>
      <c r="ID21" s="6">
        <f>IF(Inputs!$E$8=1,ID5+ID16+IF(ID4&gt;0,ID4,0),0)</f>
        <v>5660.3049099999998</v>
      </c>
      <c r="IE21" s="6">
        <f>IF(Inputs!$E$8=1,IE5+IE16+IF(IE4&gt;0,IE4,0),0)</f>
        <v>5660.3049099999998</v>
      </c>
      <c r="IF21" s="6">
        <f>IF(Inputs!$E$8=1,IF5+IF16+IF(IF4&gt;0,IF4,0),0)</f>
        <v>5660.3049099999998</v>
      </c>
      <c r="IG21" s="6">
        <f>IF(Inputs!$E$8=1,IG5+IG16+IF(IG4&gt;0,IG4,0),0)</f>
        <v>5660.3049099999998</v>
      </c>
      <c r="IH21" s="6">
        <f>IF(Inputs!$E$8=1,IH5+IH16+IF(IH4&gt;0,IH4,0),0)</f>
        <v>5660.3049099999998</v>
      </c>
      <c r="II21" s="6">
        <f>IF(Inputs!$E$8=1,II5+II16+IF(II4&gt;0,II4,0),0)</f>
        <v>5660.3049099999998</v>
      </c>
      <c r="IJ21" s="6">
        <f>IF(Inputs!$E$8=1,IJ5+IJ16+IF(IJ4&gt;0,IJ4,0),0)</f>
        <v>5660.3049099999998</v>
      </c>
      <c r="IK21" s="6">
        <f>IF(Inputs!$E$8=1,IK5+IK16+IF(IK4&gt;0,IK4,0),0)</f>
        <v>5873.5232100000003</v>
      </c>
      <c r="IL21" s="6">
        <f>IF(Inputs!$E$8=1,IL5+IL16+IF(IL4&gt;0,IL4,0),0)</f>
        <v>5873.5232100000003</v>
      </c>
      <c r="IM21" s="6">
        <f>IF(Inputs!$E$8=1,IM5+IM16+IF(IM4&gt;0,IM4,0),0)</f>
        <v>5873.5232100000003</v>
      </c>
      <c r="IN21" s="6">
        <f>IF(Inputs!$E$8=1,IN5+IN16+IF(IN4&gt;0,IN4,0),0)</f>
        <v>5873.5232100000003</v>
      </c>
      <c r="IO21" s="6">
        <f>IF(Inputs!$E$8=1,IO5+IO16+IF(IO4&gt;0,IO4,0),0)</f>
        <v>5873.5232100000003</v>
      </c>
      <c r="IP21" s="6">
        <f>IF(Inputs!$E$8=1,IP5+IP16+IF(IP4&gt;0,IP4,0),0)</f>
        <v>5873.5232100000003</v>
      </c>
      <c r="IQ21" s="6">
        <f>IF(Inputs!$E$8=1,IQ5+IQ16+IF(IQ4&gt;0,IQ4,0),0)</f>
        <v>5873.5232100000003</v>
      </c>
      <c r="IR21" s="6">
        <f>IF(Inputs!$E$8=1,IR5+IR16+IF(IR4&gt;0,IR4,0),0)</f>
        <v>5873.5232100000003</v>
      </c>
      <c r="IS21" s="6">
        <f>IF(Inputs!$E$8=1,IS5+IS16+IF(IS4&gt;0,IS4,0),0)</f>
        <v>5873.5232100000003</v>
      </c>
      <c r="IT21" s="6">
        <f>IF(Inputs!$E$8=1,IT5+IT16+IF(IT4&gt;0,IT4,0),0)</f>
        <v>5873.5232100000003</v>
      </c>
      <c r="IU21" s="6">
        <f>IF(Inputs!$E$8=1,IU5+IU16+IF(IU4&gt;0,IU4,0),0)</f>
        <v>5873.5232100000003</v>
      </c>
      <c r="IV21" s="6">
        <f>IF(Inputs!$E$8=1,IV5+IV16+IF(IV4&gt;0,IV4,0),0)</f>
        <v>5873.5232100000003</v>
      </c>
      <c r="IW21" s="6">
        <f>IF(Inputs!$E$8=1,IW5+IW16+IF(IW4&gt;0,IW4,0),0)</f>
        <v>6089.1960200000003</v>
      </c>
      <c r="IX21" s="6">
        <f>IF(Inputs!$E$8=1,IX5+IX16+IF(IX4&gt;0,IX4,0),0)</f>
        <v>6089.1960200000003</v>
      </c>
      <c r="IY21" s="6">
        <f>IF(Inputs!$E$8=1,IY5+IY16+IF(IY4&gt;0,IY4,0),0)</f>
        <v>6089.1960200000003</v>
      </c>
      <c r="IZ21" s="6">
        <f>IF(Inputs!$E$8=1,IZ5+IZ16+IF(IZ4&gt;0,IZ4,0),0)</f>
        <v>6089.1960200000003</v>
      </c>
      <c r="JA21" s="6">
        <f>IF(Inputs!$E$8=1,JA5+JA16+IF(JA4&gt;0,JA4,0),0)</f>
        <v>6089.1960200000003</v>
      </c>
      <c r="JB21" s="6">
        <f>IF(Inputs!$E$8=1,JB5+JB16+IF(JB4&gt;0,JB4,0),0)</f>
        <v>6089.1960200000003</v>
      </c>
      <c r="JC21" s="6">
        <f>IF(Inputs!$E$8=1,JC5+JC16+IF(JC4&gt;0,JC4,0),0)</f>
        <v>6089.1960200000003</v>
      </c>
      <c r="JD21" s="6">
        <f>IF(Inputs!$E$8=1,JD5+JD16+IF(JD4&gt;0,JD4,0),0)</f>
        <v>6089.1960200000003</v>
      </c>
      <c r="JE21" s="6">
        <f>IF(Inputs!$E$8=1,JE5+JE16+IF(JE4&gt;0,JE4,0),0)</f>
        <v>6089.1960200000003</v>
      </c>
      <c r="JF21" s="6">
        <f>IF(Inputs!$E$8=1,JF5+JF16+IF(JF4&gt;0,JF4,0),0)</f>
        <v>6089.1960200000003</v>
      </c>
      <c r="JG21" s="6">
        <f>IF(Inputs!$E$8=1,JG5+JG16+IF(JG4&gt;0,JG4,0),0)</f>
        <v>6089.1960200000003</v>
      </c>
      <c r="JH21" s="6">
        <f>IF(Inputs!$E$8=1,JH5+JH16+IF(JH4&gt;0,JH4,0),0)</f>
        <v>6089.1960200000003</v>
      </c>
      <c r="JI21" s="6">
        <f>IF(Inputs!$E$8=1,JI5+JI16+IF(JI4&gt;0,JI4,0),0)</f>
        <v>6307.1998700000004</v>
      </c>
      <c r="JJ21" s="6">
        <f>IF(Inputs!$E$8=1,JJ5+JJ16+IF(JJ4&gt;0,JJ4,0),0)</f>
        <v>6307.1998700000004</v>
      </c>
      <c r="JK21" s="6">
        <f>IF(Inputs!$E$8=1,JK5+JK16+IF(JK4&gt;0,JK4,0),0)</f>
        <v>6307.1998700000004</v>
      </c>
      <c r="JL21" s="6">
        <f>IF(Inputs!$E$8=1,JL5+JL16+IF(JL4&gt;0,JL4,0),0)</f>
        <v>6307.1998700000004</v>
      </c>
      <c r="JM21" s="6">
        <f>IF(Inputs!$E$8=1,JM5+JM16+IF(JM4&gt;0,JM4,0),0)</f>
        <v>6307.1998700000004</v>
      </c>
      <c r="JN21" s="6">
        <f>IF(Inputs!$E$8=1,JN5+JN16+IF(JN4&gt;0,JN4,0),0)</f>
        <v>6307.1998700000004</v>
      </c>
      <c r="JO21" s="6">
        <f>IF(Inputs!$E$8=1,JO5+JO16+IF(JO4&gt;0,JO4,0),0)</f>
        <v>6307.1998700000004</v>
      </c>
      <c r="JP21" s="6">
        <f>IF(Inputs!$E$8=1,JP5+JP16+IF(JP4&gt;0,JP4,0),0)</f>
        <v>6307.1998700000004</v>
      </c>
      <c r="JQ21" s="6">
        <f>IF(Inputs!$E$8=1,JQ5+JQ16+IF(JQ4&gt;0,JQ4,0),0)</f>
        <v>6307.1998700000004</v>
      </c>
      <c r="JR21" s="6">
        <f>IF(Inputs!$E$8=1,JR5+JR16+IF(JR4&gt;0,JR4,0),0)</f>
        <v>6307.1998700000004</v>
      </c>
      <c r="JS21" s="6">
        <f>IF(Inputs!$E$8=1,JS5+JS16+IF(JS4&gt;0,JS4,0),0)</f>
        <v>6307.1998700000004</v>
      </c>
      <c r="JT21" s="6">
        <f>IF(Inputs!$E$8=1,JT5+JT16+IF(JT4&gt;0,JT4,0),0)</f>
        <v>6307.1998700000004</v>
      </c>
      <c r="JU21" s="6">
        <f>IF(Inputs!$E$8=1,JU5+JU16+IF(JU4&gt;0,JU4,0),0)</f>
        <v>2201.19886</v>
      </c>
      <c r="JV21" s="6">
        <f>IF(Inputs!$E$8=1,JV5+JV16+IF(JV4&gt;0,JV4,0),0)</f>
        <v>6527.3977299999997</v>
      </c>
      <c r="JW21" s="6">
        <f>IF(Inputs!$E$8=1,JW5+JW16+IF(JW4&gt;0,JW4,0),0)</f>
        <v>6527.3977299999997</v>
      </c>
      <c r="JX21" s="6">
        <f>IF(Inputs!$E$8=1,JX5+JX16+IF(JX4&gt;0,JX4,0),0)</f>
        <v>6527.3977299999997</v>
      </c>
      <c r="JY21" s="6">
        <f>IF(Inputs!$E$8=1,JY5+JY16+IF(JY4&gt;0,JY4,0),0)</f>
        <v>6527.3977299999997</v>
      </c>
      <c r="JZ21" s="6">
        <f>IF(Inputs!$E$8=1,JZ5+JZ16+IF(JZ4&gt;0,JZ4,0),0)</f>
        <v>6527.3977299999997</v>
      </c>
      <c r="KA21" s="6">
        <f>IF(Inputs!$E$8=1,KA5+KA16+IF(KA4&gt;0,KA4,0),0)</f>
        <v>6527.3977299999997</v>
      </c>
      <c r="KB21" s="6">
        <f>IF(Inputs!$E$8=1,KB5+KB16+IF(KB4&gt;0,KB4,0),0)</f>
        <v>6527.3977299999997</v>
      </c>
      <c r="KC21" s="6">
        <f>IF(Inputs!$E$8=1,KC5+KC16+IF(KC4&gt;0,KC4,0),0)</f>
        <v>6527.3977299999997</v>
      </c>
      <c r="KD21" s="6">
        <f>IF(Inputs!$E$8=1,KD5+KD16+IF(KD4&gt;0,KD4,0),0)</f>
        <v>6527.3977299999997</v>
      </c>
      <c r="KE21" s="6">
        <f>IF(Inputs!$E$8=1,KE5+KE16+IF(KE4&gt;0,KE4,0),0)</f>
        <v>6527.3977299999997</v>
      </c>
      <c r="KF21" s="6">
        <f>IF(Inputs!$E$8=1,KF5+KF16+IF(KF4&gt;0,KF4,0),0)</f>
        <v>6527.3977299999997</v>
      </c>
      <c r="KG21" s="6">
        <f>IF(Inputs!$E$8=1,KG5+KG16+IF(KG4&gt;0,KG4,0),0)</f>
        <v>6749.6381199999996</v>
      </c>
      <c r="KH21" s="6">
        <f>IF(Inputs!$E$8=1,KH5+KH16+IF(KH4&gt;0,KH4,0),0)</f>
        <v>6749.6381199999996</v>
      </c>
      <c r="KI21" s="6">
        <f>IF(Inputs!$E$8=1,KI5+KI16+IF(KI4&gt;0,KI4,0),0)</f>
        <v>6749.6381199999996</v>
      </c>
      <c r="KJ21" s="6">
        <f>IF(Inputs!$E$8=1,KJ5+KJ16+IF(KJ4&gt;0,KJ4,0),0)</f>
        <v>6749.6381199999996</v>
      </c>
      <c r="KK21" s="6">
        <f>IF(Inputs!$E$8=1,KK5+KK16+IF(KK4&gt;0,KK4,0),0)</f>
        <v>6749.6381199999996</v>
      </c>
      <c r="KL21" s="6">
        <f>IF(Inputs!$E$8=1,KL5+KL16+IF(KL4&gt;0,KL4,0),0)</f>
        <v>6749.6381199999996</v>
      </c>
      <c r="KM21" s="6">
        <f>IF(Inputs!$E$8=1,KM5+KM16+IF(KM4&gt;0,KM4,0),0)</f>
        <v>6749.6381199999996</v>
      </c>
      <c r="KN21" s="6">
        <f>IF(Inputs!$E$8=1,KN5+KN16+IF(KN4&gt;0,KN4,0),0)</f>
        <v>6749.6381199999996</v>
      </c>
      <c r="KO21" s="6">
        <f>IF(Inputs!$E$8=1,KO5+KO16+IF(KO4&gt;0,KO4,0),0)</f>
        <v>6749.6381199999996</v>
      </c>
      <c r="KP21" s="6">
        <f>IF(Inputs!$E$8=1,KP5+KP16+IF(KP4&gt;0,KP4,0),0)</f>
        <v>6749.6381199999996</v>
      </c>
      <c r="KQ21" s="6">
        <f>IF(Inputs!$E$8=1,KQ5+KQ16+IF(KQ4&gt;0,KQ4,0),0)</f>
        <v>6749.6381199999996</v>
      </c>
      <c r="KR21" s="6">
        <f>IF(Inputs!$E$8=1,KR5+KR16+IF(KR4&gt;0,KR4,0),0)</f>
        <v>6749.6381199999996</v>
      </c>
      <c r="KS21" s="6">
        <f>IF(Inputs!$E$8=1,KS5+KS16+IF(KS4&gt;0,KS4,0),0)</f>
        <v>6973.75414</v>
      </c>
    </row>
    <row r="23" spans="2:16384">
      <c r="B23" s="20" t="s">
        <v>24</v>
      </c>
    </row>
    <row r="24" spans="2:16384">
      <c r="B24" s="21" t="s">
        <v>25</v>
      </c>
      <c r="C24" s="6"/>
      <c r="E24" s="6">
        <f>D28</f>
        <v>0</v>
      </c>
      <c r="F24" s="6">
        <f t="shared" ref="F24:BQ24" si="26">E28</f>
        <v>163880</v>
      </c>
      <c r="G24" s="6">
        <f t="shared" si="26"/>
        <v>162912.83333333334</v>
      </c>
      <c r="H24" s="6">
        <f t="shared" si="26"/>
        <v>161941.63680555558</v>
      </c>
      <c r="I24" s="6">
        <f t="shared" si="26"/>
        <v>160966.39362557873</v>
      </c>
      <c r="J24" s="6">
        <f t="shared" si="26"/>
        <v>159987.08693235196</v>
      </c>
      <c r="K24" s="6">
        <f t="shared" si="26"/>
        <v>159003.6997945701</v>
      </c>
      <c r="L24" s="6">
        <f t="shared" si="26"/>
        <v>158016.21521038082</v>
      </c>
      <c r="M24" s="6">
        <f t="shared" si="26"/>
        <v>157024.61610709073</v>
      </c>
      <c r="N24" s="6">
        <f t="shared" si="26"/>
        <v>156028.88534087027</v>
      </c>
      <c r="O24" s="6">
        <f t="shared" si="26"/>
        <v>155029.00569645723</v>
      </c>
      <c r="P24" s="6">
        <f t="shared" si="26"/>
        <v>154024.95988685914</v>
      </c>
      <c r="Q24" s="6">
        <f t="shared" si="26"/>
        <v>152501.7305530544</v>
      </c>
      <c r="R24" s="6">
        <f t="shared" si="26"/>
        <v>150816.15443035879</v>
      </c>
      <c r="S24" s="6">
        <f t="shared" si="26"/>
        <v>149123.55507381863</v>
      </c>
      <c r="T24" s="6">
        <f t="shared" si="26"/>
        <v>147423.90321995955</v>
      </c>
      <c r="U24" s="6">
        <f t="shared" si="26"/>
        <v>145717.16948337606</v>
      </c>
      <c r="V24" s="6">
        <f t="shared" si="26"/>
        <v>144003.32435622346</v>
      </c>
      <c r="W24" s="6">
        <f t="shared" si="26"/>
        <v>142282.33820770771</v>
      </c>
      <c r="X24" s="6">
        <f t="shared" si="26"/>
        <v>140554.18128357315</v>
      </c>
      <c r="Y24" s="6">
        <f t="shared" si="26"/>
        <v>138818.82370558803</v>
      </c>
      <c r="Z24" s="6">
        <f t="shared" si="26"/>
        <v>137076.23547102799</v>
      </c>
      <c r="AA24" s="6">
        <f t="shared" si="26"/>
        <v>135326.38645215728</v>
      </c>
      <c r="AB24" s="6">
        <f t="shared" si="26"/>
        <v>133569.24639570795</v>
      </c>
      <c r="AC24" s="6">
        <f t="shared" si="26"/>
        <v>131804.78492235672</v>
      </c>
      <c r="AD24" s="6">
        <f t="shared" si="26"/>
        <v>129873.85152619987</v>
      </c>
      <c r="AE24" s="6">
        <f t="shared" si="26"/>
        <v>127934.87257422571</v>
      </c>
      <c r="AF24" s="6">
        <f t="shared" si="26"/>
        <v>125987.81454328499</v>
      </c>
      <c r="AG24" s="6">
        <f t="shared" si="26"/>
        <v>124032.64377054868</v>
      </c>
      <c r="AH24" s="6">
        <f t="shared" si="26"/>
        <v>122069.32645292596</v>
      </c>
      <c r="AI24" s="6">
        <f t="shared" si="26"/>
        <v>120097.82864647983</v>
      </c>
      <c r="AJ24" s="6">
        <f t="shared" si="26"/>
        <v>118118.11626584017</v>
      </c>
      <c r="AK24" s="6">
        <f t="shared" si="26"/>
        <v>116130.15508361452</v>
      </c>
      <c r="AL24" s="6">
        <f t="shared" si="26"/>
        <v>114133.91072979625</v>
      </c>
      <c r="AM24" s="6">
        <f t="shared" si="26"/>
        <v>112129.34869117041</v>
      </c>
      <c r="AN24" s="6">
        <f t="shared" si="26"/>
        <v>110116.43431071696</v>
      </c>
      <c r="AO24" s="6">
        <f t="shared" si="26"/>
        <v>108095.13278701161</v>
      </c>
      <c r="AP24" s="6">
        <f t="shared" si="26"/>
        <v>108286.84137362415</v>
      </c>
      <c r="AQ24" s="6">
        <f t="shared" si="26"/>
        <v>107429.41375601426</v>
      </c>
      <c r="AR24" s="6">
        <f t="shared" si="26"/>
        <v>107015.89822333099</v>
      </c>
      <c r="AS24" s="6">
        <f t="shared" si="26"/>
        <v>106966.99278926154</v>
      </c>
      <c r="AT24" s="6">
        <f t="shared" si="26"/>
        <v>105940.56479255013</v>
      </c>
      <c r="AU24" s="6">
        <f t="shared" si="26"/>
        <v>106234.61158251909</v>
      </c>
      <c r="AV24" s="6">
        <f t="shared" si="26"/>
        <v>105402.05445744625</v>
      </c>
      <c r="AW24" s="6">
        <f t="shared" si="26"/>
        <v>104816.66745435228</v>
      </c>
      <c r="AX24" s="6">
        <f t="shared" si="26"/>
        <v>103765.08090874541</v>
      </c>
      <c r="AY24" s="6">
        <f t="shared" si="26"/>
        <v>102497.67107253186</v>
      </c>
      <c r="AZ24" s="6">
        <f t="shared" si="26"/>
        <v>100282.36910200074</v>
      </c>
      <c r="BA24" s="6">
        <f t="shared" si="26"/>
        <v>98057.83670659241</v>
      </c>
      <c r="BB24" s="6">
        <f t="shared" si="26"/>
        <v>95658.63205620322</v>
      </c>
      <c r="BC24" s="6">
        <f t="shared" si="26"/>
        <v>93249.430719770739</v>
      </c>
      <c r="BD24" s="6">
        <f t="shared" si="26"/>
        <v>90830.191044436448</v>
      </c>
      <c r="BE24" s="6">
        <f t="shared" si="26"/>
        <v>88400.871203788265</v>
      </c>
      <c r="BF24" s="6">
        <f t="shared" si="26"/>
        <v>85961.42919713739</v>
      </c>
      <c r="BG24" s="6">
        <f t="shared" si="26"/>
        <v>83511.82284879213</v>
      </c>
      <c r="BH24" s="6">
        <f t="shared" si="26"/>
        <v>81052.009807328766</v>
      </c>
      <c r="BI24" s="6">
        <f t="shared" si="26"/>
        <v>78581.9475448593</v>
      </c>
      <c r="BJ24" s="6">
        <f t="shared" si="26"/>
        <v>76101.593356296216</v>
      </c>
      <c r="BK24" s="6">
        <f t="shared" si="26"/>
        <v>73610.90435861412</v>
      </c>
      <c r="BL24" s="6">
        <f t="shared" si="26"/>
        <v>71109.837490108344</v>
      </c>
      <c r="BM24" s="6">
        <f t="shared" si="26"/>
        <v>68598.349509650463</v>
      </c>
      <c r="BN24" s="6">
        <f t="shared" si="26"/>
        <v>65907.83742594067</v>
      </c>
      <c r="BO24" s="6">
        <f t="shared" si="26"/>
        <v>63206.114875215426</v>
      </c>
      <c r="BP24" s="6">
        <f t="shared" si="26"/>
        <v>60493.135147195491</v>
      </c>
      <c r="BQ24" s="6">
        <f t="shared" si="26"/>
        <v>57768.851336975473</v>
      </c>
      <c r="BR24" s="6">
        <f t="shared" ref="BR24:EC24" si="27">BQ28</f>
        <v>55033.216344212873</v>
      </c>
      <c r="BS24" s="6">
        <f t="shared" si="27"/>
        <v>52286.182872313766</v>
      </c>
      <c r="BT24" s="6">
        <f t="shared" si="27"/>
        <v>49527.703427615073</v>
      </c>
      <c r="BU24" s="6">
        <f t="shared" si="27"/>
        <v>46757.730318563474</v>
      </c>
      <c r="BV24" s="6">
        <f t="shared" si="27"/>
        <v>43976.215654890824</v>
      </c>
      <c r="BW24" s="6">
        <f t="shared" si="27"/>
        <v>41183.111346786209</v>
      </c>
      <c r="BX24" s="6">
        <f t="shared" si="27"/>
        <v>38378.369104064484</v>
      </c>
      <c r="BY24" s="6">
        <f t="shared" si="27"/>
        <v>35561.940435331424</v>
      </c>
      <c r="BZ24" s="6">
        <f t="shared" si="27"/>
        <v>32562.056477145303</v>
      </c>
      <c r="CA24" s="6">
        <f t="shared" si="27"/>
        <v>29549.673002466741</v>
      </c>
      <c r="CB24" s="6">
        <f t="shared" si="27"/>
        <v>26524.737929977018</v>
      </c>
      <c r="CC24" s="6">
        <f t="shared" si="27"/>
        <v>23487.198961351922</v>
      </c>
      <c r="CD24" s="6">
        <f t="shared" si="27"/>
        <v>20437.003580357552</v>
      </c>
      <c r="CE24" s="6">
        <f t="shared" si="27"/>
        <v>17374.099051942372</v>
      </c>
      <c r="CF24" s="6">
        <f t="shared" si="27"/>
        <v>14298.432421325468</v>
      </c>
      <c r="CG24" s="6">
        <f t="shared" si="27"/>
        <v>11209.95051308099</v>
      </c>
      <c r="CH24" s="6">
        <f t="shared" si="27"/>
        <v>8108.5999302188284</v>
      </c>
      <c r="CI24" s="6">
        <f t="shared" si="27"/>
        <v>4994.3270532614079</v>
      </c>
      <c r="CJ24" s="6">
        <f t="shared" si="27"/>
        <v>1867.0780393166638</v>
      </c>
      <c r="CK24" s="6">
        <f t="shared" si="27"/>
        <v>0</v>
      </c>
      <c r="CL24" s="6">
        <f t="shared" si="27"/>
        <v>0</v>
      </c>
      <c r="CM24" s="6">
        <f t="shared" si="27"/>
        <v>0</v>
      </c>
      <c r="CN24" s="6">
        <f t="shared" si="27"/>
        <v>0</v>
      </c>
      <c r="CO24" s="6">
        <f t="shared" si="27"/>
        <v>0</v>
      </c>
      <c r="CP24" s="6">
        <f t="shared" si="27"/>
        <v>0</v>
      </c>
      <c r="CQ24" s="6">
        <f t="shared" si="27"/>
        <v>0</v>
      </c>
      <c r="CR24" s="6">
        <f t="shared" si="27"/>
        <v>0</v>
      </c>
      <c r="CS24" s="6">
        <f t="shared" si="27"/>
        <v>0</v>
      </c>
      <c r="CT24" s="6">
        <f t="shared" si="27"/>
        <v>0</v>
      </c>
      <c r="CU24" s="6">
        <f t="shared" si="27"/>
        <v>0</v>
      </c>
      <c r="CV24" s="6">
        <f t="shared" si="27"/>
        <v>0</v>
      </c>
      <c r="CW24" s="6">
        <f t="shared" si="27"/>
        <v>0</v>
      </c>
      <c r="CX24" s="6">
        <f t="shared" si="27"/>
        <v>0</v>
      </c>
      <c r="CY24" s="6">
        <f t="shared" si="27"/>
        <v>0</v>
      </c>
      <c r="CZ24" s="6">
        <f t="shared" si="27"/>
        <v>0</v>
      </c>
      <c r="DA24" s="6">
        <f t="shared" si="27"/>
        <v>0</v>
      </c>
      <c r="DB24" s="6">
        <f t="shared" si="27"/>
        <v>0</v>
      </c>
      <c r="DC24" s="6">
        <f t="shared" si="27"/>
        <v>0</v>
      </c>
      <c r="DD24" s="6">
        <f t="shared" si="27"/>
        <v>0</v>
      </c>
      <c r="DE24" s="6">
        <f t="shared" si="27"/>
        <v>0</v>
      </c>
      <c r="DF24" s="6">
        <f t="shared" si="27"/>
        <v>0</v>
      </c>
      <c r="DG24" s="6">
        <f t="shared" si="27"/>
        <v>0</v>
      </c>
      <c r="DH24" s="6">
        <f t="shared" si="27"/>
        <v>0</v>
      </c>
      <c r="DI24" s="6">
        <f t="shared" si="27"/>
        <v>0</v>
      </c>
      <c r="DJ24" s="6">
        <f t="shared" si="27"/>
        <v>0</v>
      </c>
      <c r="DK24" s="6">
        <f t="shared" si="27"/>
        <v>0</v>
      </c>
      <c r="DL24" s="6">
        <f t="shared" si="27"/>
        <v>0</v>
      </c>
      <c r="DM24" s="6">
        <f t="shared" si="27"/>
        <v>0</v>
      </c>
      <c r="DN24" s="6">
        <f t="shared" si="27"/>
        <v>0</v>
      </c>
      <c r="DO24" s="6">
        <f t="shared" si="27"/>
        <v>0</v>
      </c>
      <c r="DP24" s="6">
        <f t="shared" si="27"/>
        <v>0</v>
      </c>
      <c r="DQ24" s="6">
        <f t="shared" si="27"/>
        <v>0</v>
      </c>
      <c r="DR24" s="6">
        <f t="shared" si="27"/>
        <v>0</v>
      </c>
      <c r="DS24" s="6">
        <f t="shared" si="27"/>
        <v>0</v>
      </c>
      <c r="DT24" s="6">
        <f t="shared" si="27"/>
        <v>0</v>
      </c>
      <c r="DU24" s="6">
        <f t="shared" si="27"/>
        <v>0</v>
      </c>
      <c r="DV24" s="6">
        <f t="shared" si="27"/>
        <v>0</v>
      </c>
      <c r="DW24" s="6">
        <f t="shared" si="27"/>
        <v>0</v>
      </c>
      <c r="DX24" s="6">
        <f t="shared" si="27"/>
        <v>0</v>
      </c>
      <c r="DY24" s="6">
        <f t="shared" si="27"/>
        <v>0</v>
      </c>
      <c r="DZ24" s="6">
        <f t="shared" si="27"/>
        <v>0</v>
      </c>
      <c r="EA24" s="6">
        <f t="shared" si="27"/>
        <v>0</v>
      </c>
      <c r="EB24" s="6">
        <f t="shared" si="27"/>
        <v>0</v>
      </c>
      <c r="EC24" s="6">
        <f t="shared" si="27"/>
        <v>0</v>
      </c>
      <c r="ED24" s="6">
        <f t="shared" ref="ED24:GO24" si="28">EC28</f>
        <v>0</v>
      </c>
      <c r="EE24" s="6">
        <f t="shared" si="28"/>
        <v>0</v>
      </c>
      <c r="EF24" s="6">
        <f t="shared" si="28"/>
        <v>0</v>
      </c>
      <c r="EG24" s="6">
        <f t="shared" si="28"/>
        <v>0</v>
      </c>
      <c r="EH24" s="6">
        <f t="shared" si="28"/>
        <v>0</v>
      </c>
      <c r="EI24" s="6">
        <f t="shared" si="28"/>
        <v>0</v>
      </c>
      <c r="EJ24" s="6">
        <f t="shared" si="28"/>
        <v>0</v>
      </c>
      <c r="EK24" s="6">
        <f t="shared" si="28"/>
        <v>0</v>
      </c>
      <c r="EL24" s="6">
        <f t="shared" si="28"/>
        <v>0</v>
      </c>
      <c r="EM24" s="6">
        <f t="shared" si="28"/>
        <v>0</v>
      </c>
      <c r="EN24" s="6">
        <f t="shared" si="28"/>
        <v>0</v>
      </c>
      <c r="EO24" s="6">
        <f t="shared" si="28"/>
        <v>0</v>
      </c>
      <c r="EP24" s="6">
        <f t="shared" si="28"/>
        <v>0</v>
      </c>
      <c r="EQ24" s="6">
        <f t="shared" si="28"/>
        <v>0</v>
      </c>
      <c r="ER24" s="6">
        <f t="shared" si="28"/>
        <v>0</v>
      </c>
      <c r="ES24" s="6">
        <f t="shared" si="28"/>
        <v>0</v>
      </c>
      <c r="ET24" s="6">
        <f t="shared" si="28"/>
        <v>0</v>
      </c>
      <c r="EU24" s="6">
        <f t="shared" si="28"/>
        <v>0</v>
      </c>
      <c r="EV24" s="6">
        <f t="shared" si="28"/>
        <v>0</v>
      </c>
      <c r="EW24" s="6">
        <f t="shared" si="28"/>
        <v>0</v>
      </c>
      <c r="EX24" s="6">
        <f t="shared" si="28"/>
        <v>0</v>
      </c>
      <c r="EY24" s="6">
        <f t="shared" si="28"/>
        <v>0</v>
      </c>
      <c r="EZ24" s="6">
        <f t="shared" si="28"/>
        <v>0</v>
      </c>
      <c r="FA24" s="6">
        <f t="shared" si="28"/>
        <v>0</v>
      </c>
      <c r="FB24" s="6">
        <f t="shared" si="28"/>
        <v>0</v>
      </c>
      <c r="FC24" s="6">
        <f t="shared" si="28"/>
        <v>0</v>
      </c>
      <c r="FD24" s="6">
        <f t="shared" si="28"/>
        <v>0</v>
      </c>
      <c r="FE24" s="6">
        <f t="shared" si="28"/>
        <v>0</v>
      </c>
      <c r="FF24" s="6">
        <f t="shared" si="28"/>
        <v>0</v>
      </c>
      <c r="FG24" s="6">
        <f t="shared" si="28"/>
        <v>0</v>
      </c>
      <c r="FH24" s="6">
        <f t="shared" si="28"/>
        <v>0</v>
      </c>
      <c r="FI24" s="6">
        <f t="shared" si="28"/>
        <v>0</v>
      </c>
      <c r="FJ24" s="6">
        <f t="shared" si="28"/>
        <v>0</v>
      </c>
      <c r="FK24" s="6">
        <f t="shared" si="28"/>
        <v>0</v>
      </c>
      <c r="FL24" s="6">
        <f t="shared" si="28"/>
        <v>0</v>
      </c>
      <c r="FM24" s="6">
        <f t="shared" si="28"/>
        <v>0</v>
      </c>
      <c r="FN24" s="6">
        <f t="shared" si="28"/>
        <v>0</v>
      </c>
      <c r="FO24" s="6">
        <f t="shared" si="28"/>
        <v>0</v>
      </c>
      <c r="FP24" s="6">
        <f t="shared" si="28"/>
        <v>0</v>
      </c>
      <c r="FQ24" s="6">
        <f t="shared" si="28"/>
        <v>0</v>
      </c>
      <c r="FR24" s="6">
        <f t="shared" si="28"/>
        <v>0</v>
      </c>
      <c r="FS24" s="6">
        <f t="shared" si="28"/>
        <v>0</v>
      </c>
      <c r="FT24" s="6">
        <f t="shared" si="28"/>
        <v>0</v>
      </c>
      <c r="FU24" s="6">
        <f t="shared" si="28"/>
        <v>0</v>
      </c>
      <c r="FV24" s="6">
        <f t="shared" si="28"/>
        <v>0</v>
      </c>
      <c r="FW24" s="6">
        <f t="shared" si="28"/>
        <v>0</v>
      </c>
      <c r="FX24" s="6">
        <f t="shared" si="28"/>
        <v>0</v>
      </c>
      <c r="FY24" s="6">
        <f t="shared" si="28"/>
        <v>0</v>
      </c>
      <c r="FZ24" s="6">
        <f t="shared" si="28"/>
        <v>0</v>
      </c>
      <c r="GA24" s="6">
        <f t="shared" si="28"/>
        <v>0</v>
      </c>
      <c r="GB24" s="6">
        <f t="shared" si="28"/>
        <v>0</v>
      </c>
      <c r="GC24" s="6">
        <f t="shared" si="28"/>
        <v>0</v>
      </c>
      <c r="GD24" s="6">
        <f t="shared" si="28"/>
        <v>0</v>
      </c>
      <c r="GE24" s="6">
        <f t="shared" si="28"/>
        <v>0</v>
      </c>
      <c r="GF24" s="6">
        <f t="shared" si="28"/>
        <v>0</v>
      </c>
      <c r="GG24" s="6">
        <f t="shared" si="28"/>
        <v>0</v>
      </c>
      <c r="GH24" s="6">
        <f t="shared" si="28"/>
        <v>0</v>
      </c>
      <c r="GI24" s="6">
        <f t="shared" si="28"/>
        <v>0</v>
      </c>
      <c r="GJ24" s="6">
        <f t="shared" si="28"/>
        <v>0</v>
      </c>
      <c r="GK24" s="6">
        <f t="shared" si="28"/>
        <v>0</v>
      </c>
      <c r="GL24" s="6">
        <f t="shared" si="28"/>
        <v>0</v>
      </c>
      <c r="GM24" s="6">
        <f t="shared" si="28"/>
        <v>0</v>
      </c>
      <c r="GN24" s="6">
        <f t="shared" si="28"/>
        <v>0</v>
      </c>
      <c r="GO24" s="6">
        <f t="shared" si="28"/>
        <v>0</v>
      </c>
      <c r="GP24" s="6">
        <f t="shared" ref="GP24:JA24" si="29">GO28</f>
        <v>0</v>
      </c>
      <c r="GQ24" s="6">
        <f t="shared" si="29"/>
        <v>0</v>
      </c>
      <c r="GR24" s="6">
        <f t="shared" si="29"/>
        <v>0</v>
      </c>
      <c r="GS24" s="6">
        <f t="shared" si="29"/>
        <v>0</v>
      </c>
      <c r="GT24" s="6">
        <f t="shared" si="29"/>
        <v>0</v>
      </c>
      <c r="GU24" s="6">
        <f t="shared" si="29"/>
        <v>0</v>
      </c>
      <c r="GV24" s="6">
        <f t="shared" si="29"/>
        <v>0</v>
      </c>
      <c r="GW24" s="6">
        <f t="shared" si="29"/>
        <v>0</v>
      </c>
      <c r="GX24" s="6">
        <f t="shared" si="29"/>
        <v>0</v>
      </c>
      <c r="GY24" s="6">
        <f t="shared" si="29"/>
        <v>0</v>
      </c>
      <c r="GZ24" s="6">
        <f t="shared" si="29"/>
        <v>0</v>
      </c>
      <c r="HA24" s="6">
        <f t="shared" si="29"/>
        <v>0</v>
      </c>
      <c r="HB24" s="6">
        <f t="shared" si="29"/>
        <v>0</v>
      </c>
      <c r="HC24" s="6">
        <f t="shared" si="29"/>
        <v>0</v>
      </c>
      <c r="HD24" s="6">
        <f t="shared" si="29"/>
        <v>0</v>
      </c>
      <c r="HE24" s="6">
        <f t="shared" si="29"/>
        <v>0</v>
      </c>
      <c r="HF24" s="6">
        <f t="shared" si="29"/>
        <v>0</v>
      </c>
      <c r="HG24" s="6">
        <f t="shared" si="29"/>
        <v>0</v>
      </c>
      <c r="HH24" s="6">
        <f t="shared" si="29"/>
        <v>0</v>
      </c>
      <c r="HI24" s="6">
        <f t="shared" si="29"/>
        <v>0</v>
      </c>
      <c r="HJ24" s="6">
        <f t="shared" si="29"/>
        <v>0</v>
      </c>
      <c r="HK24" s="6">
        <f t="shared" si="29"/>
        <v>0</v>
      </c>
      <c r="HL24" s="6">
        <f t="shared" si="29"/>
        <v>0</v>
      </c>
      <c r="HM24" s="6">
        <f t="shared" si="29"/>
        <v>0</v>
      </c>
      <c r="HN24" s="6">
        <f t="shared" si="29"/>
        <v>0</v>
      </c>
      <c r="HO24" s="6">
        <f t="shared" si="29"/>
        <v>0</v>
      </c>
      <c r="HP24" s="6">
        <f t="shared" si="29"/>
        <v>0</v>
      </c>
      <c r="HQ24" s="6">
        <f t="shared" si="29"/>
        <v>0</v>
      </c>
      <c r="HR24" s="6">
        <f t="shared" si="29"/>
        <v>0</v>
      </c>
      <c r="HS24" s="6">
        <f t="shared" si="29"/>
        <v>0</v>
      </c>
      <c r="HT24" s="6">
        <f t="shared" si="29"/>
        <v>0</v>
      </c>
      <c r="HU24" s="6">
        <f t="shared" si="29"/>
        <v>0</v>
      </c>
      <c r="HV24" s="6">
        <f t="shared" si="29"/>
        <v>0</v>
      </c>
      <c r="HW24" s="6">
        <f t="shared" si="29"/>
        <v>0</v>
      </c>
      <c r="HX24" s="6">
        <f t="shared" si="29"/>
        <v>0</v>
      </c>
      <c r="HY24" s="6">
        <f t="shared" si="29"/>
        <v>0</v>
      </c>
      <c r="HZ24" s="6">
        <f t="shared" si="29"/>
        <v>0</v>
      </c>
      <c r="IA24" s="6">
        <f t="shared" si="29"/>
        <v>0</v>
      </c>
      <c r="IB24" s="6">
        <f t="shared" si="29"/>
        <v>0</v>
      </c>
      <c r="IC24" s="6">
        <f t="shared" si="29"/>
        <v>0</v>
      </c>
      <c r="ID24" s="6">
        <f t="shared" si="29"/>
        <v>0</v>
      </c>
      <c r="IE24" s="6">
        <f t="shared" si="29"/>
        <v>0</v>
      </c>
      <c r="IF24" s="6">
        <f t="shared" si="29"/>
        <v>0</v>
      </c>
      <c r="IG24" s="6">
        <f t="shared" si="29"/>
        <v>0</v>
      </c>
      <c r="IH24" s="6">
        <f t="shared" si="29"/>
        <v>0</v>
      </c>
      <c r="II24" s="6">
        <f t="shared" si="29"/>
        <v>0</v>
      </c>
      <c r="IJ24" s="6">
        <f t="shared" si="29"/>
        <v>0</v>
      </c>
      <c r="IK24" s="6">
        <f t="shared" si="29"/>
        <v>0</v>
      </c>
      <c r="IL24" s="6">
        <f t="shared" si="29"/>
        <v>0</v>
      </c>
      <c r="IM24" s="6">
        <f t="shared" si="29"/>
        <v>0</v>
      </c>
      <c r="IN24" s="6">
        <f t="shared" si="29"/>
        <v>0</v>
      </c>
      <c r="IO24" s="6">
        <f t="shared" si="29"/>
        <v>0</v>
      </c>
      <c r="IP24" s="6">
        <f t="shared" si="29"/>
        <v>0</v>
      </c>
      <c r="IQ24" s="6">
        <f t="shared" si="29"/>
        <v>0</v>
      </c>
      <c r="IR24" s="6">
        <f t="shared" si="29"/>
        <v>0</v>
      </c>
      <c r="IS24" s="6">
        <f t="shared" si="29"/>
        <v>0</v>
      </c>
      <c r="IT24" s="6">
        <f t="shared" si="29"/>
        <v>0</v>
      </c>
      <c r="IU24" s="6">
        <f t="shared" si="29"/>
        <v>0</v>
      </c>
      <c r="IV24" s="6">
        <f t="shared" si="29"/>
        <v>0</v>
      </c>
      <c r="IW24" s="6">
        <f t="shared" si="29"/>
        <v>0</v>
      </c>
      <c r="IX24" s="6">
        <f t="shared" si="29"/>
        <v>0</v>
      </c>
      <c r="IY24" s="6">
        <f t="shared" si="29"/>
        <v>0</v>
      </c>
      <c r="IZ24" s="6">
        <f t="shared" si="29"/>
        <v>0</v>
      </c>
      <c r="JA24" s="6">
        <f t="shared" si="29"/>
        <v>0</v>
      </c>
      <c r="JB24" s="6">
        <f t="shared" ref="JB24:KS24" si="30">JA28</f>
        <v>0</v>
      </c>
      <c r="JC24" s="6">
        <f t="shared" si="30"/>
        <v>0</v>
      </c>
      <c r="JD24" s="6">
        <f t="shared" si="30"/>
        <v>0</v>
      </c>
      <c r="JE24" s="6">
        <f t="shared" si="30"/>
        <v>0</v>
      </c>
      <c r="JF24" s="6">
        <f t="shared" si="30"/>
        <v>0</v>
      </c>
      <c r="JG24" s="6">
        <f t="shared" si="30"/>
        <v>0</v>
      </c>
      <c r="JH24" s="6">
        <f t="shared" si="30"/>
        <v>0</v>
      </c>
      <c r="JI24" s="6">
        <f t="shared" si="30"/>
        <v>0</v>
      </c>
      <c r="JJ24" s="6">
        <f t="shared" si="30"/>
        <v>0</v>
      </c>
      <c r="JK24" s="6">
        <f t="shared" si="30"/>
        <v>0</v>
      </c>
      <c r="JL24" s="6">
        <f t="shared" si="30"/>
        <v>0</v>
      </c>
      <c r="JM24" s="6">
        <f t="shared" si="30"/>
        <v>0</v>
      </c>
      <c r="JN24" s="6">
        <f t="shared" si="30"/>
        <v>0</v>
      </c>
      <c r="JO24" s="6">
        <f t="shared" si="30"/>
        <v>0</v>
      </c>
      <c r="JP24" s="6">
        <f t="shared" si="30"/>
        <v>0</v>
      </c>
      <c r="JQ24" s="6">
        <f t="shared" si="30"/>
        <v>0</v>
      </c>
      <c r="JR24" s="6">
        <f t="shared" si="30"/>
        <v>0</v>
      </c>
      <c r="JS24" s="6">
        <f t="shared" si="30"/>
        <v>0</v>
      </c>
      <c r="JT24" s="6">
        <f t="shared" si="30"/>
        <v>0</v>
      </c>
      <c r="JU24" s="6">
        <f t="shared" si="30"/>
        <v>0</v>
      </c>
      <c r="JV24" s="6">
        <f t="shared" si="30"/>
        <v>0</v>
      </c>
      <c r="JW24" s="6">
        <f t="shared" si="30"/>
        <v>0</v>
      </c>
      <c r="JX24" s="6">
        <f t="shared" si="30"/>
        <v>0</v>
      </c>
      <c r="JY24" s="6">
        <f t="shared" si="30"/>
        <v>0</v>
      </c>
      <c r="JZ24" s="6">
        <f t="shared" si="30"/>
        <v>0</v>
      </c>
      <c r="KA24" s="6">
        <f t="shared" si="30"/>
        <v>0</v>
      </c>
      <c r="KB24" s="6">
        <f t="shared" si="30"/>
        <v>0</v>
      </c>
      <c r="KC24" s="6">
        <f t="shared" si="30"/>
        <v>0</v>
      </c>
      <c r="KD24" s="6">
        <f t="shared" si="30"/>
        <v>0</v>
      </c>
      <c r="KE24" s="6">
        <f t="shared" si="30"/>
        <v>0</v>
      </c>
      <c r="KF24" s="6">
        <f t="shared" si="30"/>
        <v>0</v>
      </c>
      <c r="KG24" s="6">
        <f t="shared" si="30"/>
        <v>0</v>
      </c>
      <c r="KH24" s="6">
        <f t="shared" si="30"/>
        <v>0</v>
      </c>
      <c r="KI24" s="6">
        <f t="shared" si="30"/>
        <v>0</v>
      </c>
      <c r="KJ24" s="6">
        <f t="shared" si="30"/>
        <v>0</v>
      </c>
      <c r="KK24" s="6">
        <f t="shared" si="30"/>
        <v>0</v>
      </c>
      <c r="KL24" s="6">
        <f t="shared" si="30"/>
        <v>0</v>
      </c>
      <c r="KM24" s="6">
        <f t="shared" si="30"/>
        <v>0</v>
      </c>
      <c r="KN24" s="6">
        <f t="shared" si="30"/>
        <v>0</v>
      </c>
      <c r="KO24" s="6">
        <f t="shared" si="30"/>
        <v>0</v>
      </c>
      <c r="KP24" s="6">
        <f t="shared" si="30"/>
        <v>0</v>
      </c>
      <c r="KQ24" s="6">
        <f t="shared" si="30"/>
        <v>0</v>
      </c>
      <c r="KR24" s="6">
        <f t="shared" si="30"/>
        <v>0</v>
      </c>
      <c r="KS24" s="6">
        <f t="shared" si="30"/>
        <v>0</v>
      </c>
    </row>
    <row r="25" spans="2:16384">
      <c r="B25" s="21" t="s">
        <v>26</v>
      </c>
      <c r="C25" s="6"/>
      <c r="E25" s="6">
        <f>IF(Inputs!$E$8=1,-E4,0)*Inputs!$E$3</f>
        <v>163200</v>
      </c>
      <c r="F25" s="6">
        <f>IF(Inputs!$E$8=1,-F4,0)*Inputs!$E$3</f>
        <v>0</v>
      </c>
      <c r="G25" s="6">
        <f>IF(Inputs!$E$8=1,-G4,0)*Inputs!$E$3</f>
        <v>0</v>
      </c>
      <c r="H25" s="6">
        <f>IF(Inputs!$E$8=1,-H4,0)*Inputs!$E$3</f>
        <v>0</v>
      </c>
      <c r="I25" s="6">
        <f>IF(Inputs!$E$8=1,-I4,0)*Inputs!$E$3</f>
        <v>0</v>
      </c>
      <c r="J25" s="6">
        <f>IF(Inputs!$E$8=1,-J4,0)*Inputs!$E$3</f>
        <v>0</v>
      </c>
      <c r="K25" s="6">
        <f>IF(Inputs!$E$8=1,-K4,0)*Inputs!$E$3</f>
        <v>0</v>
      </c>
      <c r="L25" s="6">
        <f>IF(Inputs!$E$8=1,-L4,0)*Inputs!$E$3</f>
        <v>0</v>
      </c>
      <c r="M25" s="6">
        <f>IF(Inputs!$E$8=1,-M4,0)*Inputs!$E$3</f>
        <v>0</v>
      </c>
      <c r="N25" s="6">
        <f>IF(Inputs!$E$8=1,-N4,0)*Inputs!$E$3</f>
        <v>0</v>
      </c>
      <c r="O25" s="6">
        <f>IF(Inputs!$E$8=1,-O4,0)*Inputs!$E$3</f>
        <v>0</v>
      </c>
      <c r="P25" s="6">
        <f>IF(Inputs!$E$8=1,-P4,0)*Inputs!$E$3</f>
        <v>0</v>
      </c>
      <c r="Q25" s="6">
        <f>IF(Inputs!$E$8=1,-Q4,0)*Inputs!$E$3</f>
        <v>0</v>
      </c>
      <c r="R25" s="6">
        <f>IF(Inputs!$E$8=1,-R4,0)*Inputs!$E$3</f>
        <v>0</v>
      </c>
      <c r="S25" s="6">
        <f>IF(Inputs!$E$8=1,-S4,0)*Inputs!$E$3</f>
        <v>0</v>
      </c>
      <c r="T25" s="6">
        <f>IF(Inputs!$E$8=1,-T4,0)*Inputs!$E$3</f>
        <v>0</v>
      </c>
      <c r="U25" s="6">
        <f>IF(Inputs!$E$8=1,-U4,0)*Inputs!$E$3</f>
        <v>0</v>
      </c>
      <c r="V25" s="6">
        <f>IF(Inputs!$E$8=1,-V4,0)*Inputs!$E$3</f>
        <v>0</v>
      </c>
      <c r="W25" s="6">
        <f>IF(Inputs!$E$8=1,-W4,0)*Inputs!$E$3</f>
        <v>0</v>
      </c>
      <c r="X25" s="6">
        <f>IF(Inputs!$E$8=1,-X4,0)*Inputs!$E$3</f>
        <v>0</v>
      </c>
      <c r="Y25" s="6">
        <f>IF(Inputs!$E$8=1,-Y4,0)*Inputs!$E$3</f>
        <v>0</v>
      </c>
      <c r="Z25" s="6">
        <f>IF(Inputs!$E$8=1,-Z4,0)*Inputs!$E$3</f>
        <v>0</v>
      </c>
      <c r="AA25" s="6">
        <f>IF(Inputs!$E$8=1,-AA4,0)*Inputs!$E$3</f>
        <v>0</v>
      </c>
      <c r="AB25" s="6">
        <f>IF(Inputs!$E$8=1,-AB4,0)*Inputs!$E$3</f>
        <v>0</v>
      </c>
      <c r="AC25" s="6">
        <f>IF(Inputs!$E$8=1,-AC4,0)*Inputs!$E$3</f>
        <v>0</v>
      </c>
      <c r="AD25" s="6">
        <f>IF(Inputs!$E$8=1,-AD4,0)*Inputs!$E$3</f>
        <v>0</v>
      </c>
      <c r="AE25" s="6">
        <f>IF(Inputs!$E$8=1,-AE4,0)*Inputs!$E$3</f>
        <v>0</v>
      </c>
      <c r="AF25" s="6">
        <f>IF(Inputs!$E$8=1,-AF4,0)*Inputs!$E$3</f>
        <v>0</v>
      </c>
      <c r="AG25" s="6">
        <f>IF(Inputs!$E$8=1,-AG4,0)*Inputs!$E$3</f>
        <v>0</v>
      </c>
      <c r="AH25" s="6">
        <f>IF(Inputs!$E$8=1,-AH4,0)*Inputs!$E$3</f>
        <v>0</v>
      </c>
      <c r="AI25" s="6">
        <f>IF(Inputs!$E$8=1,-AI4,0)*Inputs!$E$3</f>
        <v>0</v>
      </c>
      <c r="AJ25" s="6">
        <f>IF(Inputs!$E$8=1,-AJ4,0)*Inputs!$E$3</f>
        <v>0</v>
      </c>
      <c r="AK25" s="6">
        <f>IF(Inputs!$E$8=1,-AK4,0)*Inputs!$E$3</f>
        <v>0</v>
      </c>
      <c r="AL25" s="6">
        <f>IF(Inputs!$E$8=1,-AL4,0)*Inputs!$E$3</f>
        <v>0</v>
      </c>
      <c r="AM25" s="6">
        <f>IF(Inputs!$E$8=1,-AM4,0)*Inputs!$E$3</f>
        <v>0</v>
      </c>
      <c r="AN25" s="6">
        <f>IF(Inputs!$E$8=1,-AN4,0)*Inputs!$E$3</f>
        <v>0</v>
      </c>
      <c r="AO25" s="6">
        <f>IF(Inputs!$E$8=1,-AO4,0)*Inputs!$E$3</f>
        <v>0</v>
      </c>
      <c r="AP25" s="6">
        <f>IF(Inputs!$E$8=1,-AP4,0)*Inputs!$E$3</f>
        <v>0</v>
      </c>
      <c r="AQ25" s="6">
        <f>IF(Inputs!$E$8=1,-AQ4,0)*Inputs!$E$3</f>
        <v>0</v>
      </c>
      <c r="AR25" s="6">
        <f>IF(Inputs!$E$8=1,-AR4,0)*Inputs!$E$3</f>
        <v>0</v>
      </c>
      <c r="AS25" s="6">
        <f>IF(Inputs!$E$8=1,-AS4,0)*Inputs!$E$3</f>
        <v>0</v>
      </c>
      <c r="AT25" s="6">
        <f>IF(Inputs!$E$8=1,-AT4,0)*Inputs!$E$3</f>
        <v>0</v>
      </c>
      <c r="AU25" s="6">
        <f>IF(Inputs!$E$8=1,-AU4,0)*Inputs!$E$3</f>
        <v>0</v>
      </c>
      <c r="AV25" s="6">
        <f>IF(Inputs!$E$8=1,-AV4,0)*Inputs!$E$3</f>
        <v>0</v>
      </c>
      <c r="AW25" s="6">
        <f>IF(Inputs!$E$8=1,-AW4,0)*Inputs!$E$3</f>
        <v>0</v>
      </c>
      <c r="AX25" s="6">
        <f>IF(Inputs!$E$8=1,-AX4,0)*Inputs!$E$3</f>
        <v>0</v>
      </c>
      <c r="AY25" s="6">
        <f>IF(Inputs!$E$8=1,-AY4,0)*Inputs!$E$3</f>
        <v>0</v>
      </c>
      <c r="AZ25" s="6">
        <f>IF(Inputs!$E$8=1,-AZ4,0)*Inputs!$E$3</f>
        <v>0</v>
      </c>
      <c r="BA25" s="6">
        <f>IF(Inputs!$E$8=1,-BA4,0)*Inputs!$E$3</f>
        <v>0</v>
      </c>
      <c r="BB25" s="6">
        <f>IF(Inputs!$E$8=1,-BB4,0)*Inputs!$E$3</f>
        <v>0</v>
      </c>
      <c r="BC25" s="6">
        <f>IF(Inputs!$E$8=1,-BC4,0)*Inputs!$E$3</f>
        <v>0</v>
      </c>
      <c r="BD25" s="6">
        <f>IF(Inputs!$E$8=1,-BD4,0)*Inputs!$E$3</f>
        <v>0</v>
      </c>
      <c r="BE25" s="6">
        <f>IF(Inputs!$E$8=1,-BE4,0)*Inputs!$E$3</f>
        <v>0</v>
      </c>
      <c r="BF25" s="6">
        <f>IF(Inputs!$E$8=1,-BF4,0)*Inputs!$E$3</f>
        <v>0</v>
      </c>
      <c r="BG25" s="6">
        <f>IF(Inputs!$E$8=1,-BG4,0)*Inputs!$E$3</f>
        <v>0</v>
      </c>
      <c r="BH25" s="6">
        <f>IF(Inputs!$E$8=1,-BH4,0)*Inputs!$E$3</f>
        <v>0</v>
      </c>
      <c r="BI25" s="6">
        <f>IF(Inputs!$E$8=1,-BI4,0)*Inputs!$E$3</f>
        <v>0</v>
      </c>
      <c r="BJ25" s="6">
        <f>IF(Inputs!$E$8=1,-BJ4,0)*Inputs!$E$3</f>
        <v>0</v>
      </c>
      <c r="BK25" s="6">
        <f>IF(Inputs!$E$8=1,-BK4,0)*Inputs!$E$3</f>
        <v>0</v>
      </c>
      <c r="BL25" s="6">
        <f>IF(Inputs!$E$8=1,-BL4,0)*Inputs!$E$3</f>
        <v>0</v>
      </c>
      <c r="BM25" s="6">
        <f>IF(Inputs!$E$8=1,-BM4,0)*Inputs!$E$3</f>
        <v>0</v>
      </c>
      <c r="BN25" s="6">
        <f>IF(Inputs!$E$8=1,-BN4,0)*Inputs!$E$3</f>
        <v>0</v>
      </c>
      <c r="BO25" s="6">
        <f>IF(Inputs!$E$8=1,-BO4,0)*Inputs!$E$3</f>
        <v>0</v>
      </c>
      <c r="BP25" s="6">
        <f>IF(Inputs!$E$8=1,-BP4,0)*Inputs!$E$3</f>
        <v>0</v>
      </c>
      <c r="BQ25" s="6">
        <f>IF(Inputs!$E$8=1,-BQ4,0)*Inputs!$E$3</f>
        <v>0</v>
      </c>
      <c r="BR25" s="6">
        <f>IF(Inputs!$E$8=1,-BR4,0)*Inputs!$E$3</f>
        <v>0</v>
      </c>
      <c r="BS25" s="6">
        <f>IF(Inputs!$E$8=1,-BS4,0)*Inputs!$E$3</f>
        <v>0</v>
      </c>
      <c r="BT25" s="6">
        <f>IF(Inputs!$E$8=1,-BT4,0)*Inputs!$E$3</f>
        <v>0</v>
      </c>
      <c r="BU25" s="6">
        <f>IF(Inputs!$E$8=1,-BU4,0)*Inputs!$E$3</f>
        <v>0</v>
      </c>
      <c r="BV25" s="6">
        <f>IF(Inputs!$E$8=1,-BV4,0)*Inputs!$E$3</f>
        <v>0</v>
      </c>
      <c r="BW25" s="6">
        <f>IF(Inputs!$E$8=1,-BW4,0)*Inputs!$E$3</f>
        <v>0</v>
      </c>
      <c r="BX25" s="6">
        <f>IF(Inputs!$E$8=1,-BX4,0)*Inputs!$E$3</f>
        <v>0</v>
      </c>
      <c r="BY25" s="6">
        <f>IF(Inputs!$E$8=1,-BY4,0)*Inputs!$E$3</f>
        <v>0</v>
      </c>
      <c r="BZ25" s="6">
        <f>IF(Inputs!$E$8=1,-BZ4,0)*Inputs!$E$3</f>
        <v>0</v>
      </c>
      <c r="CA25" s="6">
        <f>IF(Inputs!$E$8=1,-CA4,0)*Inputs!$E$3</f>
        <v>0</v>
      </c>
      <c r="CB25" s="6">
        <f>IF(Inputs!$E$8=1,-CB4,0)*Inputs!$E$3</f>
        <v>0</v>
      </c>
      <c r="CC25" s="6">
        <f>IF(Inputs!$E$8=1,-CC4,0)*Inputs!$E$3</f>
        <v>0</v>
      </c>
      <c r="CD25" s="6">
        <f>IF(Inputs!$E$8=1,-CD4,0)*Inputs!$E$3</f>
        <v>0</v>
      </c>
      <c r="CE25" s="6">
        <f>IF(Inputs!$E$8=1,-CE4,0)*Inputs!$E$3</f>
        <v>0</v>
      </c>
      <c r="CF25" s="6">
        <f>IF(Inputs!$E$8=1,-CF4,0)*Inputs!$E$3</f>
        <v>0</v>
      </c>
      <c r="CG25" s="6">
        <f>IF(Inputs!$E$8=1,-CG4,0)*Inputs!$E$3</f>
        <v>0</v>
      </c>
      <c r="CH25" s="6">
        <f>IF(Inputs!$E$8=1,-CH4,0)*Inputs!$E$3</f>
        <v>0</v>
      </c>
      <c r="CI25" s="6">
        <f>IF(Inputs!$E$8=1,-CI4,0)*Inputs!$E$3</f>
        <v>0</v>
      </c>
      <c r="CJ25" s="6">
        <f>IF(Inputs!$E$8=1,-CJ4,0)*Inputs!$E$3</f>
        <v>0</v>
      </c>
      <c r="CK25" s="6">
        <f>IF(Inputs!$E$8=1,-CK4,0)*Inputs!$E$3</f>
        <v>0</v>
      </c>
      <c r="CL25" s="6">
        <f>IF(Inputs!$E$8=1,-CL4,0)*Inputs!$E$3</f>
        <v>0</v>
      </c>
      <c r="CM25" s="6">
        <f>IF(Inputs!$E$8=1,-CM4,0)*Inputs!$E$3</f>
        <v>0</v>
      </c>
      <c r="CN25" s="6">
        <f>IF(Inputs!$E$8=1,-CN4,0)*Inputs!$E$3</f>
        <v>0</v>
      </c>
      <c r="CO25" s="6">
        <f>IF(Inputs!$E$8=1,-CO4,0)*Inputs!$E$3</f>
        <v>0</v>
      </c>
      <c r="CP25" s="6">
        <f>IF(Inputs!$E$8=1,-CP4,0)*Inputs!$E$3</f>
        <v>0</v>
      </c>
      <c r="CQ25" s="6">
        <f>IF(Inputs!$E$8=1,-CQ4,0)*Inputs!$E$3</f>
        <v>0</v>
      </c>
      <c r="CR25" s="6">
        <f>IF(Inputs!$E$8=1,-CR4,0)*Inputs!$E$3</f>
        <v>0</v>
      </c>
      <c r="CS25" s="6">
        <f>IF(Inputs!$E$8=1,-CS4,0)*Inputs!$E$3</f>
        <v>0</v>
      </c>
      <c r="CT25" s="6">
        <f>IF(Inputs!$E$8=1,-CT4,0)*Inputs!$E$3</f>
        <v>0</v>
      </c>
      <c r="CU25" s="6">
        <f>IF(Inputs!$E$8=1,-CU4,0)*Inputs!$E$3</f>
        <v>0</v>
      </c>
      <c r="CV25" s="6">
        <f>IF(Inputs!$E$8=1,-CV4,0)*Inputs!$E$3</f>
        <v>0</v>
      </c>
      <c r="CW25" s="6">
        <f>IF(Inputs!$E$8=1,-CW4,0)*Inputs!$E$3</f>
        <v>0</v>
      </c>
      <c r="CX25" s="6">
        <f>IF(Inputs!$E$8=1,-CX4,0)*Inputs!$E$3</f>
        <v>0</v>
      </c>
      <c r="CY25" s="6">
        <f>IF(Inputs!$E$8=1,-CY4,0)*Inputs!$E$3</f>
        <v>0</v>
      </c>
      <c r="CZ25" s="6">
        <f>IF(Inputs!$E$8=1,-CZ4,0)*Inputs!$E$3</f>
        <v>0</v>
      </c>
      <c r="DA25" s="6">
        <f>IF(Inputs!$E$8=1,-DA4,0)*Inputs!$E$3</f>
        <v>0</v>
      </c>
      <c r="DB25" s="6">
        <f>IF(Inputs!$E$8=1,-DB4,0)*Inputs!$E$3</f>
        <v>0</v>
      </c>
      <c r="DC25" s="6">
        <f>IF(Inputs!$E$8=1,-DC4,0)*Inputs!$E$3</f>
        <v>0</v>
      </c>
      <c r="DD25" s="6">
        <f>IF(Inputs!$E$8=1,-DD4,0)*Inputs!$E$3</f>
        <v>0</v>
      </c>
      <c r="DE25" s="6">
        <f>IF(Inputs!$E$8=1,-DE4,0)*Inputs!$E$3</f>
        <v>0</v>
      </c>
      <c r="DF25" s="6">
        <f>IF(Inputs!$E$8=1,-DF4,0)*Inputs!$E$3</f>
        <v>0</v>
      </c>
      <c r="DG25" s="6">
        <f>IF(Inputs!$E$8=1,-DG4,0)*Inputs!$E$3</f>
        <v>0</v>
      </c>
      <c r="DH25" s="6">
        <f>IF(Inputs!$E$8=1,-DH4,0)*Inputs!$E$3</f>
        <v>0</v>
      </c>
      <c r="DI25" s="6">
        <f>IF(Inputs!$E$8=1,-DI4,0)*Inputs!$E$3</f>
        <v>0</v>
      </c>
      <c r="DJ25" s="6">
        <f>IF(Inputs!$E$8=1,-DJ4,0)*Inputs!$E$3</f>
        <v>0</v>
      </c>
      <c r="DK25" s="6">
        <f>IF(Inputs!$E$8=1,-DK4,0)*Inputs!$E$3</f>
        <v>0</v>
      </c>
      <c r="DL25" s="6">
        <f>IF(Inputs!$E$8=1,-DL4,0)*Inputs!$E$3</f>
        <v>0</v>
      </c>
      <c r="DM25" s="6">
        <f>IF(Inputs!$E$8=1,-DM4,0)*Inputs!$E$3</f>
        <v>0</v>
      </c>
      <c r="DN25" s="6">
        <f>IF(Inputs!$E$8=1,-DN4,0)*Inputs!$E$3</f>
        <v>0</v>
      </c>
      <c r="DO25" s="6">
        <f>IF(Inputs!$E$8=1,-DO4,0)*Inputs!$E$3</f>
        <v>0</v>
      </c>
      <c r="DP25" s="6">
        <f>IF(Inputs!$E$8=1,-DP4,0)*Inputs!$E$3</f>
        <v>0</v>
      </c>
      <c r="DQ25" s="6">
        <f>IF(Inputs!$E$8=1,-DQ4,0)*Inputs!$E$3</f>
        <v>0</v>
      </c>
      <c r="DR25" s="6">
        <f>IF(Inputs!$E$8=1,-DR4,0)*Inputs!$E$3</f>
        <v>0</v>
      </c>
      <c r="DS25" s="6">
        <f>IF(Inputs!$E$8=1,-DS4,0)*Inputs!$E$3</f>
        <v>0</v>
      </c>
      <c r="DT25" s="6">
        <f>IF(Inputs!$E$8=1,-DT4,0)*Inputs!$E$3</f>
        <v>0</v>
      </c>
      <c r="DU25" s="6">
        <f>IF(Inputs!$E$8=1,-DU4,0)*Inputs!$E$3</f>
        <v>0</v>
      </c>
      <c r="DV25" s="6">
        <f>IF(Inputs!$E$8=1,-DV4,0)*Inputs!$E$3</f>
        <v>0</v>
      </c>
      <c r="DW25" s="6">
        <f>IF(Inputs!$E$8=1,-DW4,0)*Inputs!$E$3</f>
        <v>0</v>
      </c>
      <c r="DX25" s="6">
        <f>IF(Inputs!$E$8=1,-DX4,0)*Inputs!$E$3</f>
        <v>0</v>
      </c>
      <c r="DY25" s="6">
        <f>IF(Inputs!$E$8=1,-DY4,0)*Inputs!$E$3</f>
        <v>0</v>
      </c>
      <c r="DZ25" s="6">
        <f>IF(Inputs!$E$8=1,-DZ4,0)*Inputs!$E$3</f>
        <v>0</v>
      </c>
      <c r="EA25" s="6">
        <f>IF(Inputs!$E$8=1,-EA4,0)*Inputs!$E$3</f>
        <v>0</v>
      </c>
      <c r="EB25" s="6">
        <f>IF(Inputs!$E$8=1,-EB4,0)*Inputs!$E$3</f>
        <v>0</v>
      </c>
      <c r="EC25" s="6">
        <f>IF(Inputs!$E$8=1,-EC4,0)*Inputs!$E$3</f>
        <v>0</v>
      </c>
      <c r="ED25" s="6">
        <f>IF(Inputs!$E$8=1,-ED4,0)*Inputs!$E$3</f>
        <v>0</v>
      </c>
      <c r="EE25" s="6">
        <f>IF(Inputs!$E$8=1,-EE4,0)*Inputs!$E$3</f>
        <v>0</v>
      </c>
      <c r="EF25" s="6">
        <f>IF(Inputs!$E$8=1,-EF4,0)*Inputs!$E$3</f>
        <v>0</v>
      </c>
      <c r="EG25" s="6">
        <f>IF(Inputs!$E$8=1,-EG4,0)*Inputs!$E$3</f>
        <v>0</v>
      </c>
      <c r="EH25" s="6">
        <f>IF(Inputs!$E$8=1,-EH4,0)*Inputs!$E$3</f>
        <v>0</v>
      </c>
      <c r="EI25" s="6">
        <f>IF(Inputs!$E$8=1,-EI4,0)*Inputs!$E$3</f>
        <v>0</v>
      </c>
      <c r="EJ25" s="6">
        <f>IF(Inputs!$E$8=1,-EJ4,0)*Inputs!$E$3</f>
        <v>0</v>
      </c>
      <c r="EK25" s="6">
        <f>IF(Inputs!$E$8=1,-EK4,0)*Inputs!$E$3</f>
        <v>0</v>
      </c>
      <c r="EL25" s="6">
        <f>IF(Inputs!$E$8=1,-EL4,0)*Inputs!$E$3</f>
        <v>0</v>
      </c>
      <c r="EM25" s="6">
        <f>IF(Inputs!$E$8=1,-EM4,0)*Inputs!$E$3</f>
        <v>0</v>
      </c>
      <c r="EN25" s="6">
        <f>IF(Inputs!$E$8=1,-EN4,0)*Inputs!$E$3</f>
        <v>0</v>
      </c>
      <c r="EO25" s="6">
        <f>IF(Inputs!$E$8=1,-EO4,0)*Inputs!$E$3</f>
        <v>0</v>
      </c>
      <c r="EP25" s="6">
        <f>IF(Inputs!$E$8=1,-EP4,0)*Inputs!$E$3</f>
        <v>0</v>
      </c>
      <c r="EQ25" s="6">
        <f>IF(Inputs!$E$8=1,-EQ4,0)*Inputs!$E$3</f>
        <v>0</v>
      </c>
      <c r="ER25" s="6">
        <f>IF(Inputs!$E$8=1,-ER4,0)*Inputs!$E$3</f>
        <v>0</v>
      </c>
      <c r="ES25" s="6">
        <f>IF(Inputs!$E$8=1,-ES4,0)*Inputs!$E$3</f>
        <v>0</v>
      </c>
      <c r="ET25" s="6">
        <f>IF(Inputs!$E$8=1,-ET4,0)*Inputs!$E$3</f>
        <v>0</v>
      </c>
      <c r="EU25" s="6">
        <f>IF(Inputs!$E$8=1,-EU4,0)*Inputs!$E$3</f>
        <v>0</v>
      </c>
      <c r="EV25" s="6">
        <f>IF(Inputs!$E$8=1,-EV4,0)*Inputs!$E$3</f>
        <v>0</v>
      </c>
      <c r="EW25" s="6">
        <f>IF(Inputs!$E$8=1,-EW4,0)*Inputs!$E$3</f>
        <v>0</v>
      </c>
      <c r="EX25" s="6">
        <f>IF(Inputs!$E$8=1,-EX4,0)*Inputs!$E$3</f>
        <v>0</v>
      </c>
      <c r="EY25" s="6">
        <f>IF(Inputs!$E$8=1,-EY4,0)*Inputs!$E$3</f>
        <v>0</v>
      </c>
      <c r="EZ25" s="6">
        <f>IF(Inputs!$E$8=1,-EZ4,0)*Inputs!$E$3</f>
        <v>0</v>
      </c>
      <c r="FA25" s="6">
        <f>IF(Inputs!$E$8=1,-FA4,0)*Inputs!$E$3</f>
        <v>0</v>
      </c>
      <c r="FB25" s="6">
        <f>IF(Inputs!$E$8=1,-FB4,0)*Inputs!$E$3</f>
        <v>0</v>
      </c>
      <c r="FC25" s="6">
        <f>IF(Inputs!$E$8=1,-FC4,0)*Inputs!$E$3</f>
        <v>0</v>
      </c>
      <c r="FD25" s="6">
        <f>IF(Inputs!$E$8=1,-FD4,0)*Inputs!$E$3</f>
        <v>0</v>
      </c>
      <c r="FE25" s="6">
        <f>IF(Inputs!$E$8=1,-FE4,0)*Inputs!$E$3</f>
        <v>0</v>
      </c>
      <c r="FF25" s="6">
        <f>IF(Inputs!$E$8=1,-FF4,0)*Inputs!$E$3</f>
        <v>0</v>
      </c>
      <c r="FG25" s="6">
        <f>IF(Inputs!$E$8=1,-FG4,0)*Inputs!$E$3</f>
        <v>0</v>
      </c>
      <c r="FH25" s="6">
        <f>IF(Inputs!$E$8=1,-FH4,0)*Inputs!$E$3</f>
        <v>0</v>
      </c>
      <c r="FI25" s="6">
        <f>IF(Inputs!$E$8=1,-FI4,0)*Inputs!$E$3</f>
        <v>0</v>
      </c>
      <c r="FJ25" s="6">
        <f>IF(Inputs!$E$8=1,-FJ4,0)*Inputs!$E$3</f>
        <v>0</v>
      </c>
      <c r="FK25" s="6">
        <f>IF(Inputs!$E$8=1,-FK4,0)*Inputs!$E$3</f>
        <v>0</v>
      </c>
      <c r="FL25" s="6">
        <f>IF(Inputs!$E$8=1,-FL4,0)*Inputs!$E$3</f>
        <v>0</v>
      </c>
      <c r="FM25" s="6">
        <f>IF(Inputs!$E$8=1,-FM4,0)*Inputs!$E$3</f>
        <v>0</v>
      </c>
      <c r="FN25" s="6">
        <f>IF(Inputs!$E$8=1,-FN4,0)*Inputs!$E$3</f>
        <v>0</v>
      </c>
      <c r="FO25" s="6">
        <f>IF(Inputs!$E$8=1,-FO4,0)*Inputs!$E$3</f>
        <v>0</v>
      </c>
      <c r="FP25" s="6">
        <f>IF(Inputs!$E$8=1,-FP4,0)*Inputs!$E$3</f>
        <v>0</v>
      </c>
      <c r="FQ25" s="6">
        <f>IF(Inputs!$E$8=1,-FQ4,0)*Inputs!$E$3</f>
        <v>0</v>
      </c>
      <c r="FR25" s="6">
        <f>IF(Inputs!$E$8=1,-FR4,0)*Inputs!$E$3</f>
        <v>0</v>
      </c>
      <c r="FS25" s="6">
        <f>IF(Inputs!$E$8=1,-FS4,0)*Inputs!$E$3</f>
        <v>0</v>
      </c>
      <c r="FT25" s="6">
        <f>IF(Inputs!$E$8=1,-FT4,0)*Inputs!$E$3</f>
        <v>0</v>
      </c>
      <c r="FU25" s="6">
        <f>IF(Inputs!$E$8=1,-FU4,0)*Inputs!$E$3</f>
        <v>0</v>
      </c>
      <c r="FV25" s="6">
        <f>IF(Inputs!$E$8=1,-FV4,0)*Inputs!$E$3</f>
        <v>0</v>
      </c>
      <c r="FW25" s="6">
        <f>IF(Inputs!$E$8=1,-FW4,0)*Inputs!$E$3</f>
        <v>0</v>
      </c>
      <c r="FX25" s="6">
        <f>IF(Inputs!$E$8=1,-FX4,0)*Inputs!$E$3</f>
        <v>0</v>
      </c>
      <c r="FY25" s="6">
        <f>IF(Inputs!$E$8=1,-FY4,0)*Inputs!$E$3</f>
        <v>0</v>
      </c>
      <c r="FZ25" s="6">
        <f>IF(Inputs!$E$8=1,-FZ4,0)*Inputs!$E$3</f>
        <v>0</v>
      </c>
      <c r="GA25" s="6">
        <f>IF(Inputs!$E$8=1,-GA4,0)*Inputs!$E$3</f>
        <v>0</v>
      </c>
      <c r="GB25" s="6">
        <f>IF(Inputs!$E$8=1,-GB4,0)*Inputs!$E$3</f>
        <v>0</v>
      </c>
      <c r="GC25" s="6">
        <f>IF(Inputs!$E$8=1,-GC4,0)*Inputs!$E$3</f>
        <v>0</v>
      </c>
      <c r="GD25" s="6">
        <f>IF(Inputs!$E$8=1,-GD4,0)*Inputs!$E$3</f>
        <v>0</v>
      </c>
      <c r="GE25" s="6">
        <f>IF(Inputs!$E$8=1,-GE4,0)*Inputs!$E$3</f>
        <v>0</v>
      </c>
      <c r="GF25" s="6">
        <f>IF(Inputs!$E$8=1,-GF4,0)*Inputs!$E$3</f>
        <v>0</v>
      </c>
      <c r="GG25" s="6">
        <f>IF(Inputs!$E$8=1,-GG4,0)*Inputs!$E$3</f>
        <v>0</v>
      </c>
      <c r="GH25" s="6">
        <f>IF(Inputs!$E$8=1,-GH4,0)*Inputs!$E$3</f>
        <v>0</v>
      </c>
      <c r="GI25" s="6">
        <f>IF(Inputs!$E$8=1,-GI4,0)*Inputs!$E$3</f>
        <v>0</v>
      </c>
      <c r="GJ25" s="6">
        <f>IF(Inputs!$E$8=1,-GJ4,0)*Inputs!$E$3</f>
        <v>0</v>
      </c>
      <c r="GK25" s="6">
        <f>IF(Inputs!$E$8=1,-GK4,0)*Inputs!$E$3</f>
        <v>0</v>
      </c>
      <c r="GL25" s="6">
        <f>IF(Inputs!$E$8=1,-GL4,0)*Inputs!$E$3</f>
        <v>0</v>
      </c>
      <c r="GM25" s="6">
        <f>IF(Inputs!$E$8=1,-GM4,0)*Inputs!$E$3</f>
        <v>0</v>
      </c>
      <c r="GN25" s="6">
        <f>IF(Inputs!$E$8=1,-GN4,0)*Inputs!$E$3</f>
        <v>0</v>
      </c>
      <c r="GO25" s="6">
        <f>IF(Inputs!$E$8=1,-GO4,0)*Inputs!$E$3</f>
        <v>0</v>
      </c>
      <c r="GP25" s="6">
        <f>IF(Inputs!$E$8=1,-GP4,0)*Inputs!$E$3</f>
        <v>0</v>
      </c>
      <c r="GQ25" s="6">
        <f>IF(Inputs!$E$8=1,-GQ4,0)*Inputs!$E$3</f>
        <v>0</v>
      </c>
      <c r="GR25" s="6">
        <f>IF(Inputs!$E$8=1,-GR4,0)*Inputs!$E$3</f>
        <v>0</v>
      </c>
      <c r="GS25" s="6">
        <f>IF(Inputs!$E$8=1,-GS4,0)*Inputs!$E$3</f>
        <v>0</v>
      </c>
      <c r="GT25" s="6">
        <f>IF(Inputs!$E$8=1,-GT4,0)*Inputs!$E$3</f>
        <v>0</v>
      </c>
      <c r="GU25" s="6">
        <f>IF(Inputs!$E$8=1,-GU4,0)*Inputs!$E$3</f>
        <v>0</v>
      </c>
      <c r="GV25" s="6">
        <f>IF(Inputs!$E$8=1,-GV4,0)*Inputs!$E$3</f>
        <v>0</v>
      </c>
      <c r="GW25" s="6">
        <f>IF(Inputs!$E$8=1,-GW4,0)*Inputs!$E$3</f>
        <v>0</v>
      </c>
      <c r="GX25" s="6">
        <f>IF(Inputs!$E$8=1,-GX4,0)*Inputs!$E$3</f>
        <v>0</v>
      </c>
      <c r="GY25" s="6">
        <f>IF(Inputs!$E$8=1,-GY4,0)*Inputs!$E$3</f>
        <v>0</v>
      </c>
      <c r="GZ25" s="6">
        <f>IF(Inputs!$E$8=1,-GZ4,0)*Inputs!$E$3</f>
        <v>0</v>
      </c>
      <c r="HA25" s="6">
        <f>IF(Inputs!$E$8=1,-HA4,0)*Inputs!$E$3</f>
        <v>0</v>
      </c>
      <c r="HB25" s="6">
        <f>IF(Inputs!$E$8=1,-HB4,0)*Inputs!$E$3</f>
        <v>0</v>
      </c>
      <c r="HC25" s="6">
        <f>IF(Inputs!$E$8=1,-HC4,0)*Inputs!$E$3</f>
        <v>0</v>
      </c>
      <c r="HD25" s="6">
        <f>IF(Inputs!$E$8=1,-HD4,0)*Inputs!$E$3</f>
        <v>0</v>
      </c>
      <c r="HE25" s="6">
        <f>IF(Inputs!$E$8=1,-HE4,0)*Inputs!$E$3</f>
        <v>0</v>
      </c>
      <c r="HF25" s="6">
        <f>IF(Inputs!$E$8=1,-HF4,0)*Inputs!$E$3</f>
        <v>0</v>
      </c>
      <c r="HG25" s="6">
        <f>IF(Inputs!$E$8=1,-HG4,0)*Inputs!$E$3</f>
        <v>0</v>
      </c>
      <c r="HH25" s="6">
        <f>IF(Inputs!$E$8=1,-HH4,0)*Inputs!$E$3</f>
        <v>0</v>
      </c>
      <c r="HI25" s="6">
        <f>IF(Inputs!$E$8=1,-HI4,0)*Inputs!$E$3</f>
        <v>0</v>
      </c>
      <c r="HJ25" s="6">
        <f>IF(Inputs!$E$8=1,-HJ4,0)*Inputs!$E$3</f>
        <v>0</v>
      </c>
      <c r="HK25" s="6">
        <f>IF(Inputs!$E$8=1,-HK4,0)*Inputs!$E$3</f>
        <v>0</v>
      </c>
      <c r="HL25" s="6">
        <f>IF(Inputs!$E$8=1,-HL4,0)*Inputs!$E$3</f>
        <v>0</v>
      </c>
      <c r="HM25" s="6">
        <f>IF(Inputs!$E$8=1,-HM4,0)*Inputs!$E$3</f>
        <v>0</v>
      </c>
      <c r="HN25" s="6">
        <f>IF(Inputs!$E$8=1,-HN4,0)*Inputs!$E$3</f>
        <v>0</v>
      </c>
      <c r="HO25" s="6">
        <f>IF(Inputs!$E$8=1,-HO4,0)*Inputs!$E$3</f>
        <v>0</v>
      </c>
      <c r="HP25" s="6">
        <f>IF(Inputs!$E$8=1,-HP4,0)*Inputs!$E$3</f>
        <v>0</v>
      </c>
      <c r="HQ25" s="6">
        <f>IF(Inputs!$E$8=1,-HQ4,0)*Inputs!$E$3</f>
        <v>0</v>
      </c>
      <c r="HR25" s="6">
        <f>IF(Inputs!$E$8=1,-HR4,0)*Inputs!$E$3</f>
        <v>0</v>
      </c>
      <c r="HS25" s="6">
        <f>IF(Inputs!$E$8=1,-HS4,0)*Inputs!$E$3</f>
        <v>0</v>
      </c>
      <c r="HT25" s="6">
        <f>IF(Inputs!$E$8=1,-HT4,0)*Inputs!$E$3</f>
        <v>0</v>
      </c>
      <c r="HU25" s="6">
        <f>IF(Inputs!$E$8=1,-HU4,0)*Inputs!$E$3</f>
        <v>0</v>
      </c>
      <c r="HV25" s="6">
        <f>IF(Inputs!$E$8=1,-HV4,0)*Inputs!$E$3</f>
        <v>0</v>
      </c>
      <c r="HW25" s="6">
        <f>IF(Inputs!$E$8=1,-HW4,0)*Inputs!$E$3</f>
        <v>0</v>
      </c>
      <c r="HX25" s="6">
        <f>IF(Inputs!$E$8=1,-HX4,0)*Inputs!$E$3</f>
        <v>0</v>
      </c>
      <c r="HY25" s="6">
        <f>IF(Inputs!$E$8=1,-HY4,0)*Inputs!$E$3</f>
        <v>0</v>
      </c>
      <c r="HZ25" s="6">
        <f>IF(Inputs!$E$8=1,-HZ4,0)*Inputs!$E$3</f>
        <v>0</v>
      </c>
      <c r="IA25" s="6">
        <f>IF(Inputs!$E$8=1,-IA4,0)*Inputs!$E$3</f>
        <v>0</v>
      </c>
      <c r="IB25" s="6">
        <f>IF(Inputs!$E$8=1,-IB4,0)*Inputs!$E$3</f>
        <v>0</v>
      </c>
      <c r="IC25" s="6">
        <f>IF(Inputs!$E$8=1,-IC4,0)*Inputs!$E$3</f>
        <v>0</v>
      </c>
      <c r="ID25" s="6">
        <f>IF(Inputs!$E$8=1,-ID4,0)*Inputs!$E$3</f>
        <v>0</v>
      </c>
      <c r="IE25" s="6">
        <f>IF(Inputs!$E$8=1,-IE4,0)*Inputs!$E$3</f>
        <v>0</v>
      </c>
      <c r="IF25" s="6">
        <f>IF(Inputs!$E$8=1,-IF4,0)*Inputs!$E$3</f>
        <v>0</v>
      </c>
      <c r="IG25" s="6">
        <f>IF(Inputs!$E$8=1,-IG4,0)*Inputs!$E$3</f>
        <v>0</v>
      </c>
      <c r="IH25" s="6">
        <f>IF(Inputs!$E$8=1,-IH4,0)*Inputs!$E$3</f>
        <v>0</v>
      </c>
      <c r="II25" s="6">
        <f>IF(Inputs!$E$8=1,-II4,0)*Inputs!$E$3</f>
        <v>0</v>
      </c>
      <c r="IJ25" s="6">
        <f>IF(Inputs!$E$8=1,-IJ4,0)*Inputs!$E$3</f>
        <v>0</v>
      </c>
      <c r="IK25" s="6">
        <f>IF(Inputs!$E$8=1,-IK4,0)*Inputs!$E$3</f>
        <v>0</v>
      </c>
      <c r="IL25" s="6">
        <f>IF(Inputs!$E$8=1,-IL4,0)*Inputs!$E$3</f>
        <v>0</v>
      </c>
      <c r="IM25" s="6">
        <f>IF(Inputs!$E$8=1,-IM4,0)*Inputs!$E$3</f>
        <v>0</v>
      </c>
      <c r="IN25" s="6">
        <f>IF(Inputs!$E$8=1,-IN4,0)*Inputs!$E$3</f>
        <v>0</v>
      </c>
      <c r="IO25" s="6">
        <f>IF(Inputs!$E$8=1,-IO4,0)*Inputs!$E$3</f>
        <v>0</v>
      </c>
      <c r="IP25" s="6">
        <f>IF(Inputs!$E$8=1,-IP4,0)*Inputs!$E$3</f>
        <v>0</v>
      </c>
      <c r="IQ25" s="6">
        <f>IF(Inputs!$E$8=1,-IQ4,0)*Inputs!$E$3</f>
        <v>0</v>
      </c>
      <c r="IR25" s="6">
        <f>IF(Inputs!$E$8=1,-IR4,0)*Inputs!$E$3</f>
        <v>0</v>
      </c>
      <c r="IS25" s="6">
        <f>IF(Inputs!$E$8=1,-IS4,0)*Inputs!$E$3</f>
        <v>0</v>
      </c>
      <c r="IT25" s="6">
        <f>IF(Inputs!$E$8=1,-IT4,0)*Inputs!$E$3</f>
        <v>0</v>
      </c>
      <c r="IU25" s="6">
        <f>IF(Inputs!$E$8=1,-IU4,0)*Inputs!$E$3</f>
        <v>0</v>
      </c>
      <c r="IV25" s="6">
        <f>IF(Inputs!$E$8=1,-IV4,0)*Inputs!$E$3</f>
        <v>0</v>
      </c>
      <c r="IW25" s="6">
        <f>IF(Inputs!$E$8=1,-IW4,0)*Inputs!$E$3</f>
        <v>0</v>
      </c>
      <c r="IX25" s="6">
        <f>IF(Inputs!$E$8=1,-IX4,0)*Inputs!$E$3</f>
        <v>0</v>
      </c>
      <c r="IY25" s="6">
        <f>IF(Inputs!$E$8=1,-IY4,0)*Inputs!$E$3</f>
        <v>0</v>
      </c>
      <c r="IZ25" s="6">
        <f>IF(Inputs!$E$8=1,-IZ4,0)*Inputs!$E$3</f>
        <v>0</v>
      </c>
      <c r="JA25" s="6">
        <f>IF(Inputs!$E$8=1,-JA4,0)*Inputs!$E$3</f>
        <v>0</v>
      </c>
      <c r="JB25" s="6">
        <f>IF(Inputs!$E$8=1,-JB4,0)*Inputs!$E$3</f>
        <v>0</v>
      </c>
      <c r="JC25" s="6">
        <f>IF(Inputs!$E$8=1,-JC4,0)*Inputs!$E$3</f>
        <v>0</v>
      </c>
      <c r="JD25" s="6">
        <f>IF(Inputs!$E$8=1,-JD4,0)*Inputs!$E$3</f>
        <v>0</v>
      </c>
      <c r="JE25" s="6">
        <f>IF(Inputs!$E$8=1,-JE4,0)*Inputs!$E$3</f>
        <v>0</v>
      </c>
      <c r="JF25" s="6">
        <f>IF(Inputs!$E$8=1,-JF4,0)*Inputs!$E$3</f>
        <v>0</v>
      </c>
      <c r="JG25" s="6">
        <f>IF(Inputs!$E$8=1,-JG4,0)*Inputs!$E$3</f>
        <v>0</v>
      </c>
      <c r="JH25" s="6">
        <f>IF(Inputs!$E$8=1,-JH4,0)*Inputs!$E$3</f>
        <v>0</v>
      </c>
      <c r="JI25" s="6">
        <f>IF(Inputs!$E$8=1,-JI4,0)*Inputs!$E$3</f>
        <v>0</v>
      </c>
      <c r="JJ25" s="6">
        <f>IF(Inputs!$E$8=1,-JJ4,0)*Inputs!$E$3</f>
        <v>0</v>
      </c>
      <c r="JK25" s="6">
        <f>IF(Inputs!$E$8=1,-JK4,0)*Inputs!$E$3</f>
        <v>0</v>
      </c>
      <c r="JL25" s="6">
        <f>IF(Inputs!$E$8=1,-JL4,0)*Inputs!$E$3</f>
        <v>0</v>
      </c>
      <c r="JM25" s="6">
        <f>IF(Inputs!$E$8=1,-JM4,0)*Inputs!$E$3</f>
        <v>0</v>
      </c>
      <c r="JN25" s="6">
        <f>IF(Inputs!$E$8=1,-JN4,0)*Inputs!$E$3</f>
        <v>0</v>
      </c>
      <c r="JO25" s="6">
        <f>IF(Inputs!$E$8=1,-JO4,0)*Inputs!$E$3</f>
        <v>0</v>
      </c>
      <c r="JP25" s="6">
        <f>IF(Inputs!$E$8=1,-JP4,0)*Inputs!$E$3</f>
        <v>0</v>
      </c>
      <c r="JQ25" s="6">
        <f>IF(Inputs!$E$8=1,-JQ4,0)*Inputs!$E$3</f>
        <v>0</v>
      </c>
      <c r="JR25" s="6">
        <f>IF(Inputs!$E$8=1,-JR4,0)*Inputs!$E$3</f>
        <v>0</v>
      </c>
      <c r="JS25" s="6">
        <f>IF(Inputs!$E$8=1,-JS4,0)*Inputs!$E$3</f>
        <v>0</v>
      </c>
      <c r="JT25" s="6">
        <f>IF(Inputs!$E$8=1,-JT4,0)*Inputs!$E$3</f>
        <v>0</v>
      </c>
      <c r="JU25" s="6">
        <f>IF(Inputs!$E$8=1,-JU4,0)*Inputs!$E$3</f>
        <v>0</v>
      </c>
      <c r="JV25" s="6">
        <f>IF(Inputs!$E$8=1,-JV4,0)*Inputs!$E$3</f>
        <v>0</v>
      </c>
      <c r="JW25" s="6">
        <f>IF(Inputs!$E$8=1,-JW4,0)*Inputs!$E$3</f>
        <v>0</v>
      </c>
      <c r="JX25" s="6">
        <f>IF(Inputs!$E$8=1,-JX4,0)*Inputs!$E$3</f>
        <v>0</v>
      </c>
      <c r="JY25" s="6">
        <f>IF(Inputs!$E$8=1,-JY4,0)*Inputs!$E$3</f>
        <v>0</v>
      </c>
      <c r="JZ25" s="6">
        <f>IF(Inputs!$E$8=1,-JZ4,0)*Inputs!$E$3</f>
        <v>0</v>
      </c>
      <c r="KA25" s="6">
        <f>IF(Inputs!$E$8=1,-KA4,0)*Inputs!$E$3</f>
        <v>0</v>
      </c>
      <c r="KB25" s="6">
        <f>IF(Inputs!$E$8=1,-KB4,0)*Inputs!$E$3</f>
        <v>0</v>
      </c>
      <c r="KC25" s="6">
        <f>IF(Inputs!$E$8=1,-KC4,0)*Inputs!$E$3</f>
        <v>0</v>
      </c>
      <c r="KD25" s="6">
        <f>IF(Inputs!$E$8=1,-KD4,0)*Inputs!$E$3</f>
        <v>0</v>
      </c>
      <c r="KE25" s="6">
        <f>IF(Inputs!$E$8=1,-KE4,0)*Inputs!$E$3</f>
        <v>0</v>
      </c>
      <c r="KF25" s="6">
        <f>IF(Inputs!$E$8=1,-KF4,0)*Inputs!$E$3</f>
        <v>0</v>
      </c>
      <c r="KG25" s="6">
        <f>IF(Inputs!$E$8=1,-KG4,0)*Inputs!$E$3</f>
        <v>0</v>
      </c>
      <c r="KH25" s="6">
        <f>IF(Inputs!$E$8=1,-KH4,0)*Inputs!$E$3</f>
        <v>0</v>
      </c>
      <c r="KI25" s="6">
        <f>IF(Inputs!$E$8=1,-KI4,0)*Inputs!$E$3</f>
        <v>0</v>
      </c>
      <c r="KJ25" s="6">
        <f>IF(Inputs!$E$8=1,-KJ4,0)*Inputs!$E$3</f>
        <v>0</v>
      </c>
      <c r="KK25" s="6">
        <f>IF(Inputs!$E$8=1,-KK4,0)*Inputs!$E$3</f>
        <v>0</v>
      </c>
      <c r="KL25" s="6">
        <f>IF(Inputs!$E$8=1,-KL4,0)*Inputs!$E$3</f>
        <v>0</v>
      </c>
      <c r="KM25" s="6">
        <f>IF(Inputs!$E$8=1,-KM4,0)*Inputs!$E$3</f>
        <v>0</v>
      </c>
      <c r="KN25" s="6">
        <f>IF(Inputs!$E$8=1,-KN4,0)*Inputs!$E$3</f>
        <v>0</v>
      </c>
      <c r="KO25" s="6">
        <f>IF(Inputs!$E$8=1,-KO4,0)*Inputs!$E$3</f>
        <v>0</v>
      </c>
      <c r="KP25" s="6">
        <f>IF(Inputs!$E$8=1,-KP4,0)*Inputs!$E$3</f>
        <v>0</v>
      </c>
      <c r="KQ25" s="6">
        <f>IF(Inputs!$E$8=1,-KQ4,0)*Inputs!$E$3</f>
        <v>0</v>
      </c>
      <c r="KR25" s="6">
        <f>IF(Inputs!$E$8=1,-KR4,0)*Inputs!$E$3</f>
        <v>0</v>
      </c>
      <c r="KS25" s="6">
        <f>IF(Inputs!$E$8=1,-KS4,0)*Inputs!$E$3</f>
        <v>0</v>
      </c>
    </row>
    <row r="26" spans="2:16384">
      <c r="B26" s="21" t="s">
        <v>27</v>
      </c>
      <c r="C26" s="22">
        <f>IF(Inputs!$E$8=1,Inputs!E18,0)</f>
        <v>0.05</v>
      </c>
      <c r="E26" s="6">
        <f t="shared" ref="E26:BP26" si="31">IF(((E25+E24)*$C26/12)&lt;0,0,((E25+E24)*$C26/12))</f>
        <v>680</v>
      </c>
      <c r="F26" s="6">
        <f t="shared" si="31"/>
        <v>682.83333333333337</v>
      </c>
      <c r="G26" s="6">
        <f t="shared" si="31"/>
        <v>678.80347222222224</v>
      </c>
      <c r="H26" s="6">
        <f t="shared" si="31"/>
        <v>674.75682002314829</v>
      </c>
      <c r="I26" s="6">
        <f t="shared" si="31"/>
        <v>670.69330677324467</v>
      </c>
      <c r="J26" s="6">
        <f t="shared" si="31"/>
        <v>666.61286221813316</v>
      </c>
      <c r="K26" s="6">
        <f t="shared" si="31"/>
        <v>662.51541581070876</v>
      </c>
      <c r="L26" s="6">
        <f t="shared" si="31"/>
        <v>658.40089670992018</v>
      </c>
      <c r="M26" s="6">
        <f t="shared" si="31"/>
        <v>654.26923377954472</v>
      </c>
      <c r="N26" s="6">
        <f t="shared" si="31"/>
        <v>650.12035558695948</v>
      </c>
      <c r="O26" s="6">
        <f t="shared" si="31"/>
        <v>645.95419040190518</v>
      </c>
      <c r="P26" s="6">
        <f t="shared" si="31"/>
        <v>641.77066619524646</v>
      </c>
      <c r="Q26" s="6">
        <f t="shared" si="31"/>
        <v>635.42387730439339</v>
      </c>
      <c r="R26" s="6">
        <f t="shared" si="31"/>
        <v>628.4006434598283</v>
      </c>
      <c r="S26" s="6">
        <f t="shared" si="31"/>
        <v>621.34814614091101</v>
      </c>
      <c r="T26" s="6">
        <f t="shared" si="31"/>
        <v>614.26626341649819</v>
      </c>
      <c r="U26" s="6">
        <f t="shared" si="31"/>
        <v>607.15487284740027</v>
      </c>
      <c r="V26" s="6">
        <f t="shared" si="31"/>
        <v>600.01385148426436</v>
      </c>
      <c r="W26" s="6">
        <f t="shared" si="31"/>
        <v>592.8430758654489</v>
      </c>
      <c r="X26" s="6">
        <f t="shared" si="31"/>
        <v>585.64242201488821</v>
      </c>
      <c r="Y26" s="6">
        <f t="shared" si="31"/>
        <v>578.41176543995016</v>
      </c>
      <c r="Z26" s="6">
        <f t="shared" si="31"/>
        <v>571.15098112928331</v>
      </c>
      <c r="AA26" s="6">
        <f t="shared" si="31"/>
        <v>563.85994355065543</v>
      </c>
      <c r="AB26" s="6">
        <f t="shared" si="31"/>
        <v>556.5385266487832</v>
      </c>
      <c r="AC26" s="6">
        <f t="shared" si="31"/>
        <v>549.18660384315297</v>
      </c>
      <c r="AD26" s="6">
        <f t="shared" si="31"/>
        <v>541.14104802583279</v>
      </c>
      <c r="AE26" s="6">
        <f t="shared" si="31"/>
        <v>533.06196905927379</v>
      </c>
      <c r="AF26" s="6">
        <f t="shared" si="31"/>
        <v>524.94922726368748</v>
      </c>
      <c r="AG26" s="6">
        <f t="shared" si="31"/>
        <v>516.80268237728615</v>
      </c>
      <c r="AH26" s="6">
        <f t="shared" si="31"/>
        <v>508.62219355385815</v>
      </c>
      <c r="AI26" s="6">
        <f t="shared" si="31"/>
        <v>500.4076193603326</v>
      </c>
      <c r="AJ26" s="6">
        <f t="shared" si="31"/>
        <v>492.15881777433407</v>
      </c>
      <c r="AK26" s="6">
        <f t="shared" si="31"/>
        <v>483.87564618172718</v>
      </c>
      <c r="AL26" s="6">
        <f t="shared" si="31"/>
        <v>475.55796137415109</v>
      </c>
      <c r="AM26" s="6">
        <f t="shared" si="31"/>
        <v>467.2056195465434</v>
      </c>
      <c r="AN26" s="6">
        <f t="shared" si="31"/>
        <v>458.81847629465398</v>
      </c>
      <c r="AO26" s="6">
        <f t="shared" si="31"/>
        <v>450.39638661254838</v>
      </c>
      <c r="AP26" s="6">
        <f t="shared" si="31"/>
        <v>451.19517239010065</v>
      </c>
      <c r="AQ26" s="6">
        <f t="shared" si="31"/>
        <v>447.62255731672604</v>
      </c>
      <c r="AR26" s="6">
        <f t="shared" si="31"/>
        <v>445.89957593054584</v>
      </c>
      <c r="AS26" s="6">
        <f t="shared" si="31"/>
        <v>445.69580328858979</v>
      </c>
      <c r="AT26" s="6">
        <f t="shared" si="31"/>
        <v>441.41901996895893</v>
      </c>
      <c r="AU26" s="6">
        <f t="shared" si="31"/>
        <v>442.64421492716292</v>
      </c>
      <c r="AV26" s="6">
        <f t="shared" si="31"/>
        <v>439.17522690602613</v>
      </c>
      <c r="AW26" s="6">
        <f t="shared" si="31"/>
        <v>436.73611439313453</v>
      </c>
      <c r="AX26" s="6">
        <f t="shared" si="31"/>
        <v>432.35450378643924</v>
      </c>
      <c r="AY26" s="6">
        <f t="shared" si="31"/>
        <v>427.07362946888276</v>
      </c>
      <c r="AZ26" s="6">
        <f t="shared" si="31"/>
        <v>417.84320459166975</v>
      </c>
      <c r="BA26" s="6">
        <f t="shared" si="31"/>
        <v>408.57431961080169</v>
      </c>
      <c r="BB26" s="6">
        <f t="shared" si="31"/>
        <v>398.57763356751343</v>
      </c>
      <c r="BC26" s="6">
        <f t="shared" si="31"/>
        <v>388.5392946657114</v>
      </c>
      <c r="BD26" s="6">
        <f t="shared" si="31"/>
        <v>378.45912935181855</v>
      </c>
      <c r="BE26" s="6">
        <f t="shared" si="31"/>
        <v>368.33696334911775</v>
      </c>
      <c r="BF26" s="6">
        <f t="shared" si="31"/>
        <v>358.17262165473909</v>
      </c>
      <c r="BG26" s="6">
        <f t="shared" si="31"/>
        <v>347.96592853663384</v>
      </c>
      <c r="BH26" s="6">
        <f t="shared" si="31"/>
        <v>337.71670753053655</v>
      </c>
      <c r="BI26" s="6">
        <f t="shared" si="31"/>
        <v>327.42478143691375</v>
      </c>
      <c r="BJ26" s="6">
        <f t="shared" si="31"/>
        <v>317.0899723179009</v>
      </c>
      <c r="BK26" s="6">
        <f t="shared" si="31"/>
        <v>306.71210149422552</v>
      </c>
      <c r="BL26" s="6">
        <f t="shared" si="31"/>
        <v>296.2909895421181</v>
      </c>
      <c r="BM26" s="6">
        <f t="shared" si="31"/>
        <v>285.82645629021027</v>
      </c>
      <c r="BN26" s="6">
        <f t="shared" si="31"/>
        <v>274.61598927475279</v>
      </c>
      <c r="BO26" s="6">
        <f t="shared" si="31"/>
        <v>263.35881198006427</v>
      </c>
      <c r="BP26" s="6">
        <f t="shared" si="31"/>
        <v>252.05472977998124</v>
      </c>
      <c r="BQ26" s="6">
        <f t="shared" ref="BQ26:EB26" si="32">IF(((BQ25+BQ24)*$C26/12)&lt;0,0,((BQ25+BQ24)*$C26/12))</f>
        <v>240.70354723739783</v>
      </c>
      <c r="BR26" s="6">
        <f t="shared" si="32"/>
        <v>229.30506810088698</v>
      </c>
      <c r="BS26" s="6">
        <f t="shared" si="32"/>
        <v>217.85909530130735</v>
      </c>
      <c r="BT26" s="6">
        <f t="shared" si="32"/>
        <v>206.36543094839615</v>
      </c>
      <c r="BU26" s="6">
        <f t="shared" si="32"/>
        <v>194.82387632734779</v>
      </c>
      <c r="BV26" s="6">
        <f t="shared" si="32"/>
        <v>183.23423189537846</v>
      </c>
      <c r="BW26" s="6">
        <f t="shared" si="32"/>
        <v>171.59629727827587</v>
      </c>
      <c r="BX26" s="6">
        <f t="shared" si="32"/>
        <v>159.90987126693537</v>
      </c>
      <c r="BY26" s="6">
        <f t="shared" si="32"/>
        <v>148.17475181388093</v>
      </c>
      <c r="BZ26" s="6">
        <f t="shared" si="32"/>
        <v>135.67523532143878</v>
      </c>
      <c r="CA26" s="6">
        <f t="shared" si="32"/>
        <v>123.1236375102781</v>
      </c>
      <c r="CB26" s="6">
        <f t="shared" si="32"/>
        <v>110.51974137490424</v>
      </c>
      <c r="CC26" s="6">
        <f t="shared" si="32"/>
        <v>97.86332900563302</v>
      </c>
      <c r="CD26" s="6">
        <f t="shared" si="32"/>
        <v>85.154181584823135</v>
      </c>
      <c r="CE26" s="6">
        <f t="shared" si="32"/>
        <v>72.392079383093218</v>
      </c>
      <c r="CF26" s="6">
        <f t="shared" si="32"/>
        <v>59.576801755522787</v>
      </c>
      <c r="CG26" s="6">
        <f t="shared" si="32"/>
        <v>46.708127137837465</v>
      </c>
      <c r="CH26" s="6">
        <f t="shared" si="32"/>
        <v>33.785833042578453</v>
      </c>
      <c r="CI26" s="6">
        <f t="shared" si="32"/>
        <v>20.809696055255866</v>
      </c>
      <c r="CJ26" s="6">
        <f t="shared" si="32"/>
        <v>7.7794918304860987</v>
      </c>
      <c r="CK26" s="6">
        <f t="shared" si="32"/>
        <v>0</v>
      </c>
      <c r="CL26" s="6">
        <f t="shared" si="32"/>
        <v>0</v>
      </c>
      <c r="CM26" s="6">
        <f t="shared" si="32"/>
        <v>0</v>
      </c>
      <c r="CN26" s="6">
        <f t="shared" si="32"/>
        <v>0</v>
      </c>
      <c r="CO26" s="6">
        <f t="shared" si="32"/>
        <v>0</v>
      </c>
      <c r="CP26" s="6">
        <f t="shared" si="32"/>
        <v>0</v>
      </c>
      <c r="CQ26" s="6">
        <f t="shared" si="32"/>
        <v>0</v>
      </c>
      <c r="CR26" s="6">
        <f t="shared" si="32"/>
        <v>0</v>
      </c>
      <c r="CS26" s="6">
        <f t="shared" si="32"/>
        <v>0</v>
      </c>
      <c r="CT26" s="6">
        <f t="shared" si="32"/>
        <v>0</v>
      </c>
      <c r="CU26" s="6">
        <f t="shared" si="32"/>
        <v>0</v>
      </c>
      <c r="CV26" s="6">
        <f t="shared" si="32"/>
        <v>0</v>
      </c>
      <c r="CW26" s="6">
        <f t="shared" si="32"/>
        <v>0</v>
      </c>
      <c r="CX26" s="6">
        <f t="shared" si="32"/>
        <v>0</v>
      </c>
      <c r="CY26" s="6">
        <f t="shared" si="32"/>
        <v>0</v>
      </c>
      <c r="CZ26" s="6">
        <f t="shared" si="32"/>
        <v>0</v>
      </c>
      <c r="DA26" s="6">
        <f t="shared" si="32"/>
        <v>0</v>
      </c>
      <c r="DB26" s="6">
        <f t="shared" si="32"/>
        <v>0</v>
      </c>
      <c r="DC26" s="6">
        <f t="shared" si="32"/>
        <v>0</v>
      </c>
      <c r="DD26" s="6">
        <f t="shared" si="32"/>
        <v>0</v>
      </c>
      <c r="DE26" s="6">
        <f t="shared" si="32"/>
        <v>0</v>
      </c>
      <c r="DF26" s="6">
        <f t="shared" si="32"/>
        <v>0</v>
      </c>
      <c r="DG26" s="6">
        <f t="shared" si="32"/>
        <v>0</v>
      </c>
      <c r="DH26" s="6">
        <f t="shared" si="32"/>
        <v>0</v>
      </c>
      <c r="DI26" s="6">
        <f t="shared" si="32"/>
        <v>0</v>
      </c>
      <c r="DJ26" s="6">
        <f t="shared" si="32"/>
        <v>0</v>
      </c>
      <c r="DK26" s="6">
        <f t="shared" si="32"/>
        <v>0</v>
      </c>
      <c r="DL26" s="6">
        <f t="shared" si="32"/>
        <v>0</v>
      </c>
      <c r="DM26" s="6">
        <f t="shared" si="32"/>
        <v>0</v>
      </c>
      <c r="DN26" s="6">
        <f t="shared" si="32"/>
        <v>0</v>
      </c>
      <c r="DO26" s="6">
        <f t="shared" si="32"/>
        <v>0</v>
      </c>
      <c r="DP26" s="6">
        <f t="shared" si="32"/>
        <v>0</v>
      </c>
      <c r="DQ26" s="6">
        <f t="shared" si="32"/>
        <v>0</v>
      </c>
      <c r="DR26" s="6">
        <f t="shared" si="32"/>
        <v>0</v>
      </c>
      <c r="DS26" s="6">
        <f t="shared" si="32"/>
        <v>0</v>
      </c>
      <c r="DT26" s="6">
        <f t="shared" si="32"/>
        <v>0</v>
      </c>
      <c r="DU26" s="6">
        <f t="shared" si="32"/>
        <v>0</v>
      </c>
      <c r="DV26" s="6">
        <f t="shared" si="32"/>
        <v>0</v>
      </c>
      <c r="DW26" s="6">
        <f t="shared" si="32"/>
        <v>0</v>
      </c>
      <c r="DX26" s="6">
        <f t="shared" si="32"/>
        <v>0</v>
      </c>
      <c r="DY26" s="6">
        <f t="shared" si="32"/>
        <v>0</v>
      </c>
      <c r="DZ26" s="6">
        <f t="shared" si="32"/>
        <v>0</v>
      </c>
      <c r="EA26" s="6">
        <f t="shared" si="32"/>
        <v>0</v>
      </c>
      <c r="EB26" s="6">
        <f t="shared" si="32"/>
        <v>0</v>
      </c>
      <c r="EC26" s="6">
        <f t="shared" ref="EC26:GN26" si="33">IF(((EC25+EC24)*$C26/12)&lt;0,0,((EC25+EC24)*$C26/12))</f>
        <v>0</v>
      </c>
      <c r="ED26" s="6">
        <f t="shared" si="33"/>
        <v>0</v>
      </c>
      <c r="EE26" s="6">
        <f t="shared" si="33"/>
        <v>0</v>
      </c>
      <c r="EF26" s="6">
        <f t="shared" si="33"/>
        <v>0</v>
      </c>
      <c r="EG26" s="6">
        <f t="shared" si="33"/>
        <v>0</v>
      </c>
      <c r="EH26" s="6">
        <f t="shared" si="33"/>
        <v>0</v>
      </c>
      <c r="EI26" s="6">
        <f t="shared" si="33"/>
        <v>0</v>
      </c>
      <c r="EJ26" s="6">
        <f t="shared" si="33"/>
        <v>0</v>
      </c>
      <c r="EK26" s="6">
        <f t="shared" si="33"/>
        <v>0</v>
      </c>
      <c r="EL26" s="6">
        <f t="shared" si="33"/>
        <v>0</v>
      </c>
      <c r="EM26" s="6">
        <f t="shared" si="33"/>
        <v>0</v>
      </c>
      <c r="EN26" s="6">
        <f t="shared" si="33"/>
        <v>0</v>
      </c>
      <c r="EO26" s="6">
        <f t="shared" si="33"/>
        <v>0</v>
      </c>
      <c r="EP26" s="6">
        <f t="shared" si="33"/>
        <v>0</v>
      </c>
      <c r="EQ26" s="6">
        <f t="shared" si="33"/>
        <v>0</v>
      </c>
      <c r="ER26" s="6">
        <f t="shared" si="33"/>
        <v>0</v>
      </c>
      <c r="ES26" s="6">
        <f t="shared" si="33"/>
        <v>0</v>
      </c>
      <c r="ET26" s="6">
        <f t="shared" si="33"/>
        <v>0</v>
      </c>
      <c r="EU26" s="6">
        <f t="shared" si="33"/>
        <v>0</v>
      </c>
      <c r="EV26" s="6">
        <f t="shared" si="33"/>
        <v>0</v>
      </c>
      <c r="EW26" s="6">
        <f t="shared" si="33"/>
        <v>0</v>
      </c>
      <c r="EX26" s="6">
        <f t="shared" si="33"/>
        <v>0</v>
      </c>
      <c r="EY26" s="6">
        <f t="shared" si="33"/>
        <v>0</v>
      </c>
      <c r="EZ26" s="6">
        <f t="shared" si="33"/>
        <v>0</v>
      </c>
      <c r="FA26" s="6">
        <f t="shared" si="33"/>
        <v>0</v>
      </c>
      <c r="FB26" s="6">
        <f t="shared" si="33"/>
        <v>0</v>
      </c>
      <c r="FC26" s="6">
        <f t="shared" si="33"/>
        <v>0</v>
      </c>
      <c r="FD26" s="6">
        <f t="shared" si="33"/>
        <v>0</v>
      </c>
      <c r="FE26" s="6">
        <f t="shared" si="33"/>
        <v>0</v>
      </c>
      <c r="FF26" s="6">
        <f t="shared" si="33"/>
        <v>0</v>
      </c>
      <c r="FG26" s="6">
        <f t="shared" si="33"/>
        <v>0</v>
      </c>
      <c r="FH26" s="6">
        <f t="shared" si="33"/>
        <v>0</v>
      </c>
      <c r="FI26" s="6">
        <f t="shared" si="33"/>
        <v>0</v>
      </c>
      <c r="FJ26" s="6">
        <f t="shared" si="33"/>
        <v>0</v>
      </c>
      <c r="FK26" s="6">
        <f t="shared" si="33"/>
        <v>0</v>
      </c>
      <c r="FL26" s="6">
        <f t="shared" si="33"/>
        <v>0</v>
      </c>
      <c r="FM26" s="6">
        <f t="shared" si="33"/>
        <v>0</v>
      </c>
      <c r="FN26" s="6">
        <f t="shared" si="33"/>
        <v>0</v>
      </c>
      <c r="FO26" s="6">
        <f t="shared" si="33"/>
        <v>0</v>
      </c>
      <c r="FP26" s="6">
        <f t="shared" si="33"/>
        <v>0</v>
      </c>
      <c r="FQ26" s="6">
        <f t="shared" si="33"/>
        <v>0</v>
      </c>
      <c r="FR26" s="6">
        <f t="shared" si="33"/>
        <v>0</v>
      </c>
      <c r="FS26" s="6">
        <f t="shared" si="33"/>
        <v>0</v>
      </c>
      <c r="FT26" s="6">
        <f t="shared" si="33"/>
        <v>0</v>
      </c>
      <c r="FU26" s="6">
        <f t="shared" si="33"/>
        <v>0</v>
      </c>
      <c r="FV26" s="6">
        <f t="shared" si="33"/>
        <v>0</v>
      </c>
      <c r="FW26" s="6">
        <f t="shared" si="33"/>
        <v>0</v>
      </c>
      <c r="FX26" s="6">
        <f t="shared" si="33"/>
        <v>0</v>
      </c>
      <c r="FY26" s="6">
        <f t="shared" si="33"/>
        <v>0</v>
      </c>
      <c r="FZ26" s="6">
        <f t="shared" si="33"/>
        <v>0</v>
      </c>
      <c r="GA26" s="6">
        <f t="shared" si="33"/>
        <v>0</v>
      </c>
      <c r="GB26" s="6">
        <f t="shared" si="33"/>
        <v>0</v>
      </c>
      <c r="GC26" s="6">
        <f t="shared" si="33"/>
        <v>0</v>
      </c>
      <c r="GD26" s="6">
        <f t="shared" si="33"/>
        <v>0</v>
      </c>
      <c r="GE26" s="6">
        <f t="shared" si="33"/>
        <v>0</v>
      </c>
      <c r="GF26" s="6">
        <f t="shared" si="33"/>
        <v>0</v>
      </c>
      <c r="GG26" s="6">
        <f t="shared" si="33"/>
        <v>0</v>
      </c>
      <c r="GH26" s="6">
        <f t="shared" si="33"/>
        <v>0</v>
      </c>
      <c r="GI26" s="6">
        <f t="shared" si="33"/>
        <v>0</v>
      </c>
      <c r="GJ26" s="6">
        <f t="shared" si="33"/>
        <v>0</v>
      </c>
      <c r="GK26" s="6">
        <f t="shared" si="33"/>
        <v>0</v>
      </c>
      <c r="GL26" s="6">
        <f t="shared" si="33"/>
        <v>0</v>
      </c>
      <c r="GM26" s="6">
        <f t="shared" si="33"/>
        <v>0</v>
      </c>
      <c r="GN26" s="6">
        <f t="shared" si="33"/>
        <v>0</v>
      </c>
      <c r="GO26" s="6">
        <f t="shared" ref="GO26:IZ26" si="34">IF(((GO25+GO24)*$C26/12)&lt;0,0,((GO25+GO24)*$C26/12))</f>
        <v>0</v>
      </c>
      <c r="GP26" s="6">
        <f t="shared" si="34"/>
        <v>0</v>
      </c>
      <c r="GQ26" s="6">
        <f t="shared" si="34"/>
        <v>0</v>
      </c>
      <c r="GR26" s="6">
        <f t="shared" si="34"/>
        <v>0</v>
      </c>
      <c r="GS26" s="6">
        <f t="shared" si="34"/>
        <v>0</v>
      </c>
      <c r="GT26" s="6">
        <f t="shared" si="34"/>
        <v>0</v>
      </c>
      <c r="GU26" s="6">
        <f t="shared" si="34"/>
        <v>0</v>
      </c>
      <c r="GV26" s="6">
        <f t="shared" si="34"/>
        <v>0</v>
      </c>
      <c r="GW26" s="6">
        <f t="shared" si="34"/>
        <v>0</v>
      </c>
      <c r="GX26" s="6">
        <f t="shared" si="34"/>
        <v>0</v>
      </c>
      <c r="GY26" s="6">
        <f t="shared" si="34"/>
        <v>0</v>
      </c>
      <c r="GZ26" s="6">
        <f t="shared" si="34"/>
        <v>0</v>
      </c>
      <c r="HA26" s="6">
        <f t="shared" si="34"/>
        <v>0</v>
      </c>
      <c r="HB26" s="6">
        <f t="shared" si="34"/>
        <v>0</v>
      </c>
      <c r="HC26" s="6">
        <f t="shared" si="34"/>
        <v>0</v>
      </c>
      <c r="HD26" s="6">
        <f t="shared" si="34"/>
        <v>0</v>
      </c>
      <c r="HE26" s="6">
        <f t="shared" si="34"/>
        <v>0</v>
      </c>
      <c r="HF26" s="6">
        <f t="shared" si="34"/>
        <v>0</v>
      </c>
      <c r="HG26" s="6">
        <f t="shared" si="34"/>
        <v>0</v>
      </c>
      <c r="HH26" s="6">
        <f t="shared" si="34"/>
        <v>0</v>
      </c>
      <c r="HI26" s="6">
        <f t="shared" si="34"/>
        <v>0</v>
      </c>
      <c r="HJ26" s="6">
        <f t="shared" si="34"/>
        <v>0</v>
      </c>
      <c r="HK26" s="6">
        <f t="shared" si="34"/>
        <v>0</v>
      </c>
      <c r="HL26" s="6">
        <f t="shared" si="34"/>
        <v>0</v>
      </c>
      <c r="HM26" s="6">
        <f t="shared" si="34"/>
        <v>0</v>
      </c>
      <c r="HN26" s="6">
        <f t="shared" si="34"/>
        <v>0</v>
      </c>
      <c r="HO26" s="6">
        <f t="shared" si="34"/>
        <v>0</v>
      </c>
      <c r="HP26" s="6">
        <f t="shared" si="34"/>
        <v>0</v>
      </c>
      <c r="HQ26" s="6">
        <f t="shared" si="34"/>
        <v>0</v>
      </c>
      <c r="HR26" s="6">
        <f t="shared" si="34"/>
        <v>0</v>
      </c>
      <c r="HS26" s="6">
        <f t="shared" si="34"/>
        <v>0</v>
      </c>
      <c r="HT26" s="6">
        <f t="shared" si="34"/>
        <v>0</v>
      </c>
      <c r="HU26" s="6">
        <f t="shared" si="34"/>
        <v>0</v>
      </c>
      <c r="HV26" s="6">
        <f t="shared" si="34"/>
        <v>0</v>
      </c>
      <c r="HW26" s="6">
        <f t="shared" si="34"/>
        <v>0</v>
      </c>
      <c r="HX26" s="6">
        <f t="shared" si="34"/>
        <v>0</v>
      </c>
      <c r="HY26" s="6">
        <f t="shared" si="34"/>
        <v>0</v>
      </c>
      <c r="HZ26" s="6">
        <f t="shared" si="34"/>
        <v>0</v>
      </c>
      <c r="IA26" s="6">
        <f t="shared" si="34"/>
        <v>0</v>
      </c>
      <c r="IB26" s="6">
        <f t="shared" si="34"/>
        <v>0</v>
      </c>
      <c r="IC26" s="6">
        <f t="shared" si="34"/>
        <v>0</v>
      </c>
      <c r="ID26" s="6">
        <f t="shared" si="34"/>
        <v>0</v>
      </c>
      <c r="IE26" s="6">
        <f t="shared" si="34"/>
        <v>0</v>
      </c>
      <c r="IF26" s="6">
        <f t="shared" si="34"/>
        <v>0</v>
      </c>
      <c r="IG26" s="6">
        <f t="shared" si="34"/>
        <v>0</v>
      </c>
      <c r="IH26" s="6">
        <f t="shared" si="34"/>
        <v>0</v>
      </c>
      <c r="II26" s="6">
        <f t="shared" si="34"/>
        <v>0</v>
      </c>
      <c r="IJ26" s="6">
        <f t="shared" si="34"/>
        <v>0</v>
      </c>
      <c r="IK26" s="6">
        <f t="shared" si="34"/>
        <v>0</v>
      </c>
      <c r="IL26" s="6">
        <f t="shared" si="34"/>
        <v>0</v>
      </c>
      <c r="IM26" s="6">
        <f t="shared" si="34"/>
        <v>0</v>
      </c>
      <c r="IN26" s="6">
        <f t="shared" si="34"/>
        <v>0</v>
      </c>
      <c r="IO26" s="6">
        <f t="shared" si="34"/>
        <v>0</v>
      </c>
      <c r="IP26" s="6">
        <f t="shared" si="34"/>
        <v>0</v>
      </c>
      <c r="IQ26" s="6">
        <f t="shared" si="34"/>
        <v>0</v>
      </c>
      <c r="IR26" s="6">
        <f t="shared" si="34"/>
        <v>0</v>
      </c>
      <c r="IS26" s="6">
        <f t="shared" si="34"/>
        <v>0</v>
      </c>
      <c r="IT26" s="6">
        <f t="shared" si="34"/>
        <v>0</v>
      </c>
      <c r="IU26" s="6">
        <f t="shared" si="34"/>
        <v>0</v>
      </c>
      <c r="IV26" s="6">
        <f t="shared" si="34"/>
        <v>0</v>
      </c>
      <c r="IW26" s="6">
        <f t="shared" si="34"/>
        <v>0</v>
      </c>
      <c r="IX26" s="6">
        <f t="shared" si="34"/>
        <v>0</v>
      </c>
      <c r="IY26" s="6">
        <f t="shared" si="34"/>
        <v>0</v>
      </c>
      <c r="IZ26" s="6">
        <f t="shared" si="34"/>
        <v>0</v>
      </c>
      <c r="JA26" s="6">
        <f t="shared" ref="JA26:KR26" si="35">IF(((JA25+JA24)*$C26/12)&lt;0,0,((JA25+JA24)*$C26/12))</f>
        <v>0</v>
      </c>
      <c r="JB26" s="6">
        <f t="shared" si="35"/>
        <v>0</v>
      </c>
      <c r="JC26" s="6">
        <f t="shared" si="35"/>
        <v>0</v>
      </c>
      <c r="JD26" s="6">
        <f t="shared" si="35"/>
        <v>0</v>
      </c>
      <c r="JE26" s="6">
        <f t="shared" si="35"/>
        <v>0</v>
      </c>
      <c r="JF26" s="6">
        <f t="shared" si="35"/>
        <v>0</v>
      </c>
      <c r="JG26" s="6">
        <f t="shared" si="35"/>
        <v>0</v>
      </c>
      <c r="JH26" s="6">
        <f t="shared" si="35"/>
        <v>0</v>
      </c>
      <c r="JI26" s="6">
        <f t="shared" si="35"/>
        <v>0</v>
      </c>
      <c r="JJ26" s="6">
        <f t="shared" si="35"/>
        <v>0</v>
      </c>
      <c r="JK26" s="6">
        <f t="shared" si="35"/>
        <v>0</v>
      </c>
      <c r="JL26" s="6">
        <f t="shared" si="35"/>
        <v>0</v>
      </c>
      <c r="JM26" s="6">
        <f t="shared" si="35"/>
        <v>0</v>
      </c>
      <c r="JN26" s="6">
        <f t="shared" si="35"/>
        <v>0</v>
      </c>
      <c r="JO26" s="6">
        <f t="shared" si="35"/>
        <v>0</v>
      </c>
      <c r="JP26" s="6">
        <f t="shared" si="35"/>
        <v>0</v>
      </c>
      <c r="JQ26" s="6">
        <f t="shared" si="35"/>
        <v>0</v>
      </c>
      <c r="JR26" s="6">
        <f t="shared" si="35"/>
        <v>0</v>
      </c>
      <c r="JS26" s="6">
        <f t="shared" si="35"/>
        <v>0</v>
      </c>
      <c r="JT26" s="6">
        <f t="shared" si="35"/>
        <v>0</v>
      </c>
      <c r="JU26" s="6">
        <f t="shared" si="35"/>
        <v>0</v>
      </c>
      <c r="JV26" s="6">
        <f t="shared" si="35"/>
        <v>0</v>
      </c>
      <c r="JW26" s="6">
        <f t="shared" si="35"/>
        <v>0</v>
      </c>
      <c r="JX26" s="6">
        <f t="shared" si="35"/>
        <v>0</v>
      </c>
      <c r="JY26" s="6">
        <f t="shared" si="35"/>
        <v>0</v>
      </c>
      <c r="JZ26" s="6">
        <f t="shared" si="35"/>
        <v>0</v>
      </c>
      <c r="KA26" s="6">
        <f t="shared" si="35"/>
        <v>0</v>
      </c>
      <c r="KB26" s="6">
        <f t="shared" si="35"/>
        <v>0</v>
      </c>
      <c r="KC26" s="6">
        <f t="shared" si="35"/>
        <v>0</v>
      </c>
      <c r="KD26" s="6">
        <f t="shared" si="35"/>
        <v>0</v>
      </c>
      <c r="KE26" s="6">
        <f t="shared" si="35"/>
        <v>0</v>
      </c>
      <c r="KF26" s="6">
        <f t="shared" si="35"/>
        <v>0</v>
      </c>
      <c r="KG26" s="6">
        <f t="shared" si="35"/>
        <v>0</v>
      </c>
      <c r="KH26" s="6">
        <f t="shared" si="35"/>
        <v>0</v>
      </c>
      <c r="KI26" s="6">
        <f t="shared" si="35"/>
        <v>0</v>
      </c>
      <c r="KJ26" s="6">
        <f t="shared" si="35"/>
        <v>0</v>
      </c>
      <c r="KK26" s="6">
        <f t="shared" si="35"/>
        <v>0</v>
      </c>
      <c r="KL26" s="6">
        <f t="shared" si="35"/>
        <v>0</v>
      </c>
      <c r="KM26" s="6">
        <f t="shared" si="35"/>
        <v>0</v>
      </c>
      <c r="KN26" s="6">
        <f t="shared" si="35"/>
        <v>0</v>
      </c>
      <c r="KO26" s="6">
        <f t="shared" si="35"/>
        <v>0</v>
      </c>
      <c r="KP26" s="6">
        <f t="shared" si="35"/>
        <v>0</v>
      </c>
      <c r="KQ26" s="6">
        <f t="shared" si="35"/>
        <v>0</v>
      </c>
      <c r="KR26" s="6">
        <f t="shared" si="35"/>
        <v>0</v>
      </c>
      <c r="KS26" s="6">
        <f t="shared" ref="KS26" si="36">IF(((KS25+KS24)*$C26/12)&lt;0,0,((KS25+KS24)*$C26/12))</f>
        <v>0</v>
      </c>
    </row>
    <row r="27" spans="2:16384">
      <c r="B27" s="21" t="s">
        <v>28</v>
      </c>
      <c r="C27" s="22"/>
      <c r="E27" s="6">
        <f>-IF($C26=0%,0,MIN(E24+E25+E26,E5))</f>
        <v>0</v>
      </c>
      <c r="F27" s="6">
        <f>-IF($C26=0%,0,MIN(F24+F25+F26,F5))</f>
        <v>-1650</v>
      </c>
      <c r="G27" s="6">
        <f>-IF($C26=0%,0,MIN(G24+G25+G26,G5))</f>
        <v>-1650</v>
      </c>
      <c r="H27" s="6">
        <f>-IF($C26=0%,0,MIN(H24+H25+H26,H5))</f>
        <v>-1650</v>
      </c>
      <c r="I27" s="6">
        <f>-IF($C26=0%,0,MIN(I24+I25+I26,I5))</f>
        <v>-1650</v>
      </c>
      <c r="J27" s="6">
        <f>-IF($C26=0%,0,MIN(J24+J25+J26,J5))</f>
        <v>-1650</v>
      </c>
      <c r="K27" s="6">
        <f>-IF($C26=0%,0,MIN(K24+K25+K26,K5))</f>
        <v>-1650</v>
      </c>
      <c r="L27" s="6">
        <f>-IF($C26=0%,0,MIN(L24+L25+L26,L5))</f>
        <v>-1650</v>
      </c>
      <c r="M27" s="6">
        <f>-IF($C26=0%,0,MIN(M24+M25+M26,M5))</f>
        <v>-1650</v>
      </c>
      <c r="N27" s="6">
        <f>-IF($C26=0%,0,MIN(N24+N25+N26,N5))</f>
        <v>-1650</v>
      </c>
      <c r="O27" s="6">
        <f>-IF($C26=0%,0,MIN(O24+O25+O26,O5))</f>
        <v>-1650</v>
      </c>
      <c r="P27" s="6">
        <f>-IF($C26=0%,0,MIN(P24+P25+P26,P5))</f>
        <v>-2165</v>
      </c>
      <c r="Q27" s="6">
        <f>-IF($C26=0%,0,MIN(Q24+Q25+Q26,Q5))</f>
        <v>-2321</v>
      </c>
      <c r="R27" s="6">
        <f>-IF($C26=0%,0,MIN(R24+R25+R26,R5))</f>
        <v>-2321</v>
      </c>
      <c r="S27" s="6">
        <f>-IF($C26=0%,0,MIN(S24+S25+S26,S5))</f>
        <v>-2321</v>
      </c>
      <c r="T27" s="6">
        <f>-IF($C26=0%,0,MIN(T24+T25+T26,T5))</f>
        <v>-2321</v>
      </c>
      <c r="U27" s="6">
        <f>-IF($C26=0%,0,MIN(U24+U25+U26,U5))</f>
        <v>-2321</v>
      </c>
      <c r="V27" s="6">
        <f>-IF($C26=0%,0,MIN(V24+V25+V26,V5))</f>
        <v>-2321</v>
      </c>
      <c r="W27" s="6">
        <f>-IF($C26=0%,0,MIN(W24+W25+W26,W5))</f>
        <v>-2321</v>
      </c>
      <c r="X27" s="6">
        <f>-IF($C26=0%,0,MIN(X24+X25+X26,X5))</f>
        <v>-2321</v>
      </c>
      <c r="Y27" s="6">
        <f>-IF($C26=0%,0,MIN(Y24+Y25+Y26,Y5))</f>
        <v>-2321</v>
      </c>
      <c r="Z27" s="6">
        <f>-IF($C26=0%,0,MIN(Z24+Z25+Z26,Z5))</f>
        <v>-2321</v>
      </c>
      <c r="AA27" s="6">
        <f>-IF($C26=0%,0,MIN(AA24+AA25+AA26,AA5))</f>
        <v>-2321</v>
      </c>
      <c r="AB27" s="6">
        <f>-IF($C26=0%,0,MIN(AB24+AB25+AB26,AB5))</f>
        <v>-2321</v>
      </c>
      <c r="AC27" s="6">
        <f>-IF($C26=0%,0,MIN(AC24+AC25+AC26,AC5))</f>
        <v>-2480.12</v>
      </c>
      <c r="AD27" s="6">
        <f>-IF($C26=0%,0,MIN(AD24+AD25+AD26,AD5))</f>
        <v>-2480.12</v>
      </c>
      <c r="AE27" s="6">
        <f>-IF($C26=0%,0,MIN(AE24+AE25+AE26,AE5))</f>
        <v>-2480.12</v>
      </c>
      <c r="AF27" s="6">
        <f>-IF($C26=0%,0,MIN(AF24+AF25+AF26,AF5))</f>
        <v>-2480.12</v>
      </c>
      <c r="AG27" s="6">
        <f>-IF($C26=0%,0,MIN(AG24+AG25+AG26,AG5))</f>
        <v>-2480.12</v>
      </c>
      <c r="AH27" s="6">
        <f>-IF($C26=0%,0,MIN(AH24+AH25+AH26,AH5))</f>
        <v>-2480.12</v>
      </c>
      <c r="AI27" s="6">
        <f>-IF($C26=0%,0,MIN(AI24+AI25+AI26,AI5))</f>
        <v>-2480.12</v>
      </c>
      <c r="AJ27" s="6">
        <f>-IF($C26=0%,0,MIN(AJ24+AJ25+AJ26,AJ5))</f>
        <v>-2480.12</v>
      </c>
      <c r="AK27" s="6">
        <f>-IF($C26=0%,0,MIN(AK24+AK25+AK26,AK5))</f>
        <v>-2480.12</v>
      </c>
      <c r="AL27" s="6">
        <f>-IF($C26=0%,0,MIN(AL24+AL25+AL26,AL5))</f>
        <v>-2480.12</v>
      </c>
      <c r="AM27" s="6">
        <f>-IF($C26=0%,0,MIN(AM24+AM25+AM26,AM5))</f>
        <v>-2480.12</v>
      </c>
      <c r="AN27" s="6">
        <f>-IF($C26=0%,0,MIN(AN24+AN25+AN26,AN5))</f>
        <v>-2480.12</v>
      </c>
      <c r="AO27" s="6">
        <f>-IF($C26=0%,0,MIN(AO24+AO25+AO26,AO5))</f>
        <v>-258.68779999999998</v>
      </c>
      <c r="AP27" s="6">
        <f>-IF($C26=0%,0,MIN(AP24+AP25+AP26,AP5))</f>
        <v>-1308.6227899999999</v>
      </c>
      <c r="AQ27" s="6">
        <f>-IF($C26=0%,0,MIN(AQ24+AQ25+AQ26,AQ5))</f>
        <v>-861.13809000000003</v>
      </c>
      <c r="AR27" s="6">
        <f>-IF($C26=0%,0,MIN(AR24+AR25+AR26,AR5))</f>
        <v>-494.80500999999998</v>
      </c>
      <c r="AS27" s="6">
        <f>-IF($C26=0%,0,MIN(AS24+AS25+AS26,AS5))</f>
        <v>-1472.1238000000001</v>
      </c>
      <c r="AT27" s="6">
        <f>-IF($C26=0%,0,MIN(AT24+AT25+AT26,AT5))</f>
        <v>-147.37223</v>
      </c>
      <c r="AU27" s="6">
        <f>-IF($C26=0%,0,MIN(AU24+AU25+AU26,AU5))</f>
        <v>-1275.2013400000001</v>
      </c>
      <c r="AV27" s="6">
        <f>-IF($C26=0%,0,MIN(AV24+AV25+AV26,AV5))</f>
        <v>-1024.56223</v>
      </c>
      <c r="AW27" s="6">
        <f>-IF($C26=0%,0,MIN(AW24+AW25+AW26,AW5))</f>
        <v>-1488.32266</v>
      </c>
      <c r="AX27" s="6">
        <f>-IF($C26=0%,0,MIN(AX24+AX25+AX26,AX5))</f>
        <v>-1699.7643399999999</v>
      </c>
      <c r="AY27" s="6">
        <f>-IF($C26=0%,0,MIN(AY24+AY25+AY26,AY5))</f>
        <v>-2642.3755999999998</v>
      </c>
      <c r="AZ27" s="6">
        <f>-IF($C26=0%,0,MIN(AZ24+AZ25+AZ26,AZ5))</f>
        <v>-2642.3755999999998</v>
      </c>
      <c r="BA27" s="6">
        <f>-IF($C26=0%,0,MIN(BA24+BA25+BA26,BA5))</f>
        <v>-2807.7789699999998</v>
      </c>
      <c r="BB27" s="6">
        <f>-IF($C26=0%,0,MIN(BB24+BB25+BB26,BB5))</f>
        <v>-2807.7789699999998</v>
      </c>
      <c r="BC27" s="6">
        <f>-IF($C26=0%,0,MIN(BC24+BC25+BC26,BC5))</f>
        <v>-2807.7789699999998</v>
      </c>
      <c r="BD27" s="6">
        <f>-IF($C26=0%,0,MIN(BD24+BD25+BD26,BD5))</f>
        <v>-2807.7789699999998</v>
      </c>
      <c r="BE27" s="6">
        <f>-IF($C26=0%,0,MIN(BE24+BE25+BE26,BE5))</f>
        <v>-2807.7789699999998</v>
      </c>
      <c r="BF27" s="6">
        <f>-IF($C26=0%,0,MIN(BF24+BF25+BF26,BF5))</f>
        <v>-2807.7789699999998</v>
      </c>
      <c r="BG27" s="6">
        <f>-IF($C26=0%,0,MIN(BG24+BG25+BG26,BG5))</f>
        <v>-2807.7789699999998</v>
      </c>
      <c r="BH27" s="6">
        <f>-IF($C26=0%,0,MIN(BH24+BH25+BH26,BH5))</f>
        <v>-2807.7789699999998</v>
      </c>
      <c r="BI27" s="6">
        <f>-IF($C26=0%,0,MIN(BI24+BI25+BI26,BI5))</f>
        <v>-2807.7789699999998</v>
      </c>
      <c r="BJ27" s="6">
        <f>-IF($C26=0%,0,MIN(BJ24+BJ25+BJ26,BJ5))</f>
        <v>-2807.7789699999998</v>
      </c>
      <c r="BK27" s="6">
        <f>-IF($C26=0%,0,MIN(BK24+BK25+BK26,BK5))</f>
        <v>-2807.7789699999998</v>
      </c>
      <c r="BL27" s="6">
        <f>-IF($C26=0%,0,MIN(BL24+BL25+BL26,BL5))</f>
        <v>-2807.7789699999998</v>
      </c>
      <c r="BM27" s="6">
        <f>-IF($C26=0%,0,MIN(BM24+BM25+BM26,BM5))</f>
        <v>-2976.3385400000002</v>
      </c>
      <c r="BN27" s="6">
        <f>-IF($C26=0%,0,MIN(BN24+BN25+BN26,BN5))</f>
        <v>-2976.3385400000002</v>
      </c>
      <c r="BO27" s="6">
        <f>-IF($C26=0%,0,MIN(BO24+BO25+BO26,BO5))</f>
        <v>-2976.3385400000002</v>
      </c>
      <c r="BP27" s="6">
        <f>-IF($C26=0%,0,MIN(BP24+BP25+BP26,BP5))</f>
        <v>-2976.3385400000002</v>
      </c>
      <c r="BQ27" s="6">
        <f>-IF($C26=0%,0,MIN(BQ24+BQ25+BQ26,BQ5))</f>
        <v>-2976.3385400000002</v>
      </c>
      <c r="BR27" s="6">
        <f>-IF($C26=0%,0,MIN(BR24+BR25+BR26,BR5))</f>
        <v>-2976.3385400000002</v>
      </c>
      <c r="BS27" s="6">
        <f>-IF($C26=0%,0,MIN(BS24+BS25+BS26,BS5))</f>
        <v>-2976.3385400000002</v>
      </c>
      <c r="BT27" s="6">
        <f>-IF($C26=0%,0,MIN(BT24+BT25+BT26,BT5))</f>
        <v>-2976.3385400000002</v>
      </c>
      <c r="BU27" s="6">
        <f>-IF($C26=0%,0,MIN(BU24+BU25+BU26,BU5))</f>
        <v>-2976.3385400000002</v>
      </c>
      <c r="BV27" s="6">
        <f>-IF($C26=0%,0,MIN(BV24+BV25+BV26,BV5))</f>
        <v>-2976.3385400000002</v>
      </c>
      <c r="BW27" s="6">
        <f>-IF($C26=0%,0,MIN(BW24+BW25+BW26,BW5))</f>
        <v>-2976.3385400000002</v>
      </c>
      <c r="BX27" s="6">
        <f>-IF($C26=0%,0,MIN(BX24+BX25+BX26,BX5))</f>
        <v>-2976.3385400000002</v>
      </c>
      <c r="BY27" s="6">
        <f>-IF($C26=0%,0,MIN(BY24+BY25+BY26,BY5))</f>
        <v>-3148.0587099999998</v>
      </c>
      <c r="BZ27" s="6">
        <f>-IF($C26=0%,0,MIN(BZ24+BZ25+BZ26,BZ5))</f>
        <v>-3148.0587099999998</v>
      </c>
      <c r="CA27" s="6">
        <f>-IF($C26=0%,0,MIN(CA24+CA25+CA26,CA5))</f>
        <v>-3148.0587099999998</v>
      </c>
      <c r="CB27" s="6">
        <f>-IF($C26=0%,0,MIN(CB24+CB25+CB26,CB5))</f>
        <v>-3148.0587099999998</v>
      </c>
      <c r="CC27" s="6">
        <f>-IF($C26=0%,0,MIN(CC24+CC25+CC26,CC5))</f>
        <v>-3148.0587099999998</v>
      </c>
      <c r="CD27" s="6">
        <f>-IF($C26=0%,0,MIN(CD24+CD25+CD26,CD5))</f>
        <v>-3148.0587099999998</v>
      </c>
      <c r="CE27" s="6">
        <f>-IF($C26=0%,0,MIN(CE24+CE25+CE26,CE5))</f>
        <v>-3148.0587099999998</v>
      </c>
      <c r="CF27" s="6">
        <f>-IF($C26=0%,0,MIN(CF24+CF25+CF26,CF5))</f>
        <v>-3148.0587099999998</v>
      </c>
      <c r="CG27" s="6">
        <f>-IF($C26=0%,0,MIN(CG24+CG25+CG26,CG5))</f>
        <v>-3148.0587099999998</v>
      </c>
      <c r="CH27" s="6">
        <f>-IF($C26=0%,0,MIN(CH24+CH25+CH26,CH5))</f>
        <v>-3148.0587099999998</v>
      </c>
      <c r="CI27" s="6">
        <f>-IF($C26=0%,0,MIN(CI24+CI25+CI26,CI5))</f>
        <v>-3148.0587099999998</v>
      </c>
      <c r="CJ27" s="6">
        <f>-IF($C26=0%,0,MIN(CJ24+CJ25+CJ26,CJ5))</f>
        <v>-1874.8575311471498</v>
      </c>
      <c r="CK27" s="6">
        <f>-IF($C26=0%,0,MIN(CK24+CK25+CK26,CK5))</f>
        <v>0</v>
      </c>
      <c r="CL27" s="6">
        <f>-IF($C26=0%,0,MIN(CL24+CL25+CL26,CL5))</f>
        <v>0</v>
      </c>
      <c r="CM27" s="6">
        <f>-IF($C26=0%,0,MIN(CM24+CM25+CM26,CM5))</f>
        <v>0</v>
      </c>
      <c r="CN27" s="6">
        <f>-IF($C26=0%,0,MIN(CN24+CN25+CN26,CN5))</f>
        <v>0</v>
      </c>
      <c r="CO27" s="6">
        <f>-IF($C26=0%,0,MIN(CO24+CO25+CO26,CO5))</f>
        <v>0</v>
      </c>
      <c r="CP27" s="6">
        <f>-IF($C26=0%,0,MIN(CP24+CP25+CP26,CP5))</f>
        <v>0</v>
      </c>
      <c r="CQ27" s="6">
        <f>-IF($C26=0%,0,MIN(CQ24+CQ25+CQ26,CQ5))</f>
        <v>0</v>
      </c>
      <c r="CR27" s="6">
        <f>-IF($C26=0%,0,MIN(CR24+CR25+CR26,CR5))</f>
        <v>0</v>
      </c>
      <c r="CS27" s="6">
        <f>-IF($C26=0%,0,MIN(CS24+CS25+CS26,CS5))</f>
        <v>0</v>
      </c>
      <c r="CT27" s="6">
        <f>-IF($C26=0%,0,MIN(CT24+CT25+CT26,CT5))</f>
        <v>0</v>
      </c>
      <c r="CU27" s="6">
        <f>-IF($C26=0%,0,MIN(CU24+CU25+CU26,CU5))</f>
        <v>0</v>
      </c>
      <c r="CV27" s="6">
        <f>-IF($C26=0%,0,MIN(CV24+CV25+CV26,CV5))</f>
        <v>0</v>
      </c>
      <c r="CW27" s="6">
        <f>-IF($C26=0%,0,MIN(CW24+CW25+CW26,CW5))</f>
        <v>0</v>
      </c>
      <c r="CX27" s="6">
        <f>-IF($C26=0%,0,MIN(CX24+CX25+CX26,CX5))</f>
        <v>0</v>
      </c>
      <c r="CY27" s="6">
        <f>-IF($C26=0%,0,MIN(CY24+CY25+CY26,CY5))</f>
        <v>0</v>
      </c>
      <c r="CZ27" s="6">
        <f>-IF($C26=0%,0,MIN(CZ24+CZ25+CZ26,CZ5))</f>
        <v>0</v>
      </c>
      <c r="DA27" s="6">
        <f>-IF($C26=0%,0,MIN(DA24+DA25+DA26,DA5))</f>
        <v>0</v>
      </c>
      <c r="DB27" s="6">
        <f>-IF($C26=0%,0,MIN(DB24+DB25+DB26,DB5))</f>
        <v>0</v>
      </c>
      <c r="DC27" s="6">
        <f>-IF($C26=0%,0,MIN(DC24+DC25+DC26,DC5))</f>
        <v>0</v>
      </c>
      <c r="DD27" s="6">
        <f>-IF($C26=0%,0,MIN(DD24+DD25+DD26,DD5))</f>
        <v>0</v>
      </c>
      <c r="DE27" s="6">
        <f>-IF($C26=0%,0,MIN(DE24+DE25+DE26,DE5))</f>
        <v>0</v>
      </c>
      <c r="DF27" s="6">
        <f>-IF($C26=0%,0,MIN(DF24+DF25+DF26,DF5))</f>
        <v>0</v>
      </c>
      <c r="DG27" s="6">
        <f>-IF($C26=0%,0,MIN(DG24+DG25+DG26,DG5))</f>
        <v>0</v>
      </c>
      <c r="DH27" s="6">
        <f>-IF($C26=0%,0,MIN(DH24+DH25+DH26,DH5))</f>
        <v>0</v>
      </c>
      <c r="DI27" s="6">
        <f>-IF($C26=0%,0,MIN(DI24+DI25+DI26,DI5))</f>
        <v>0</v>
      </c>
      <c r="DJ27" s="6">
        <f>-IF($C26=0%,0,MIN(DJ24+DJ25+DJ26,DJ5))</f>
        <v>0</v>
      </c>
      <c r="DK27" s="6">
        <f>-IF($C26=0%,0,MIN(DK24+DK25+DK26,DK5))</f>
        <v>0</v>
      </c>
      <c r="DL27" s="6">
        <f>-IF($C26=0%,0,MIN(DL24+DL25+DL26,DL5))</f>
        <v>0</v>
      </c>
      <c r="DM27" s="6">
        <f>-IF($C26=0%,0,MIN(DM24+DM25+DM26,DM5))</f>
        <v>0</v>
      </c>
      <c r="DN27" s="6">
        <f>-IF($C26=0%,0,MIN(DN24+DN25+DN26,DN5))</f>
        <v>0</v>
      </c>
      <c r="DO27" s="6">
        <f>-IF($C26=0%,0,MIN(DO24+DO25+DO26,DO5))</f>
        <v>0</v>
      </c>
      <c r="DP27" s="6">
        <f>-IF($C26=0%,0,MIN(DP24+DP25+DP26,DP5))</f>
        <v>0</v>
      </c>
      <c r="DQ27" s="6">
        <f>-IF($C26=0%,0,MIN(DQ24+DQ25+DQ26,DQ5))</f>
        <v>0</v>
      </c>
      <c r="DR27" s="6">
        <f>-IF($C26=0%,0,MIN(DR24+DR25+DR26,DR5))</f>
        <v>0</v>
      </c>
      <c r="DS27" s="6">
        <f>-IF($C26=0%,0,MIN(DS24+DS25+DS26,DS5))</f>
        <v>0</v>
      </c>
      <c r="DT27" s="6">
        <f>-IF($C26=0%,0,MIN(DT24+DT25+DT26,DT5))</f>
        <v>0</v>
      </c>
      <c r="DU27" s="6">
        <f>-IF($C26=0%,0,MIN(DU24+DU25+DU26,DU5))</f>
        <v>0</v>
      </c>
      <c r="DV27" s="6">
        <f>-IF($C26=0%,0,MIN(DV24+DV25+DV26,DV5))</f>
        <v>0</v>
      </c>
      <c r="DW27" s="6">
        <f>-IF($C26=0%,0,MIN(DW24+DW25+DW26,DW5))</f>
        <v>0</v>
      </c>
      <c r="DX27" s="6">
        <f>-IF($C26=0%,0,MIN(DX24+DX25+DX26,DX5))</f>
        <v>0</v>
      </c>
      <c r="DY27" s="6">
        <f>-IF($C26=0%,0,MIN(DY24+DY25+DY26,DY5))</f>
        <v>0</v>
      </c>
      <c r="DZ27" s="6">
        <f>-IF($C26=0%,0,MIN(DZ24+DZ25+DZ26,DZ5))</f>
        <v>0</v>
      </c>
      <c r="EA27" s="6">
        <f>-IF($C26=0%,0,MIN(EA24+EA25+EA26,EA5))</f>
        <v>0</v>
      </c>
      <c r="EB27" s="6">
        <f>-IF($C26=0%,0,MIN(EB24+EB25+EB26,EB5))</f>
        <v>0</v>
      </c>
      <c r="EC27" s="6">
        <f>-IF($C26=0%,0,MIN(EC24+EC25+EC26,EC5))</f>
        <v>0</v>
      </c>
      <c r="ED27" s="6">
        <f>-IF($C26=0%,0,MIN(ED24+ED25+ED26,ED5))</f>
        <v>0</v>
      </c>
      <c r="EE27" s="6">
        <f>-IF($C26=0%,0,MIN(EE24+EE25+EE26,EE5))</f>
        <v>0</v>
      </c>
      <c r="EF27" s="6">
        <f>-IF($C26=0%,0,MIN(EF24+EF25+EF26,EF5))</f>
        <v>0</v>
      </c>
      <c r="EG27" s="6">
        <f>-IF($C26=0%,0,MIN(EG24+EG25+EG26,EG5))</f>
        <v>0</v>
      </c>
      <c r="EH27" s="6">
        <f>-IF($C26=0%,0,MIN(EH24+EH25+EH26,EH5))</f>
        <v>0</v>
      </c>
      <c r="EI27" s="6">
        <f>-IF($C26=0%,0,MIN(EI24+EI25+EI26,EI5))</f>
        <v>0</v>
      </c>
      <c r="EJ27" s="6">
        <f>-IF($C26=0%,0,MIN(EJ24+EJ25+EJ26,EJ5))</f>
        <v>0</v>
      </c>
      <c r="EK27" s="6">
        <f>-IF($C26=0%,0,MIN(EK24+EK25+EK26,EK5))</f>
        <v>0</v>
      </c>
      <c r="EL27" s="6">
        <f>-IF($C26=0%,0,MIN(EL24+EL25+EL26,EL5))</f>
        <v>0</v>
      </c>
      <c r="EM27" s="6">
        <f>-IF($C26=0%,0,MIN(EM24+EM25+EM26,EM5))</f>
        <v>0</v>
      </c>
      <c r="EN27" s="6">
        <f>-IF($C26=0%,0,MIN(EN24+EN25+EN26,EN5))</f>
        <v>0</v>
      </c>
      <c r="EO27" s="6">
        <f>-IF($C26=0%,0,MIN(EO24+EO25+EO26,EO5))</f>
        <v>0</v>
      </c>
      <c r="EP27" s="6">
        <f>-IF($C26=0%,0,MIN(EP24+EP25+EP26,EP5))</f>
        <v>0</v>
      </c>
      <c r="EQ27" s="6">
        <f>-IF($C26=0%,0,MIN(EQ24+EQ25+EQ26,EQ5))</f>
        <v>0</v>
      </c>
      <c r="ER27" s="6">
        <f>-IF($C26=0%,0,MIN(ER24+ER25+ER26,ER5))</f>
        <v>0</v>
      </c>
      <c r="ES27" s="6">
        <f>-IF($C26=0%,0,MIN(ES24+ES25+ES26,ES5))</f>
        <v>0</v>
      </c>
      <c r="ET27" s="6">
        <f>-IF($C26=0%,0,MIN(ET24+ET25+ET26,ET5))</f>
        <v>0</v>
      </c>
      <c r="EU27" s="6">
        <f>-IF($C26=0%,0,MIN(EU24+EU25+EU26,EU5))</f>
        <v>0</v>
      </c>
      <c r="EV27" s="6">
        <f>-IF($C26=0%,0,MIN(EV24+EV25+EV26,EV5))</f>
        <v>0</v>
      </c>
      <c r="EW27" s="6">
        <f>-IF($C26=0%,0,MIN(EW24+EW25+EW26,EW5))</f>
        <v>0</v>
      </c>
      <c r="EX27" s="6">
        <f>-IF($C26=0%,0,MIN(EX24+EX25+EX26,EX5))</f>
        <v>0</v>
      </c>
      <c r="EY27" s="6">
        <f>-IF($C26=0%,0,MIN(EY24+EY25+EY26,EY5))</f>
        <v>0</v>
      </c>
      <c r="EZ27" s="6">
        <f>-IF($C26=0%,0,MIN(EZ24+EZ25+EZ26,EZ5))</f>
        <v>0</v>
      </c>
      <c r="FA27" s="6">
        <f>-IF($C26=0%,0,MIN(FA24+FA25+FA26,FA5))</f>
        <v>0</v>
      </c>
      <c r="FB27" s="6">
        <f>-IF($C26=0%,0,MIN(FB24+FB25+FB26,FB5))</f>
        <v>0</v>
      </c>
      <c r="FC27" s="6">
        <f>-IF($C26=0%,0,MIN(FC24+FC25+FC26,FC5))</f>
        <v>0</v>
      </c>
      <c r="FD27" s="6">
        <f>-IF($C26=0%,0,MIN(FD24+FD25+FD26,FD5))</f>
        <v>0</v>
      </c>
      <c r="FE27" s="6">
        <f>-IF($C26=0%,0,MIN(FE24+FE25+FE26,FE5))</f>
        <v>0</v>
      </c>
      <c r="FF27" s="6">
        <f>-IF($C26=0%,0,MIN(FF24+FF25+FF26,FF5))</f>
        <v>0</v>
      </c>
      <c r="FG27" s="6">
        <f>-IF($C26=0%,0,MIN(FG24+FG25+FG26,FG5))</f>
        <v>0</v>
      </c>
      <c r="FH27" s="6">
        <f>-IF($C26=0%,0,MIN(FH24+FH25+FH26,FH5))</f>
        <v>0</v>
      </c>
      <c r="FI27" s="6">
        <f>-IF($C26=0%,0,MIN(FI24+FI25+FI26,FI5))</f>
        <v>0</v>
      </c>
      <c r="FJ27" s="6">
        <f>-IF($C26=0%,0,MIN(FJ24+FJ25+FJ26,FJ5))</f>
        <v>0</v>
      </c>
      <c r="FK27" s="6">
        <f>-IF($C26=0%,0,MIN(FK24+FK25+FK26,FK5))</f>
        <v>0</v>
      </c>
      <c r="FL27" s="6">
        <f>-IF($C26=0%,0,MIN(FL24+FL25+FL26,FL5))</f>
        <v>0</v>
      </c>
      <c r="FM27" s="6">
        <f>-IF($C26=0%,0,MIN(FM24+FM25+FM26,FM5))</f>
        <v>0</v>
      </c>
      <c r="FN27" s="6">
        <f>-IF($C26=0%,0,MIN(FN24+FN25+FN26,FN5))</f>
        <v>0</v>
      </c>
      <c r="FO27" s="6">
        <f>-IF($C26=0%,0,MIN(FO24+FO25+FO26,FO5))</f>
        <v>0</v>
      </c>
      <c r="FP27" s="6">
        <f>-IF($C26=0%,0,MIN(FP24+FP25+FP26,FP5))</f>
        <v>0</v>
      </c>
      <c r="FQ27" s="6">
        <f>-IF($C26=0%,0,MIN(FQ24+FQ25+FQ26,FQ5))</f>
        <v>0</v>
      </c>
      <c r="FR27" s="6">
        <f>-IF($C26=0%,0,MIN(FR24+FR25+FR26,FR5))</f>
        <v>0</v>
      </c>
      <c r="FS27" s="6">
        <f>-IF($C26=0%,0,MIN(FS24+FS25+FS26,FS5))</f>
        <v>0</v>
      </c>
      <c r="FT27" s="6">
        <f>-IF($C26=0%,0,MIN(FT24+FT25+FT26,FT5))</f>
        <v>0</v>
      </c>
      <c r="FU27" s="6">
        <f>-IF($C26=0%,0,MIN(FU24+FU25+FU26,FU5))</f>
        <v>0</v>
      </c>
      <c r="FV27" s="6">
        <f>-IF($C26=0%,0,MIN(FV24+FV25+FV26,FV5))</f>
        <v>0</v>
      </c>
      <c r="FW27" s="6">
        <f>-IF($C26=0%,0,MIN(FW24+FW25+FW26,FW5))</f>
        <v>0</v>
      </c>
      <c r="FX27" s="6">
        <f>-IF($C26=0%,0,MIN(FX24+FX25+FX26,FX5))</f>
        <v>0</v>
      </c>
      <c r="FY27" s="6">
        <f>-IF($C26=0%,0,MIN(FY24+FY25+FY26,FY5))</f>
        <v>0</v>
      </c>
      <c r="FZ27" s="6">
        <f>-IF($C26=0%,0,MIN(FZ24+FZ25+FZ26,FZ5))</f>
        <v>0</v>
      </c>
      <c r="GA27" s="6">
        <f>-IF($C26=0%,0,MIN(GA24+GA25+GA26,GA5))</f>
        <v>0</v>
      </c>
      <c r="GB27" s="6">
        <f>-IF($C26=0%,0,MIN(GB24+GB25+GB26,GB5))</f>
        <v>0</v>
      </c>
      <c r="GC27" s="6">
        <f>-IF($C26=0%,0,MIN(GC24+GC25+GC26,GC5))</f>
        <v>0</v>
      </c>
      <c r="GD27" s="6">
        <f>-IF($C26=0%,0,MIN(GD24+GD25+GD26,GD5))</f>
        <v>0</v>
      </c>
      <c r="GE27" s="6">
        <f>-IF($C26=0%,0,MIN(GE24+GE25+GE26,GE5))</f>
        <v>0</v>
      </c>
      <c r="GF27" s="6">
        <f>-IF($C26=0%,0,MIN(GF24+GF25+GF26,GF5))</f>
        <v>0</v>
      </c>
      <c r="GG27" s="6">
        <f>-IF($C26=0%,0,MIN(GG24+GG25+GG26,GG5))</f>
        <v>0</v>
      </c>
      <c r="GH27" s="6">
        <f>-IF($C26=0%,0,MIN(GH24+GH25+GH26,GH5))</f>
        <v>0</v>
      </c>
      <c r="GI27" s="6">
        <f>-IF($C26=0%,0,MIN(GI24+GI25+GI26,GI5))</f>
        <v>0</v>
      </c>
      <c r="GJ27" s="6">
        <f>-IF($C26=0%,0,MIN(GJ24+GJ25+GJ26,GJ5))</f>
        <v>0</v>
      </c>
      <c r="GK27" s="6">
        <f>-IF($C26=0%,0,MIN(GK24+GK25+GK26,GK5))</f>
        <v>0</v>
      </c>
      <c r="GL27" s="6">
        <f>-IF($C26=0%,0,MIN(GL24+GL25+GL26,GL5))</f>
        <v>0</v>
      </c>
      <c r="GM27" s="6">
        <f>-IF($C26=0%,0,MIN(GM24+GM25+GM26,GM5))</f>
        <v>0</v>
      </c>
      <c r="GN27" s="6">
        <f>-IF($C26=0%,0,MIN(GN24+GN25+GN26,GN5))</f>
        <v>0</v>
      </c>
      <c r="GO27" s="6">
        <f>-IF($C26=0%,0,MIN(GO24+GO25+GO26,GO5))</f>
        <v>0</v>
      </c>
      <c r="GP27" s="6">
        <f>-IF($C26=0%,0,MIN(GP24+GP25+GP26,GP5))</f>
        <v>0</v>
      </c>
      <c r="GQ27" s="6">
        <f>-IF($C26=0%,0,MIN(GQ24+GQ25+GQ26,GQ5))</f>
        <v>0</v>
      </c>
      <c r="GR27" s="6">
        <f>-IF($C26=0%,0,MIN(GR24+GR25+GR26,GR5))</f>
        <v>0</v>
      </c>
      <c r="GS27" s="6">
        <f>-IF($C26=0%,0,MIN(GS24+GS25+GS26,GS5))</f>
        <v>0</v>
      </c>
      <c r="GT27" s="6">
        <f>-IF($C26=0%,0,MIN(GT24+GT25+GT26,GT5))</f>
        <v>0</v>
      </c>
      <c r="GU27" s="6">
        <f>-IF($C26=0%,0,MIN(GU24+GU25+GU26,GU5))</f>
        <v>0</v>
      </c>
      <c r="GV27" s="6">
        <f>-IF($C26=0%,0,MIN(GV24+GV25+GV26,GV5))</f>
        <v>0</v>
      </c>
      <c r="GW27" s="6">
        <f>-IF($C26=0%,0,MIN(GW24+GW25+GW26,GW5))</f>
        <v>0</v>
      </c>
      <c r="GX27" s="6">
        <f>-IF($C26=0%,0,MIN(GX24+GX25+GX26,GX5))</f>
        <v>0</v>
      </c>
      <c r="GY27" s="6">
        <f>-IF($C26=0%,0,MIN(GY24+GY25+GY26,GY5))</f>
        <v>0</v>
      </c>
      <c r="GZ27" s="6">
        <f>-IF($C26=0%,0,MIN(GZ24+GZ25+GZ26,GZ5))</f>
        <v>0</v>
      </c>
      <c r="HA27" s="6">
        <f>-IF($C26=0%,0,MIN(HA24+HA25+HA26,HA5))</f>
        <v>0</v>
      </c>
      <c r="HB27" s="6">
        <f>-IF($C26=0%,0,MIN(HB24+HB25+HB26,HB5))</f>
        <v>0</v>
      </c>
      <c r="HC27" s="6">
        <f>-IF($C26=0%,0,MIN(HC24+HC25+HC26,HC5))</f>
        <v>0</v>
      </c>
      <c r="HD27" s="6">
        <f>-IF($C26=0%,0,MIN(HD24+HD25+HD26,HD5))</f>
        <v>0</v>
      </c>
      <c r="HE27" s="6">
        <f>-IF($C26=0%,0,MIN(HE24+HE25+HE26,HE5))</f>
        <v>0</v>
      </c>
      <c r="HF27" s="6">
        <f>-IF($C26=0%,0,MIN(HF24+HF25+HF26,HF5))</f>
        <v>0</v>
      </c>
      <c r="HG27" s="6">
        <f>-IF($C26=0%,0,MIN(HG24+HG25+HG26,HG5))</f>
        <v>0</v>
      </c>
      <c r="HH27" s="6">
        <f>-IF($C26=0%,0,MIN(HH24+HH25+HH26,HH5))</f>
        <v>0</v>
      </c>
      <c r="HI27" s="6">
        <f>-IF($C26=0%,0,MIN(HI24+HI25+HI26,HI5))</f>
        <v>0</v>
      </c>
      <c r="HJ27" s="6">
        <f>-IF($C26=0%,0,MIN(HJ24+HJ25+HJ26,HJ5))</f>
        <v>0</v>
      </c>
      <c r="HK27" s="6">
        <f>-IF($C26=0%,0,MIN(HK24+HK25+HK26,HK5))</f>
        <v>0</v>
      </c>
      <c r="HL27" s="6">
        <f>-IF($C26=0%,0,MIN(HL24+HL25+HL26,HL5))</f>
        <v>0</v>
      </c>
      <c r="HM27" s="6">
        <f>-IF($C26=0%,0,MIN(HM24+HM25+HM26,HM5))</f>
        <v>0</v>
      </c>
      <c r="HN27" s="6">
        <f>-IF($C26=0%,0,MIN(HN24+HN25+HN26,HN5))</f>
        <v>0</v>
      </c>
      <c r="HO27" s="6">
        <f>-IF($C26=0%,0,MIN(HO24+HO25+HO26,HO5))</f>
        <v>0</v>
      </c>
      <c r="HP27" s="6">
        <f>-IF($C26=0%,0,MIN(HP24+HP25+HP26,HP5))</f>
        <v>0</v>
      </c>
      <c r="HQ27" s="6">
        <f>-IF($C26=0%,0,MIN(HQ24+HQ25+HQ26,HQ5))</f>
        <v>0</v>
      </c>
      <c r="HR27" s="6">
        <f>-IF($C26=0%,0,MIN(HR24+HR25+HR26,HR5))</f>
        <v>0</v>
      </c>
      <c r="HS27" s="6">
        <f>-IF($C26=0%,0,MIN(HS24+HS25+HS26,HS5))</f>
        <v>0</v>
      </c>
      <c r="HT27" s="6">
        <f>-IF($C26=0%,0,MIN(HT24+HT25+HT26,HT5))</f>
        <v>0</v>
      </c>
      <c r="HU27" s="6">
        <f>-IF($C26=0%,0,MIN(HU24+HU25+HU26,HU5))</f>
        <v>0</v>
      </c>
      <c r="HV27" s="6">
        <f>-IF($C26=0%,0,MIN(HV24+HV25+HV26,HV5))</f>
        <v>0</v>
      </c>
      <c r="HW27" s="6">
        <f>-IF($C26=0%,0,MIN(HW24+HW25+HW26,HW5))</f>
        <v>0</v>
      </c>
      <c r="HX27" s="6">
        <f>-IF($C26=0%,0,MIN(HX24+HX25+HX26,HX5))</f>
        <v>0</v>
      </c>
      <c r="HY27" s="6">
        <f>-IF($C26=0%,0,MIN(HY24+HY25+HY26,HY5))</f>
        <v>0</v>
      </c>
      <c r="HZ27" s="6">
        <f>-IF($C26=0%,0,MIN(HZ24+HZ25+HZ26,HZ5))</f>
        <v>0</v>
      </c>
      <c r="IA27" s="6">
        <f>-IF($C26=0%,0,MIN(IA24+IA25+IA26,IA5))</f>
        <v>0</v>
      </c>
      <c r="IB27" s="6">
        <f>-IF($C26=0%,0,MIN(IB24+IB25+IB26,IB5))</f>
        <v>0</v>
      </c>
      <c r="IC27" s="6">
        <f>-IF($C26=0%,0,MIN(IC24+IC25+IC26,IC5))</f>
        <v>0</v>
      </c>
      <c r="ID27" s="6">
        <f>-IF($C26=0%,0,MIN(ID24+ID25+ID26,ID5))</f>
        <v>0</v>
      </c>
      <c r="IE27" s="6">
        <f>-IF($C26=0%,0,MIN(IE24+IE25+IE26,IE5))</f>
        <v>0</v>
      </c>
      <c r="IF27" s="6">
        <f>-IF($C26=0%,0,MIN(IF24+IF25+IF26,IF5))</f>
        <v>0</v>
      </c>
      <c r="IG27" s="6">
        <f>-IF($C26=0%,0,MIN(IG24+IG25+IG26,IG5))</f>
        <v>0</v>
      </c>
      <c r="IH27" s="6">
        <f>-IF($C26=0%,0,MIN(IH24+IH25+IH26,IH5))</f>
        <v>0</v>
      </c>
      <c r="II27" s="6">
        <f>-IF($C26=0%,0,MIN(II24+II25+II26,II5))</f>
        <v>0</v>
      </c>
      <c r="IJ27" s="6">
        <f>-IF($C26=0%,0,MIN(IJ24+IJ25+IJ26,IJ5))</f>
        <v>0</v>
      </c>
      <c r="IK27" s="6">
        <f>-IF($C26=0%,0,MIN(IK24+IK25+IK26,IK5))</f>
        <v>0</v>
      </c>
      <c r="IL27" s="6">
        <f>-IF($C26=0%,0,MIN(IL24+IL25+IL26,IL5))</f>
        <v>0</v>
      </c>
      <c r="IM27" s="6">
        <f>-IF($C26=0%,0,MIN(IM24+IM25+IM26,IM5))</f>
        <v>0</v>
      </c>
      <c r="IN27" s="6">
        <f>-IF($C26=0%,0,MIN(IN24+IN25+IN26,IN5))</f>
        <v>0</v>
      </c>
      <c r="IO27" s="6">
        <f>-IF($C26=0%,0,MIN(IO24+IO25+IO26,IO5))</f>
        <v>0</v>
      </c>
      <c r="IP27" s="6">
        <f>-IF($C26=0%,0,MIN(IP24+IP25+IP26,IP5))</f>
        <v>0</v>
      </c>
      <c r="IQ27" s="6">
        <f>-IF($C26=0%,0,MIN(IQ24+IQ25+IQ26,IQ5))</f>
        <v>0</v>
      </c>
      <c r="IR27" s="6">
        <f>-IF($C26=0%,0,MIN(IR24+IR25+IR26,IR5))</f>
        <v>0</v>
      </c>
      <c r="IS27" s="6">
        <f>-IF($C26=0%,0,MIN(IS24+IS25+IS26,IS5))</f>
        <v>0</v>
      </c>
      <c r="IT27" s="6">
        <f>-IF($C26=0%,0,MIN(IT24+IT25+IT26,IT5))</f>
        <v>0</v>
      </c>
      <c r="IU27" s="6">
        <f>-IF($C26=0%,0,MIN(IU24+IU25+IU26,IU5))</f>
        <v>0</v>
      </c>
      <c r="IV27" s="6">
        <f>-IF($C26=0%,0,MIN(IV24+IV25+IV26,IV5))</f>
        <v>0</v>
      </c>
      <c r="IW27" s="6">
        <f>-IF($C26=0%,0,MIN(IW24+IW25+IW26,IW5))</f>
        <v>0</v>
      </c>
      <c r="IX27" s="6">
        <f>-IF($C26=0%,0,MIN(IX24+IX25+IX26,IX5))</f>
        <v>0</v>
      </c>
      <c r="IY27" s="6">
        <f>-IF($C26=0%,0,MIN(IY24+IY25+IY26,IY5))</f>
        <v>0</v>
      </c>
      <c r="IZ27" s="6">
        <f>-IF($C26=0%,0,MIN(IZ24+IZ25+IZ26,IZ5))</f>
        <v>0</v>
      </c>
      <c r="JA27" s="6">
        <f>-IF($C26=0%,0,MIN(JA24+JA25+JA26,JA5))</f>
        <v>0</v>
      </c>
      <c r="JB27" s="6">
        <f>-IF($C26=0%,0,MIN(JB24+JB25+JB26,JB5))</f>
        <v>0</v>
      </c>
      <c r="JC27" s="6">
        <f>-IF($C26=0%,0,MIN(JC24+JC25+JC26,JC5))</f>
        <v>0</v>
      </c>
      <c r="JD27" s="6">
        <f>-IF($C26=0%,0,MIN(JD24+JD25+JD26,JD5))</f>
        <v>0</v>
      </c>
      <c r="JE27" s="6">
        <f>-IF($C26=0%,0,MIN(JE24+JE25+JE26,JE5))</f>
        <v>0</v>
      </c>
      <c r="JF27" s="6">
        <f>-IF($C26=0%,0,MIN(JF24+JF25+JF26,JF5))</f>
        <v>0</v>
      </c>
      <c r="JG27" s="6">
        <f>-IF($C26=0%,0,MIN(JG24+JG25+JG26,JG5))</f>
        <v>0</v>
      </c>
      <c r="JH27" s="6">
        <f>-IF($C26=0%,0,MIN(JH24+JH25+JH26,JH5))</f>
        <v>0</v>
      </c>
      <c r="JI27" s="6">
        <f>-IF($C26=0%,0,MIN(JI24+JI25+JI26,JI5))</f>
        <v>0</v>
      </c>
      <c r="JJ27" s="6">
        <f>-IF($C26=0%,0,MIN(JJ24+JJ25+JJ26,JJ5))</f>
        <v>0</v>
      </c>
      <c r="JK27" s="6">
        <f>-IF($C26=0%,0,MIN(JK24+JK25+JK26,JK5))</f>
        <v>0</v>
      </c>
      <c r="JL27" s="6">
        <f>-IF($C26=0%,0,MIN(JL24+JL25+JL26,JL5))</f>
        <v>0</v>
      </c>
      <c r="JM27" s="6">
        <f>-IF($C26=0%,0,MIN(JM24+JM25+JM26,JM5))</f>
        <v>0</v>
      </c>
      <c r="JN27" s="6">
        <f>-IF($C26=0%,0,MIN(JN24+JN25+JN26,JN5))</f>
        <v>0</v>
      </c>
      <c r="JO27" s="6">
        <f>-IF($C26=0%,0,MIN(JO24+JO25+JO26,JO5))</f>
        <v>0</v>
      </c>
      <c r="JP27" s="6">
        <f>-IF($C26=0%,0,MIN(JP24+JP25+JP26,JP5))</f>
        <v>0</v>
      </c>
      <c r="JQ27" s="6">
        <f>-IF($C26=0%,0,MIN(JQ24+JQ25+JQ26,JQ5))</f>
        <v>0</v>
      </c>
      <c r="JR27" s="6">
        <f>-IF($C26=0%,0,MIN(JR24+JR25+JR26,JR5))</f>
        <v>0</v>
      </c>
      <c r="JS27" s="6">
        <f>-IF($C26=0%,0,MIN(JS24+JS25+JS26,JS5))</f>
        <v>0</v>
      </c>
      <c r="JT27" s="6">
        <f>-IF($C26=0%,0,MIN(JT24+JT25+JT26,JT5))</f>
        <v>0</v>
      </c>
      <c r="JU27" s="6">
        <f>-IF($C26=0%,0,MIN(JU24+JU25+JU26,JU5))</f>
        <v>0</v>
      </c>
      <c r="JV27" s="6">
        <f>-IF($C26=0%,0,MIN(JV24+JV25+JV26,JV5))</f>
        <v>0</v>
      </c>
      <c r="JW27" s="6">
        <f>-IF($C26=0%,0,MIN(JW24+JW25+JW26,JW5))</f>
        <v>0</v>
      </c>
      <c r="JX27" s="6">
        <f>-IF($C26=0%,0,MIN(JX24+JX25+JX26,JX5))</f>
        <v>0</v>
      </c>
      <c r="JY27" s="6">
        <f>-IF($C26=0%,0,MIN(JY24+JY25+JY26,JY5))</f>
        <v>0</v>
      </c>
      <c r="JZ27" s="6">
        <f>-IF($C26=0%,0,MIN(JZ24+JZ25+JZ26,JZ5))</f>
        <v>0</v>
      </c>
      <c r="KA27" s="6">
        <f>-IF($C26=0%,0,MIN(KA24+KA25+KA26,KA5))</f>
        <v>0</v>
      </c>
      <c r="KB27" s="6">
        <f>-IF($C26=0%,0,MIN(KB24+KB25+KB26,KB5))</f>
        <v>0</v>
      </c>
      <c r="KC27" s="6">
        <f>-IF($C26=0%,0,MIN(KC24+KC25+KC26,KC5))</f>
        <v>0</v>
      </c>
      <c r="KD27" s="6">
        <f>-IF($C26=0%,0,MIN(KD24+KD25+KD26,KD5))</f>
        <v>0</v>
      </c>
      <c r="KE27" s="6">
        <f>-IF($C26=0%,0,MIN(KE24+KE25+KE26,KE5))</f>
        <v>0</v>
      </c>
      <c r="KF27" s="6">
        <f>-IF($C26=0%,0,MIN(KF24+KF25+KF26,KF5))</f>
        <v>0</v>
      </c>
      <c r="KG27" s="6">
        <f>-IF($C26=0%,0,MIN(KG24+KG25+KG26,KG5))</f>
        <v>0</v>
      </c>
      <c r="KH27" s="6">
        <f>-IF($C26=0%,0,MIN(KH24+KH25+KH26,KH5))</f>
        <v>0</v>
      </c>
      <c r="KI27" s="6">
        <f>-IF($C26=0%,0,MIN(KI24+KI25+KI26,KI5))</f>
        <v>0</v>
      </c>
      <c r="KJ27" s="6">
        <f>-IF($C26=0%,0,MIN(KJ24+KJ25+KJ26,KJ5))</f>
        <v>0</v>
      </c>
      <c r="KK27" s="6">
        <f>-IF($C26=0%,0,MIN(KK24+KK25+KK26,KK5))</f>
        <v>0</v>
      </c>
      <c r="KL27" s="6">
        <f>-IF($C26=0%,0,MIN(KL24+KL25+KL26,KL5))</f>
        <v>0</v>
      </c>
      <c r="KM27" s="6">
        <f>-IF($C26=0%,0,MIN(KM24+KM25+KM26,KM5))</f>
        <v>0</v>
      </c>
      <c r="KN27" s="6">
        <f>-IF($C26=0%,0,MIN(KN24+KN25+KN26,KN5))</f>
        <v>0</v>
      </c>
      <c r="KO27" s="6">
        <f>-IF($C26=0%,0,MIN(KO24+KO25+KO26,KO5))</f>
        <v>0</v>
      </c>
      <c r="KP27" s="6">
        <f>-IF($C26=0%,0,MIN(KP24+KP25+KP26,KP5))</f>
        <v>0</v>
      </c>
      <c r="KQ27" s="6">
        <f>-IF($C26=0%,0,MIN(KQ24+KQ25+KQ26,KQ5))</f>
        <v>0</v>
      </c>
      <c r="KR27" s="6">
        <f>-IF($C26=0%,0,MIN(KR24+KR25+KR26,KR5))</f>
        <v>0</v>
      </c>
      <c r="KS27" s="6">
        <f>-IF($C26=0%,0,MIN(KS24+KS25+KS26,KS5))</f>
        <v>0</v>
      </c>
    </row>
    <row r="28" spans="2:16384">
      <c r="B28" s="21" t="s">
        <v>29</v>
      </c>
      <c r="C28" s="6"/>
      <c r="E28" s="6">
        <f>SUM(E24:E27)</f>
        <v>163880</v>
      </c>
      <c r="F28" s="6">
        <f t="shared" ref="F28:BQ28" si="37">SUM(F24:F27)</f>
        <v>162912.83333333334</v>
      </c>
      <c r="G28" s="6">
        <f t="shared" si="37"/>
        <v>161941.63680555558</v>
      </c>
      <c r="H28" s="6">
        <f t="shared" si="37"/>
        <v>160966.39362557873</v>
      </c>
      <c r="I28" s="6">
        <f t="shared" si="37"/>
        <v>159987.08693235196</v>
      </c>
      <c r="J28" s="6">
        <f t="shared" si="37"/>
        <v>159003.6997945701</v>
      </c>
      <c r="K28" s="6">
        <f t="shared" si="37"/>
        <v>158016.21521038082</v>
      </c>
      <c r="L28" s="6">
        <f t="shared" si="37"/>
        <v>157024.61610709073</v>
      </c>
      <c r="M28" s="6">
        <f t="shared" si="37"/>
        <v>156028.88534087027</v>
      </c>
      <c r="N28" s="6">
        <f t="shared" si="37"/>
        <v>155029.00569645723</v>
      </c>
      <c r="O28" s="6">
        <f t="shared" si="37"/>
        <v>154024.95988685914</v>
      </c>
      <c r="P28" s="6">
        <f t="shared" si="37"/>
        <v>152501.7305530544</v>
      </c>
      <c r="Q28" s="6">
        <f t="shared" si="37"/>
        <v>150816.15443035879</v>
      </c>
      <c r="R28" s="6">
        <f t="shared" si="37"/>
        <v>149123.55507381863</v>
      </c>
      <c r="S28" s="6">
        <f t="shared" si="37"/>
        <v>147423.90321995955</v>
      </c>
      <c r="T28" s="6">
        <f t="shared" si="37"/>
        <v>145717.16948337606</v>
      </c>
      <c r="U28" s="6">
        <f t="shared" si="37"/>
        <v>144003.32435622346</v>
      </c>
      <c r="V28" s="6">
        <f t="shared" si="37"/>
        <v>142282.33820770771</v>
      </c>
      <c r="W28" s="6">
        <f t="shared" si="37"/>
        <v>140554.18128357315</v>
      </c>
      <c r="X28" s="6">
        <f t="shared" si="37"/>
        <v>138818.82370558803</v>
      </c>
      <c r="Y28" s="6">
        <f t="shared" si="37"/>
        <v>137076.23547102799</v>
      </c>
      <c r="Z28" s="6">
        <f t="shared" si="37"/>
        <v>135326.38645215728</v>
      </c>
      <c r="AA28" s="6">
        <f t="shared" si="37"/>
        <v>133569.24639570795</v>
      </c>
      <c r="AB28" s="6">
        <f t="shared" si="37"/>
        <v>131804.78492235672</v>
      </c>
      <c r="AC28" s="6">
        <f t="shared" si="37"/>
        <v>129873.85152619987</v>
      </c>
      <c r="AD28" s="6">
        <f t="shared" si="37"/>
        <v>127934.87257422571</v>
      </c>
      <c r="AE28" s="6">
        <f t="shared" si="37"/>
        <v>125987.81454328499</v>
      </c>
      <c r="AF28" s="6">
        <f t="shared" si="37"/>
        <v>124032.64377054868</v>
      </c>
      <c r="AG28" s="6">
        <f t="shared" si="37"/>
        <v>122069.32645292596</v>
      </c>
      <c r="AH28" s="6">
        <f t="shared" si="37"/>
        <v>120097.82864647983</v>
      </c>
      <c r="AI28" s="6">
        <f t="shared" si="37"/>
        <v>118118.11626584017</v>
      </c>
      <c r="AJ28" s="6">
        <f t="shared" si="37"/>
        <v>116130.15508361452</v>
      </c>
      <c r="AK28" s="6">
        <f t="shared" si="37"/>
        <v>114133.91072979625</v>
      </c>
      <c r="AL28" s="6">
        <f t="shared" si="37"/>
        <v>112129.34869117041</v>
      </c>
      <c r="AM28" s="6">
        <f t="shared" si="37"/>
        <v>110116.43431071696</v>
      </c>
      <c r="AN28" s="6">
        <f t="shared" si="37"/>
        <v>108095.13278701161</v>
      </c>
      <c r="AO28" s="6">
        <f t="shared" si="37"/>
        <v>108286.84137362415</v>
      </c>
      <c r="AP28" s="6">
        <f t="shared" si="37"/>
        <v>107429.41375601426</v>
      </c>
      <c r="AQ28" s="6">
        <f t="shared" si="37"/>
        <v>107015.89822333099</v>
      </c>
      <c r="AR28" s="6">
        <f t="shared" si="37"/>
        <v>106966.99278926154</v>
      </c>
      <c r="AS28" s="6">
        <f t="shared" si="37"/>
        <v>105940.56479255013</v>
      </c>
      <c r="AT28" s="6">
        <f t="shared" si="37"/>
        <v>106234.61158251909</v>
      </c>
      <c r="AU28" s="6">
        <f t="shared" si="37"/>
        <v>105402.05445744625</v>
      </c>
      <c r="AV28" s="6">
        <f t="shared" si="37"/>
        <v>104816.66745435228</v>
      </c>
      <c r="AW28" s="6">
        <f t="shared" si="37"/>
        <v>103765.08090874541</v>
      </c>
      <c r="AX28" s="6">
        <f t="shared" si="37"/>
        <v>102497.67107253186</v>
      </c>
      <c r="AY28" s="6">
        <f t="shared" si="37"/>
        <v>100282.36910200074</v>
      </c>
      <c r="AZ28" s="6">
        <f t="shared" si="37"/>
        <v>98057.83670659241</v>
      </c>
      <c r="BA28" s="6">
        <f t="shared" si="37"/>
        <v>95658.63205620322</v>
      </c>
      <c r="BB28" s="6">
        <f t="shared" si="37"/>
        <v>93249.430719770739</v>
      </c>
      <c r="BC28" s="6">
        <f t="shared" si="37"/>
        <v>90830.191044436448</v>
      </c>
      <c r="BD28" s="6">
        <f t="shared" si="37"/>
        <v>88400.871203788265</v>
      </c>
      <c r="BE28" s="6">
        <f t="shared" si="37"/>
        <v>85961.42919713739</v>
      </c>
      <c r="BF28" s="6">
        <f t="shared" si="37"/>
        <v>83511.82284879213</v>
      </c>
      <c r="BG28" s="6">
        <f t="shared" si="37"/>
        <v>81052.009807328766</v>
      </c>
      <c r="BH28" s="6">
        <f t="shared" si="37"/>
        <v>78581.9475448593</v>
      </c>
      <c r="BI28" s="6">
        <f t="shared" si="37"/>
        <v>76101.593356296216</v>
      </c>
      <c r="BJ28" s="6">
        <f t="shared" si="37"/>
        <v>73610.90435861412</v>
      </c>
      <c r="BK28" s="6">
        <f t="shared" si="37"/>
        <v>71109.837490108344</v>
      </c>
      <c r="BL28" s="6">
        <f t="shared" si="37"/>
        <v>68598.349509650463</v>
      </c>
      <c r="BM28" s="6">
        <f t="shared" si="37"/>
        <v>65907.83742594067</v>
      </c>
      <c r="BN28" s="6">
        <f t="shared" si="37"/>
        <v>63206.114875215426</v>
      </c>
      <c r="BO28" s="6">
        <f t="shared" si="37"/>
        <v>60493.135147195491</v>
      </c>
      <c r="BP28" s="6">
        <f t="shared" si="37"/>
        <v>57768.851336975473</v>
      </c>
      <c r="BQ28" s="6">
        <f t="shared" si="37"/>
        <v>55033.216344212873</v>
      </c>
      <c r="BR28" s="6">
        <f t="shared" ref="BR28:EC28" si="38">SUM(BR24:BR27)</f>
        <v>52286.182872313766</v>
      </c>
      <c r="BS28" s="6">
        <f t="shared" si="38"/>
        <v>49527.703427615073</v>
      </c>
      <c r="BT28" s="6">
        <f t="shared" si="38"/>
        <v>46757.730318563474</v>
      </c>
      <c r="BU28" s="6">
        <f t="shared" si="38"/>
        <v>43976.215654890824</v>
      </c>
      <c r="BV28" s="6">
        <f t="shared" si="38"/>
        <v>41183.111346786209</v>
      </c>
      <c r="BW28" s="6">
        <f t="shared" si="38"/>
        <v>38378.369104064484</v>
      </c>
      <c r="BX28" s="6">
        <f t="shared" si="38"/>
        <v>35561.940435331424</v>
      </c>
      <c r="BY28" s="6">
        <f t="shared" si="38"/>
        <v>32562.056477145303</v>
      </c>
      <c r="BZ28" s="6">
        <f t="shared" si="38"/>
        <v>29549.673002466741</v>
      </c>
      <c r="CA28" s="6">
        <f t="shared" si="38"/>
        <v>26524.737929977018</v>
      </c>
      <c r="CB28" s="6">
        <f t="shared" si="38"/>
        <v>23487.198961351922</v>
      </c>
      <c r="CC28" s="6">
        <f t="shared" si="38"/>
        <v>20437.003580357552</v>
      </c>
      <c r="CD28" s="6">
        <f t="shared" si="38"/>
        <v>17374.099051942372</v>
      </c>
      <c r="CE28" s="6">
        <f t="shared" si="38"/>
        <v>14298.432421325468</v>
      </c>
      <c r="CF28" s="6">
        <f t="shared" si="38"/>
        <v>11209.95051308099</v>
      </c>
      <c r="CG28" s="6">
        <f t="shared" si="38"/>
        <v>8108.5999302188284</v>
      </c>
      <c r="CH28" s="6">
        <f t="shared" si="38"/>
        <v>4994.3270532614079</v>
      </c>
      <c r="CI28" s="6">
        <f t="shared" si="38"/>
        <v>1867.0780393166638</v>
      </c>
      <c r="CJ28" s="6">
        <f t="shared" si="38"/>
        <v>0</v>
      </c>
      <c r="CK28" s="6">
        <f t="shared" si="38"/>
        <v>0</v>
      </c>
      <c r="CL28" s="6">
        <f t="shared" si="38"/>
        <v>0</v>
      </c>
      <c r="CM28" s="6">
        <f t="shared" si="38"/>
        <v>0</v>
      </c>
      <c r="CN28" s="6">
        <f t="shared" si="38"/>
        <v>0</v>
      </c>
      <c r="CO28" s="6">
        <f t="shared" si="38"/>
        <v>0</v>
      </c>
      <c r="CP28" s="6">
        <f t="shared" si="38"/>
        <v>0</v>
      </c>
      <c r="CQ28" s="6">
        <f t="shared" si="38"/>
        <v>0</v>
      </c>
      <c r="CR28" s="6">
        <f t="shared" si="38"/>
        <v>0</v>
      </c>
      <c r="CS28" s="6">
        <f t="shared" si="38"/>
        <v>0</v>
      </c>
      <c r="CT28" s="6">
        <f t="shared" si="38"/>
        <v>0</v>
      </c>
      <c r="CU28" s="6">
        <f t="shared" si="38"/>
        <v>0</v>
      </c>
      <c r="CV28" s="6">
        <f t="shared" si="38"/>
        <v>0</v>
      </c>
      <c r="CW28" s="6">
        <f t="shared" si="38"/>
        <v>0</v>
      </c>
      <c r="CX28" s="6">
        <f t="shared" si="38"/>
        <v>0</v>
      </c>
      <c r="CY28" s="6">
        <f t="shared" si="38"/>
        <v>0</v>
      </c>
      <c r="CZ28" s="6">
        <f t="shared" si="38"/>
        <v>0</v>
      </c>
      <c r="DA28" s="6">
        <f t="shared" si="38"/>
        <v>0</v>
      </c>
      <c r="DB28" s="6">
        <f t="shared" si="38"/>
        <v>0</v>
      </c>
      <c r="DC28" s="6">
        <f t="shared" si="38"/>
        <v>0</v>
      </c>
      <c r="DD28" s="6">
        <f t="shared" si="38"/>
        <v>0</v>
      </c>
      <c r="DE28" s="6">
        <f t="shared" si="38"/>
        <v>0</v>
      </c>
      <c r="DF28" s="6">
        <f t="shared" si="38"/>
        <v>0</v>
      </c>
      <c r="DG28" s="6">
        <f t="shared" si="38"/>
        <v>0</v>
      </c>
      <c r="DH28" s="6">
        <f t="shared" si="38"/>
        <v>0</v>
      </c>
      <c r="DI28" s="6">
        <f t="shared" si="38"/>
        <v>0</v>
      </c>
      <c r="DJ28" s="6">
        <f t="shared" si="38"/>
        <v>0</v>
      </c>
      <c r="DK28" s="6">
        <f t="shared" si="38"/>
        <v>0</v>
      </c>
      <c r="DL28" s="6">
        <f t="shared" si="38"/>
        <v>0</v>
      </c>
      <c r="DM28" s="6">
        <f t="shared" si="38"/>
        <v>0</v>
      </c>
      <c r="DN28" s="6">
        <f t="shared" si="38"/>
        <v>0</v>
      </c>
      <c r="DO28" s="6">
        <f t="shared" si="38"/>
        <v>0</v>
      </c>
      <c r="DP28" s="6">
        <f t="shared" si="38"/>
        <v>0</v>
      </c>
      <c r="DQ28" s="6">
        <f t="shared" si="38"/>
        <v>0</v>
      </c>
      <c r="DR28" s="6">
        <f t="shared" si="38"/>
        <v>0</v>
      </c>
      <c r="DS28" s="6">
        <f t="shared" si="38"/>
        <v>0</v>
      </c>
      <c r="DT28" s="6">
        <f t="shared" si="38"/>
        <v>0</v>
      </c>
      <c r="DU28" s="6">
        <f t="shared" si="38"/>
        <v>0</v>
      </c>
      <c r="DV28" s="6">
        <f t="shared" si="38"/>
        <v>0</v>
      </c>
      <c r="DW28" s="6">
        <f t="shared" si="38"/>
        <v>0</v>
      </c>
      <c r="DX28" s="6">
        <f t="shared" si="38"/>
        <v>0</v>
      </c>
      <c r="DY28" s="6">
        <f t="shared" si="38"/>
        <v>0</v>
      </c>
      <c r="DZ28" s="6">
        <f t="shared" si="38"/>
        <v>0</v>
      </c>
      <c r="EA28" s="6">
        <f t="shared" si="38"/>
        <v>0</v>
      </c>
      <c r="EB28" s="6">
        <f t="shared" si="38"/>
        <v>0</v>
      </c>
      <c r="EC28" s="6">
        <f t="shared" si="38"/>
        <v>0</v>
      </c>
      <c r="ED28" s="6">
        <f t="shared" ref="ED28:GO28" si="39">SUM(ED24:ED27)</f>
        <v>0</v>
      </c>
      <c r="EE28" s="6">
        <f t="shared" si="39"/>
        <v>0</v>
      </c>
      <c r="EF28" s="6">
        <f t="shared" si="39"/>
        <v>0</v>
      </c>
      <c r="EG28" s="6">
        <f t="shared" si="39"/>
        <v>0</v>
      </c>
      <c r="EH28" s="6">
        <f t="shared" si="39"/>
        <v>0</v>
      </c>
      <c r="EI28" s="6">
        <f t="shared" si="39"/>
        <v>0</v>
      </c>
      <c r="EJ28" s="6">
        <f t="shared" si="39"/>
        <v>0</v>
      </c>
      <c r="EK28" s="6">
        <f t="shared" si="39"/>
        <v>0</v>
      </c>
      <c r="EL28" s="6">
        <f t="shared" si="39"/>
        <v>0</v>
      </c>
      <c r="EM28" s="6">
        <f t="shared" si="39"/>
        <v>0</v>
      </c>
      <c r="EN28" s="6">
        <f t="shared" si="39"/>
        <v>0</v>
      </c>
      <c r="EO28" s="6">
        <f t="shared" si="39"/>
        <v>0</v>
      </c>
      <c r="EP28" s="6">
        <f t="shared" si="39"/>
        <v>0</v>
      </c>
      <c r="EQ28" s="6">
        <f t="shared" si="39"/>
        <v>0</v>
      </c>
      <c r="ER28" s="6">
        <f t="shared" si="39"/>
        <v>0</v>
      </c>
      <c r="ES28" s="6">
        <f t="shared" si="39"/>
        <v>0</v>
      </c>
      <c r="ET28" s="6">
        <f t="shared" si="39"/>
        <v>0</v>
      </c>
      <c r="EU28" s="6">
        <f t="shared" si="39"/>
        <v>0</v>
      </c>
      <c r="EV28" s="6">
        <f t="shared" si="39"/>
        <v>0</v>
      </c>
      <c r="EW28" s="6">
        <f t="shared" si="39"/>
        <v>0</v>
      </c>
      <c r="EX28" s="6">
        <f t="shared" si="39"/>
        <v>0</v>
      </c>
      <c r="EY28" s="6">
        <f t="shared" si="39"/>
        <v>0</v>
      </c>
      <c r="EZ28" s="6">
        <f t="shared" si="39"/>
        <v>0</v>
      </c>
      <c r="FA28" s="6">
        <f t="shared" si="39"/>
        <v>0</v>
      </c>
      <c r="FB28" s="6">
        <f t="shared" si="39"/>
        <v>0</v>
      </c>
      <c r="FC28" s="6">
        <f t="shared" si="39"/>
        <v>0</v>
      </c>
      <c r="FD28" s="6">
        <f t="shared" si="39"/>
        <v>0</v>
      </c>
      <c r="FE28" s="6">
        <f t="shared" si="39"/>
        <v>0</v>
      </c>
      <c r="FF28" s="6">
        <f t="shared" si="39"/>
        <v>0</v>
      </c>
      <c r="FG28" s="6">
        <f t="shared" si="39"/>
        <v>0</v>
      </c>
      <c r="FH28" s="6">
        <f t="shared" si="39"/>
        <v>0</v>
      </c>
      <c r="FI28" s="6">
        <f t="shared" si="39"/>
        <v>0</v>
      </c>
      <c r="FJ28" s="6">
        <f t="shared" si="39"/>
        <v>0</v>
      </c>
      <c r="FK28" s="6">
        <f t="shared" si="39"/>
        <v>0</v>
      </c>
      <c r="FL28" s="6">
        <f t="shared" si="39"/>
        <v>0</v>
      </c>
      <c r="FM28" s="6">
        <f t="shared" si="39"/>
        <v>0</v>
      </c>
      <c r="FN28" s="6">
        <f t="shared" si="39"/>
        <v>0</v>
      </c>
      <c r="FO28" s="6">
        <f t="shared" si="39"/>
        <v>0</v>
      </c>
      <c r="FP28" s="6">
        <f t="shared" si="39"/>
        <v>0</v>
      </c>
      <c r="FQ28" s="6">
        <f t="shared" si="39"/>
        <v>0</v>
      </c>
      <c r="FR28" s="6">
        <f t="shared" si="39"/>
        <v>0</v>
      </c>
      <c r="FS28" s="6">
        <f t="shared" si="39"/>
        <v>0</v>
      </c>
      <c r="FT28" s="6">
        <f t="shared" si="39"/>
        <v>0</v>
      </c>
      <c r="FU28" s="6">
        <f t="shared" si="39"/>
        <v>0</v>
      </c>
      <c r="FV28" s="6">
        <f t="shared" si="39"/>
        <v>0</v>
      </c>
      <c r="FW28" s="6">
        <f t="shared" si="39"/>
        <v>0</v>
      </c>
      <c r="FX28" s="6">
        <f t="shared" si="39"/>
        <v>0</v>
      </c>
      <c r="FY28" s="6">
        <f t="shared" si="39"/>
        <v>0</v>
      </c>
      <c r="FZ28" s="6">
        <f t="shared" si="39"/>
        <v>0</v>
      </c>
      <c r="GA28" s="6">
        <f t="shared" si="39"/>
        <v>0</v>
      </c>
      <c r="GB28" s="6">
        <f t="shared" si="39"/>
        <v>0</v>
      </c>
      <c r="GC28" s="6">
        <f t="shared" si="39"/>
        <v>0</v>
      </c>
      <c r="GD28" s="6">
        <f t="shared" si="39"/>
        <v>0</v>
      </c>
      <c r="GE28" s="6">
        <f t="shared" si="39"/>
        <v>0</v>
      </c>
      <c r="GF28" s="6">
        <f t="shared" si="39"/>
        <v>0</v>
      </c>
      <c r="GG28" s="6">
        <f t="shared" si="39"/>
        <v>0</v>
      </c>
      <c r="GH28" s="6">
        <f t="shared" si="39"/>
        <v>0</v>
      </c>
      <c r="GI28" s="6">
        <f t="shared" si="39"/>
        <v>0</v>
      </c>
      <c r="GJ28" s="6">
        <f t="shared" si="39"/>
        <v>0</v>
      </c>
      <c r="GK28" s="6">
        <f t="shared" si="39"/>
        <v>0</v>
      </c>
      <c r="GL28" s="6">
        <f t="shared" si="39"/>
        <v>0</v>
      </c>
      <c r="GM28" s="6">
        <f t="shared" si="39"/>
        <v>0</v>
      </c>
      <c r="GN28" s="6">
        <f t="shared" si="39"/>
        <v>0</v>
      </c>
      <c r="GO28" s="6">
        <f t="shared" si="39"/>
        <v>0</v>
      </c>
      <c r="GP28" s="6">
        <f t="shared" ref="GP28:JA28" si="40">SUM(GP24:GP27)</f>
        <v>0</v>
      </c>
      <c r="GQ28" s="6">
        <f t="shared" si="40"/>
        <v>0</v>
      </c>
      <c r="GR28" s="6">
        <f t="shared" si="40"/>
        <v>0</v>
      </c>
      <c r="GS28" s="6">
        <f t="shared" si="40"/>
        <v>0</v>
      </c>
      <c r="GT28" s="6">
        <f t="shared" si="40"/>
        <v>0</v>
      </c>
      <c r="GU28" s="6">
        <f t="shared" si="40"/>
        <v>0</v>
      </c>
      <c r="GV28" s="6">
        <f t="shared" si="40"/>
        <v>0</v>
      </c>
      <c r="GW28" s="6">
        <f t="shared" si="40"/>
        <v>0</v>
      </c>
      <c r="GX28" s="6">
        <f t="shared" si="40"/>
        <v>0</v>
      </c>
      <c r="GY28" s="6">
        <f t="shared" si="40"/>
        <v>0</v>
      </c>
      <c r="GZ28" s="6">
        <f t="shared" si="40"/>
        <v>0</v>
      </c>
      <c r="HA28" s="6">
        <f t="shared" si="40"/>
        <v>0</v>
      </c>
      <c r="HB28" s="6">
        <f t="shared" si="40"/>
        <v>0</v>
      </c>
      <c r="HC28" s="6">
        <f t="shared" si="40"/>
        <v>0</v>
      </c>
      <c r="HD28" s="6">
        <f t="shared" si="40"/>
        <v>0</v>
      </c>
      <c r="HE28" s="6">
        <f t="shared" si="40"/>
        <v>0</v>
      </c>
      <c r="HF28" s="6">
        <f t="shared" si="40"/>
        <v>0</v>
      </c>
      <c r="HG28" s="6">
        <f t="shared" si="40"/>
        <v>0</v>
      </c>
      <c r="HH28" s="6">
        <f t="shared" si="40"/>
        <v>0</v>
      </c>
      <c r="HI28" s="6">
        <f t="shared" si="40"/>
        <v>0</v>
      </c>
      <c r="HJ28" s="6">
        <f t="shared" si="40"/>
        <v>0</v>
      </c>
      <c r="HK28" s="6">
        <f t="shared" si="40"/>
        <v>0</v>
      </c>
      <c r="HL28" s="6">
        <f t="shared" si="40"/>
        <v>0</v>
      </c>
      <c r="HM28" s="6">
        <f t="shared" si="40"/>
        <v>0</v>
      </c>
      <c r="HN28" s="6">
        <f t="shared" si="40"/>
        <v>0</v>
      </c>
      <c r="HO28" s="6">
        <f t="shared" si="40"/>
        <v>0</v>
      </c>
      <c r="HP28" s="6">
        <f t="shared" si="40"/>
        <v>0</v>
      </c>
      <c r="HQ28" s="6">
        <f t="shared" si="40"/>
        <v>0</v>
      </c>
      <c r="HR28" s="6">
        <f t="shared" si="40"/>
        <v>0</v>
      </c>
      <c r="HS28" s="6">
        <f t="shared" si="40"/>
        <v>0</v>
      </c>
      <c r="HT28" s="6">
        <f t="shared" si="40"/>
        <v>0</v>
      </c>
      <c r="HU28" s="6">
        <f t="shared" si="40"/>
        <v>0</v>
      </c>
      <c r="HV28" s="6">
        <f t="shared" si="40"/>
        <v>0</v>
      </c>
      <c r="HW28" s="6">
        <f t="shared" si="40"/>
        <v>0</v>
      </c>
      <c r="HX28" s="6">
        <f t="shared" si="40"/>
        <v>0</v>
      </c>
      <c r="HY28" s="6">
        <f t="shared" si="40"/>
        <v>0</v>
      </c>
      <c r="HZ28" s="6">
        <f t="shared" si="40"/>
        <v>0</v>
      </c>
      <c r="IA28" s="6">
        <f t="shared" si="40"/>
        <v>0</v>
      </c>
      <c r="IB28" s="6">
        <f t="shared" si="40"/>
        <v>0</v>
      </c>
      <c r="IC28" s="6">
        <f t="shared" si="40"/>
        <v>0</v>
      </c>
      <c r="ID28" s="6">
        <f t="shared" si="40"/>
        <v>0</v>
      </c>
      <c r="IE28" s="6">
        <f t="shared" si="40"/>
        <v>0</v>
      </c>
      <c r="IF28" s="6">
        <f t="shared" si="40"/>
        <v>0</v>
      </c>
      <c r="IG28" s="6">
        <f t="shared" si="40"/>
        <v>0</v>
      </c>
      <c r="IH28" s="6">
        <f t="shared" si="40"/>
        <v>0</v>
      </c>
      <c r="II28" s="6">
        <f t="shared" si="40"/>
        <v>0</v>
      </c>
      <c r="IJ28" s="6">
        <f t="shared" si="40"/>
        <v>0</v>
      </c>
      <c r="IK28" s="6">
        <f t="shared" si="40"/>
        <v>0</v>
      </c>
      <c r="IL28" s="6">
        <f t="shared" si="40"/>
        <v>0</v>
      </c>
      <c r="IM28" s="6">
        <f t="shared" si="40"/>
        <v>0</v>
      </c>
      <c r="IN28" s="6">
        <f t="shared" si="40"/>
        <v>0</v>
      </c>
      <c r="IO28" s="6">
        <f t="shared" si="40"/>
        <v>0</v>
      </c>
      <c r="IP28" s="6">
        <f t="shared" si="40"/>
        <v>0</v>
      </c>
      <c r="IQ28" s="6">
        <f t="shared" si="40"/>
        <v>0</v>
      </c>
      <c r="IR28" s="6">
        <f t="shared" si="40"/>
        <v>0</v>
      </c>
      <c r="IS28" s="6">
        <f t="shared" si="40"/>
        <v>0</v>
      </c>
      <c r="IT28" s="6">
        <f t="shared" si="40"/>
        <v>0</v>
      </c>
      <c r="IU28" s="6">
        <f t="shared" si="40"/>
        <v>0</v>
      </c>
      <c r="IV28" s="6">
        <f t="shared" si="40"/>
        <v>0</v>
      </c>
      <c r="IW28" s="6">
        <f t="shared" si="40"/>
        <v>0</v>
      </c>
      <c r="IX28" s="6">
        <f t="shared" si="40"/>
        <v>0</v>
      </c>
      <c r="IY28" s="6">
        <f t="shared" si="40"/>
        <v>0</v>
      </c>
      <c r="IZ28" s="6">
        <f t="shared" si="40"/>
        <v>0</v>
      </c>
      <c r="JA28" s="6">
        <f t="shared" si="40"/>
        <v>0</v>
      </c>
      <c r="JB28" s="6">
        <f t="shared" ref="JB28:KS28" si="41">SUM(JB24:JB27)</f>
        <v>0</v>
      </c>
      <c r="JC28" s="6">
        <f t="shared" si="41"/>
        <v>0</v>
      </c>
      <c r="JD28" s="6">
        <f t="shared" si="41"/>
        <v>0</v>
      </c>
      <c r="JE28" s="6">
        <f t="shared" si="41"/>
        <v>0</v>
      </c>
      <c r="JF28" s="6">
        <f t="shared" si="41"/>
        <v>0</v>
      </c>
      <c r="JG28" s="6">
        <f t="shared" si="41"/>
        <v>0</v>
      </c>
      <c r="JH28" s="6">
        <f t="shared" si="41"/>
        <v>0</v>
      </c>
      <c r="JI28" s="6">
        <f t="shared" si="41"/>
        <v>0</v>
      </c>
      <c r="JJ28" s="6">
        <f t="shared" si="41"/>
        <v>0</v>
      </c>
      <c r="JK28" s="6">
        <f t="shared" si="41"/>
        <v>0</v>
      </c>
      <c r="JL28" s="6">
        <f t="shared" si="41"/>
        <v>0</v>
      </c>
      <c r="JM28" s="6">
        <f t="shared" si="41"/>
        <v>0</v>
      </c>
      <c r="JN28" s="6">
        <f t="shared" si="41"/>
        <v>0</v>
      </c>
      <c r="JO28" s="6">
        <f t="shared" si="41"/>
        <v>0</v>
      </c>
      <c r="JP28" s="6">
        <f t="shared" si="41"/>
        <v>0</v>
      </c>
      <c r="JQ28" s="6">
        <f t="shared" si="41"/>
        <v>0</v>
      </c>
      <c r="JR28" s="6">
        <f t="shared" si="41"/>
        <v>0</v>
      </c>
      <c r="JS28" s="6">
        <f t="shared" si="41"/>
        <v>0</v>
      </c>
      <c r="JT28" s="6">
        <f t="shared" si="41"/>
        <v>0</v>
      </c>
      <c r="JU28" s="6">
        <f t="shared" si="41"/>
        <v>0</v>
      </c>
      <c r="JV28" s="6">
        <f t="shared" si="41"/>
        <v>0</v>
      </c>
      <c r="JW28" s="6">
        <f t="shared" si="41"/>
        <v>0</v>
      </c>
      <c r="JX28" s="6">
        <f t="shared" si="41"/>
        <v>0</v>
      </c>
      <c r="JY28" s="6">
        <f t="shared" si="41"/>
        <v>0</v>
      </c>
      <c r="JZ28" s="6">
        <f t="shared" si="41"/>
        <v>0</v>
      </c>
      <c r="KA28" s="6">
        <f t="shared" si="41"/>
        <v>0</v>
      </c>
      <c r="KB28" s="6">
        <f t="shared" si="41"/>
        <v>0</v>
      </c>
      <c r="KC28" s="6">
        <f t="shared" si="41"/>
        <v>0</v>
      </c>
      <c r="KD28" s="6">
        <f t="shared" si="41"/>
        <v>0</v>
      </c>
      <c r="KE28" s="6">
        <f t="shared" si="41"/>
        <v>0</v>
      </c>
      <c r="KF28" s="6">
        <f t="shared" si="41"/>
        <v>0</v>
      </c>
      <c r="KG28" s="6">
        <f t="shared" si="41"/>
        <v>0</v>
      </c>
      <c r="KH28" s="6">
        <f t="shared" si="41"/>
        <v>0</v>
      </c>
      <c r="KI28" s="6">
        <f t="shared" si="41"/>
        <v>0</v>
      </c>
      <c r="KJ28" s="6">
        <f t="shared" si="41"/>
        <v>0</v>
      </c>
      <c r="KK28" s="6">
        <f t="shared" si="41"/>
        <v>0</v>
      </c>
      <c r="KL28" s="6">
        <f t="shared" si="41"/>
        <v>0</v>
      </c>
      <c r="KM28" s="6">
        <f t="shared" si="41"/>
        <v>0</v>
      </c>
      <c r="KN28" s="6">
        <f t="shared" si="41"/>
        <v>0</v>
      </c>
      <c r="KO28" s="6">
        <f t="shared" si="41"/>
        <v>0</v>
      </c>
      <c r="KP28" s="6">
        <f t="shared" si="41"/>
        <v>0</v>
      </c>
      <c r="KQ28" s="6">
        <f t="shared" si="41"/>
        <v>0</v>
      </c>
      <c r="KR28" s="6">
        <f t="shared" si="41"/>
        <v>0</v>
      </c>
      <c r="KS28" s="6">
        <f t="shared" si="41"/>
        <v>0</v>
      </c>
    </row>
    <row r="30" spans="2:16384">
      <c r="B30" s="21" t="s">
        <v>55</v>
      </c>
      <c r="C30" s="22"/>
      <c r="E30" s="6">
        <f>E16-E27</f>
        <v>0</v>
      </c>
      <c r="F30" s="6">
        <f t="shared" ref="F30:BQ30" si="42">F16-F27</f>
        <v>0</v>
      </c>
      <c r="G30" s="6">
        <f t="shared" si="42"/>
        <v>0</v>
      </c>
      <c r="H30" s="6">
        <f t="shared" si="42"/>
        <v>0</v>
      </c>
      <c r="I30" s="6">
        <f t="shared" si="42"/>
        <v>0</v>
      </c>
      <c r="J30" s="6">
        <f t="shared" si="42"/>
        <v>0</v>
      </c>
      <c r="K30" s="6">
        <f t="shared" si="42"/>
        <v>0</v>
      </c>
      <c r="L30" s="6">
        <f t="shared" si="42"/>
        <v>0</v>
      </c>
      <c r="M30" s="6">
        <f t="shared" si="42"/>
        <v>0</v>
      </c>
      <c r="N30" s="6">
        <f t="shared" si="42"/>
        <v>0</v>
      </c>
      <c r="O30" s="6">
        <f t="shared" si="42"/>
        <v>0</v>
      </c>
      <c r="P30" s="6">
        <f t="shared" si="42"/>
        <v>0</v>
      </c>
      <c r="Q30" s="6">
        <f t="shared" si="42"/>
        <v>0</v>
      </c>
      <c r="R30" s="6">
        <f t="shared" si="42"/>
        <v>0</v>
      </c>
      <c r="S30" s="6">
        <f t="shared" si="42"/>
        <v>0</v>
      </c>
      <c r="T30" s="6">
        <f t="shared" si="42"/>
        <v>0</v>
      </c>
      <c r="U30" s="6">
        <f t="shared" si="42"/>
        <v>0</v>
      </c>
      <c r="V30" s="6">
        <f t="shared" si="42"/>
        <v>0</v>
      </c>
      <c r="W30" s="6">
        <f t="shared" si="42"/>
        <v>0</v>
      </c>
      <c r="X30" s="6">
        <f t="shared" si="42"/>
        <v>0</v>
      </c>
      <c r="Y30" s="6">
        <f t="shared" si="42"/>
        <v>0</v>
      </c>
      <c r="Z30" s="6">
        <f t="shared" si="42"/>
        <v>0</v>
      </c>
      <c r="AA30" s="6">
        <f t="shared" si="42"/>
        <v>0</v>
      </c>
      <c r="AB30" s="6">
        <f t="shared" si="42"/>
        <v>0</v>
      </c>
      <c r="AC30" s="6">
        <f t="shared" si="42"/>
        <v>0</v>
      </c>
      <c r="AD30" s="6">
        <f t="shared" si="42"/>
        <v>0</v>
      </c>
      <c r="AE30" s="6">
        <f t="shared" si="42"/>
        <v>0</v>
      </c>
      <c r="AF30" s="6">
        <f t="shared" si="42"/>
        <v>0</v>
      </c>
      <c r="AG30" s="6">
        <f t="shared" si="42"/>
        <v>0</v>
      </c>
      <c r="AH30" s="6">
        <f t="shared" si="42"/>
        <v>0</v>
      </c>
      <c r="AI30" s="6">
        <f t="shared" si="42"/>
        <v>0</v>
      </c>
      <c r="AJ30" s="6">
        <f t="shared" si="42"/>
        <v>0</v>
      </c>
      <c r="AK30" s="6">
        <f t="shared" si="42"/>
        <v>0</v>
      </c>
      <c r="AL30" s="6">
        <f t="shared" si="42"/>
        <v>0</v>
      </c>
      <c r="AM30" s="6">
        <f t="shared" si="42"/>
        <v>0</v>
      </c>
      <c r="AN30" s="6">
        <f t="shared" si="42"/>
        <v>0</v>
      </c>
      <c r="AO30" s="6">
        <f t="shared" si="42"/>
        <v>0</v>
      </c>
      <c r="AP30" s="6">
        <f t="shared" si="42"/>
        <v>0</v>
      </c>
      <c r="AQ30" s="6">
        <f t="shared" si="42"/>
        <v>0</v>
      </c>
      <c r="AR30" s="6">
        <f t="shared" si="42"/>
        <v>0</v>
      </c>
      <c r="AS30" s="6">
        <f t="shared" si="42"/>
        <v>0</v>
      </c>
      <c r="AT30" s="6">
        <f t="shared" si="42"/>
        <v>0</v>
      </c>
      <c r="AU30" s="6">
        <f t="shared" si="42"/>
        <v>0</v>
      </c>
      <c r="AV30" s="6">
        <f t="shared" si="42"/>
        <v>0</v>
      </c>
      <c r="AW30" s="6">
        <f t="shared" si="42"/>
        <v>0</v>
      </c>
      <c r="AX30" s="6">
        <f t="shared" si="42"/>
        <v>0</v>
      </c>
      <c r="AY30" s="6">
        <f t="shared" si="42"/>
        <v>0</v>
      </c>
      <c r="AZ30" s="6">
        <f t="shared" si="42"/>
        <v>0</v>
      </c>
      <c r="BA30" s="6">
        <f t="shared" si="42"/>
        <v>0</v>
      </c>
      <c r="BB30" s="6">
        <f t="shared" si="42"/>
        <v>0</v>
      </c>
      <c r="BC30" s="6">
        <f t="shared" si="42"/>
        <v>0</v>
      </c>
      <c r="BD30" s="6">
        <f t="shared" si="42"/>
        <v>0</v>
      </c>
      <c r="BE30" s="6">
        <f t="shared" si="42"/>
        <v>0</v>
      </c>
      <c r="BF30" s="6">
        <f t="shared" si="42"/>
        <v>0</v>
      </c>
      <c r="BG30" s="6">
        <f t="shared" si="42"/>
        <v>0</v>
      </c>
      <c r="BH30" s="6">
        <f t="shared" si="42"/>
        <v>0</v>
      </c>
      <c r="BI30" s="6">
        <f t="shared" si="42"/>
        <v>0</v>
      </c>
      <c r="BJ30" s="6">
        <f t="shared" si="42"/>
        <v>0</v>
      </c>
      <c r="BK30" s="6">
        <f t="shared" si="42"/>
        <v>0</v>
      </c>
      <c r="BL30" s="6">
        <f t="shared" si="42"/>
        <v>0</v>
      </c>
      <c r="BM30" s="6">
        <f t="shared" si="42"/>
        <v>0</v>
      </c>
      <c r="BN30" s="6">
        <f t="shared" si="42"/>
        <v>0</v>
      </c>
      <c r="BO30" s="6">
        <f t="shared" si="42"/>
        <v>0</v>
      </c>
      <c r="BP30" s="6">
        <f t="shared" si="42"/>
        <v>0</v>
      </c>
      <c r="BQ30" s="6">
        <f t="shared" si="42"/>
        <v>0</v>
      </c>
      <c r="BR30" s="6">
        <f t="shared" ref="BR30:EC30" si="43">BR16-BR27</f>
        <v>0</v>
      </c>
      <c r="BS30" s="6">
        <f t="shared" si="43"/>
        <v>0</v>
      </c>
      <c r="BT30" s="6">
        <f t="shared" si="43"/>
        <v>0</v>
      </c>
      <c r="BU30" s="6">
        <f t="shared" si="43"/>
        <v>0</v>
      </c>
      <c r="BV30" s="6">
        <f t="shared" si="43"/>
        <v>0</v>
      </c>
      <c r="BW30" s="6">
        <f t="shared" si="43"/>
        <v>0</v>
      </c>
      <c r="BX30" s="6">
        <f t="shared" si="43"/>
        <v>0</v>
      </c>
      <c r="BY30" s="6">
        <f t="shared" si="43"/>
        <v>0</v>
      </c>
      <c r="BZ30" s="6">
        <f t="shared" si="43"/>
        <v>0</v>
      </c>
      <c r="CA30" s="6">
        <f t="shared" si="43"/>
        <v>0</v>
      </c>
      <c r="CB30" s="6">
        <f t="shared" si="43"/>
        <v>0</v>
      </c>
      <c r="CC30" s="6">
        <f t="shared" si="43"/>
        <v>0</v>
      </c>
      <c r="CD30" s="6">
        <f t="shared" si="43"/>
        <v>0</v>
      </c>
      <c r="CE30" s="6">
        <f t="shared" si="43"/>
        <v>0</v>
      </c>
      <c r="CF30" s="6">
        <f t="shared" si="43"/>
        <v>0</v>
      </c>
      <c r="CG30" s="6">
        <f t="shared" si="43"/>
        <v>0</v>
      </c>
      <c r="CH30" s="6">
        <f t="shared" si="43"/>
        <v>0</v>
      </c>
      <c r="CI30" s="6">
        <f t="shared" si="43"/>
        <v>0</v>
      </c>
      <c r="CJ30" s="6">
        <f t="shared" si="43"/>
        <v>960.26342114691886</v>
      </c>
      <c r="CK30" s="6">
        <f t="shared" si="43"/>
        <v>0</v>
      </c>
      <c r="CL30" s="6">
        <f t="shared" si="43"/>
        <v>0</v>
      </c>
      <c r="CM30" s="6">
        <f t="shared" si="43"/>
        <v>0</v>
      </c>
      <c r="CN30" s="6">
        <f t="shared" si="43"/>
        <v>0</v>
      </c>
      <c r="CO30" s="6">
        <f t="shared" si="43"/>
        <v>0</v>
      </c>
      <c r="CP30" s="6">
        <f t="shared" si="43"/>
        <v>0</v>
      </c>
      <c r="CQ30" s="6">
        <f t="shared" si="43"/>
        <v>0</v>
      </c>
      <c r="CR30" s="6">
        <f t="shared" si="43"/>
        <v>0</v>
      </c>
      <c r="CS30" s="6">
        <f t="shared" si="43"/>
        <v>0</v>
      </c>
      <c r="CT30" s="6">
        <f t="shared" si="43"/>
        <v>0</v>
      </c>
      <c r="CU30" s="6">
        <f t="shared" si="43"/>
        <v>0</v>
      </c>
      <c r="CV30" s="6">
        <f t="shared" si="43"/>
        <v>0</v>
      </c>
      <c r="CW30" s="6">
        <f t="shared" si="43"/>
        <v>0</v>
      </c>
      <c r="CX30" s="6">
        <f t="shared" si="43"/>
        <v>0</v>
      </c>
      <c r="CY30" s="6">
        <f t="shared" si="43"/>
        <v>0</v>
      </c>
      <c r="CZ30" s="6">
        <f t="shared" si="43"/>
        <v>0</v>
      </c>
      <c r="DA30" s="6">
        <f t="shared" si="43"/>
        <v>0</v>
      </c>
      <c r="DB30" s="6">
        <f t="shared" si="43"/>
        <v>0</v>
      </c>
      <c r="DC30" s="6">
        <f t="shared" si="43"/>
        <v>0</v>
      </c>
      <c r="DD30" s="6">
        <f t="shared" si="43"/>
        <v>0</v>
      </c>
      <c r="DE30" s="6">
        <f t="shared" si="43"/>
        <v>0</v>
      </c>
      <c r="DF30" s="6">
        <f t="shared" si="43"/>
        <v>0</v>
      </c>
      <c r="DG30" s="6">
        <f t="shared" si="43"/>
        <v>0</v>
      </c>
      <c r="DH30" s="6">
        <f t="shared" si="43"/>
        <v>0</v>
      </c>
      <c r="DI30" s="6">
        <f t="shared" si="43"/>
        <v>0</v>
      </c>
      <c r="DJ30" s="6">
        <f t="shared" si="43"/>
        <v>0</v>
      </c>
      <c r="DK30" s="6">
        <f t="shared" si="43"/>
        <v>0</v>
      </c>
      <c r="DL30" s="6">
        <f t="shared" si="43"/>
        <v>0</v>
      </c>
      <c r="DM30" s="6">
        <f t="shared" si="43"/>
        <v>0</v>
      </c>
      <c r="DN30" s="6">
        <f t="shared" si="43"/>
        <v>0</v>
      </c>
      <c r="DO30" s="6">
        <f t="shared" si="43"/>
        <v>0</v>
      </c>
      <c r="DP30" s="6">
        <f t="shared" si="43"/>
        <v>0</v>
      </c>
      <c r="DQ30" s="6">
        <f t="shared" si="43"/>
        <v>0</v>
      </c>
      <c r="DR30" s="6">
        <f t="shared" si="43"/>
        <v>0</v>
      </c>
      <c r="DS30" s="6">
        <f t="shared" si="43"/>
        <v>0</v>
      </c>
      <c r="DT30" s="6">
        <f t="shared" si="43"/>
        <v>0</v>
      </c>
      <c r="DU30" s="6">
        <f t="shared" si="43"/>
        <v>0</v>
      </c>
      <c r="DV30" s="6">
        <f t="shared" si="43"/>
        <v>0</v>
      </c>
      <c r="DW30" s="6">
        <f t="shared" si="43"/>
        <v>0</v>
      </c>
      <c r="DX30" s="6">
        <f t="shared" si="43"/>
        <v>0</v>
      </c>
      <c r="DY30" s="6">
        <f t="shared" si="43"/>
        <v>0</v>
      </c>
      <c r="DZ30" s="6">
        <f t="shared" si="43"/>
        <v>0</v>
      </c>
      <c r="EA30" s="6">
        <f t="shared" si="43"/>
        <v>0</v>
      </c>
      <c r="EB30" s="6">
        <f t="shared" si="43"/>
        <v>0</v>
      </c>
      <c r="EC30" s="6">
        <f t="shared" si="43"/>
        <v>0</v>
      </c>
      <c r="ED30" s="6">
        <f t="shared" ref="ED30:GO30" si="44">ED16-ED27</f>
        <v>0</v>
      </c>
      <c r="EE30" s="6">
        <f t="shared" si="44"/>
        <v>0</v>
      </c>
      <c r="EF30" s="6">
        <f t="shared" si="44"/>
        <v>0</v>
      </c>
      <c r="EG30" s="6">
        <f t="shared" si="44"/>
        <v>0</v>
      </c>
      <c r="EH30" s="6">
        <f t="shared" si="44"/>
        <v>0</v>
      </c>
      <c r="EI30" s="6">
        <f t="shared" si="44"/>
        <v>0</v>
      </c>
      <c r="EJ30" s="6">
        <f t="shared" si="44"/>
        <v>0</v>
      </c>
      <c r="EK30" s="6">
        <f t="shared" si="44"/>
        <v>0</v>
      </c>
      <c r="EL30" s="6">
        <f t="shared" si="44"/>
        <v>0</v>
      </c>
      <c r="EM30" s="6">
        <f t="shared" si="44"/>
        <v>0</v>
      </c>
      <c r="EN30" s="6">
        <f t="shared" si="44"/>
        <v>0</v>
      </c>
      <c r="EO30" s="6">
        <f t="shared" si="44"/>
        <v>0</v>
      </c>
      <c r="EP30" s="6">
        <f t="shared" si="44"/>
        <v>0</v>
      </c>
      <c r="EQ30" s="6">
        <f t="shared" si="44"/>
        <v>0</v>
      </c>
      <c r="ER30" s="6">
        <f t="shared" si="44"/>
        <v>0</v>
      </c>
      <c r="ES30" s="6">
        <f t="shared" si="44"/>
        <v>0</v>
      </c>
      <c r="ET30" s="6">
        <f t="shared" si="44"/>
        <v>0</v>
      </c>
      <c r="EU30" s="6">
        <f t="shared" si="44"/>
        <v>0</v>
      </c>
      <c r="EV30" s="6">
        <f t="shared" si="44"/>
        <v>0</v>
      </c>
      <c r="EW30" s="6">
        <f t="shared" si="44"/>
        <v>0</v>
      </c>
      <c r="EX30" s="6">
        <f t="shared" si="44"/>
        <v>0</v>
      </c>
      <c r="EY30" s="6">
        <f t="shared" si="44"/>
        <v>0</v>
      </c>
      <c r="EZ30" s="6">
        <f t="shared" si="44"/>
        <v>0</v>
      </c>
      <c r="FA30" s="6">
        <f t="shared" si="44"/>
        <v>0</v>
      </c>
      <c r="FB30" s="6">
        <f t="shared" si="44"/>
        <v>0</v>
      </c>
      <c r="FC30" s="6">
        <f t="shared" si="44"/>
        <v>0</v>
      </c>
      <c r="FD30" s="6">
        <f t="shared" si="44"/>
        <v>0</v>
      </c>
      <c r="FE30" s="6">
        <f t="shared" si="44"/>
        <v>0</v>
      </c>
      <c r="FF30" s="6">
        <f t="shared" si="44"/>
        <v>0</v>
      </c>
      <c r="FG30" s="6">
        <f t="shared" si="44"/>
        <v>0</v>
      </c>
      <c r="FH30" s="6">
        <f t="shared" si="44"/>
        <v>0</v>
      </c>
      <c r="FI30" s="6">
        <f t="shared" si="44"/>
        <v>0</v>
      </c>
      <c r="FJ30" s="6">
        <f t="shared" si="44"/>
        <v>0</v>
      </c>
      <c r="FK30" s="6">
        <f t="shared" si="44"/>
        <v>0</v>
      </c>
      <c r="FL30" s="6">
        <f t="shared" si="44"/>
        <v>0</v>
      </c>
      <c r="FM30" s="6">
        <f t="shared" si="44"/>
        <v>0</v>
      </c>
      <c r="FN30" s="6">
        <f t="shared" si="44"/>
        <v>0</v>
      </c>
      <c r="FO30" s="6">
        <f t="shared" si="44"/>
        <v>0</v>
      </c>
      <c r="FP30" s="6">
        <f t="shared" si="44"/>
        <v>0</v>
      </c>
      <c r="FQ30" s="6">
        <f t="shared" si="44"/>
        <v>0</v>
      </c>
      <c r="FR30" s="6">
        <f t="shared" si="44"/>
        <v>0</v>
      </c>
      <c r="FS30" s="6">
        <f t="shared" si="44"/>
        <v>0</v>
      </c>
      <c r="FT30" s="6">
        <f t="shared" si="44"/>
        <v>0</v>
      </c>
      <c r="FU30" s="6">
        <f t="shared" si="44"/>
        <v>0</v>
      </c>
      <c r="FV30" s="6">
        <f t="shared" si="44"/>
        <v>0</v>
      </c>
      <c r="FW30" s="6">
        <f t="shared" si="44"/>
        <v>0</v>
      </c>
      <c r="FX30" s="6">
        <f t="shared" si="44"/>
        <v>0</v>
      </c>
      <c r="FY30" s="6">
        <f t="shared" si="44"/>
        <v>0</v>
      </c>
      <c r="FZ30" s="6">
        <f t="shared" si="44"/>
        <v>0</v>
      </c>
      <c r="GA30" s="6">
        <f t="shared" si="44"/>
        <v>0</v>
      </c>
      <c r="GB30" s="6">
        <f t="shared" si="44"/>
        <v>0</v>
      </c>
      <c r="GC30" s="6">
        <f t="shared" si="44"/>
        <v>0</v>
      </c>
      <c r="GD30" s="6">
        <f t="shared" si="44"/>
        <v>0</v>
      </c>
      <c r="GE30" s="6">
        <f t="shared" si="44"/>
        <v>0</v>
      </c>
      <c r="GF30" s="6">
        <f t="shared" si="44"/>
        <v>0</v>
      </c>
      <c r="GG30" s="6">
        <f t="shared" si="44"/>
        <v>0</v>
      </c>
      <c r="GH30" s="6">
        <f t="shared" si="44"/>
        <v>0</v>
      </c>
      <c r="GI30" s="6">
        <f t="shared" si="44"/>
        <v>0</v>
      </c>
      <c r="GJ30" s="6">
        <f t="shared" si="44"/>
        <v>0</v>
      </c>
      <c r="GK30" s="6">
        <f t="shared" si="44"/>
        <v>0</v>
      </c>
      <c r="GL30" s="6">
        <f t="shared" si="44"/>
        <v>0</v>
      </c>
      <c r="GM30" s="6">
        <f t="shared" si="44"/>
        <v>0</v>
      </c>
      <c r="GN30" s="6">
        <f t="shared" si="44"/>
        <v>0</v>
      </c>
      <c r="GO30" s="6">
        <f t="shared" si="44"/>
        <v>0</v>
      </c>
      <c r="GP30" s="6">
        <f t="shared" ref="GP30:JA30" si="45">GP16-GP27</f>
        <v>0</v>
      </c>
      <c r="GQ30" s="6">
        <f t="shared" si="45"/>
        <v>0</v>
      </c>
      <c r="GR30" s="6">
        <f t="shared" si="45"/>
        <v>0</v>
      </c>
      <c r="GS30" s="6">
        <f t="shared" si="45"/>
        <v>0</v>
      </c>
      <c r="GT30" s="6">
        <f t="shared" si="45"/>
        <v>0</v>
      </c>
      <c r="GU30" s="6">
        <f t="shared" si="45"/>
        <v>0</v>
      </c>
      <c r="GV30" s="6">
        <f t="shared" si="45"/>
        <v>0</v>
      </c>
      <c r="GW30" s="6">
        <f t="shared" si="45"/>
        <v>0</v>
      </c>
      <c r="GX30" s="6">
        <f t="shared" si="45"/>
        <v>0</v>
      </c>
      <c r="GY30" s="6">
        <f t="shared" si="45"/>
        <v>0</v>
      </c>
      <c r="GZ30" s="6">
        <f t="shared" si="45"/>
        <v>0</v>
      </c>
      <c r="HA30" s="6">
        <f t="shared" si="45"/>
        <v>0</v>
      </c>
      <c r="HB30" s="6">
        <f t="shared" si="45"/>
        <v>0</v>
      </c>
      <c r="HC30" s="6">
        <f t="shared" si="45"/>
        <v>0</v>
      </c>
      <c r="HD30" s="6">
        <f t="shared" si="45"/>
        <v>0</v>
      </c>
      <c r="HE30" s="6">
        <f t="shared" si="45"/>
        <v>0</v>
      </c>
      <c r="HF30" s="6">
        <f t="shared" si="45"/>
        <v>0</v>
      </c>
      <c r="HG30" s="6">
        <f t="shared" si="45"/>
        <v>0</v>
      </c>
      <c r="HH30" s="6">
        <f t="shared" si="45"/>
        <v>0</v>
      </c>
      <c r="HI30" s="6">
        <f t="shared" si="45"/>
        <v>0</v>
      </c>
      <c r="HJ30" s="6">
        <f t="shared" si="45"/>
        <v>0</v>
      </c>
      <c r="HK30" s="6">
        <f t="shared" si="45"/>
        <v>0</v>
      </c>
      <c r="HL30" s="6">
        <f t="shared" si="45"/>
        <v>0</v>
      </c>
      <c r="HM30" s="6">
        <f t="shared" si="45"/>
        <v>0</v>
      </c>
      <c r="HN30" s="6">
        <f t="shared" si="45"/>
        <v>0</v>
      </c>
      <c r="HO30" s="6">
        <f t="shared" si="45"/>
        <v>0</v>
      </c>
      <c r="HP30" s="6">
        <f t="shared" si="45"/>
        <v>0</v>
      </c>
      <c r="HQ30" s="6">
        <f t="shared" si="45"/>
        <v>0</v>
      </c>
      <c r="HR30" s="6">
        <f t="shared" si="45"/>
        <v>0</v>
      </c>
      <c r="HS30" s="6">
        <f t="shared" si="45"/>
        <v>0</v>
      </c>
      <c r="HT30" s="6">
        <f t="shared" si="45"/>
        <v>0</v>
      </c>
      <c r="HU30" s="6">
        <f t="shared" si="45"/>
        <v>0</v>
      </c>
      <c r="HV30" s="6">
        <f t="shared" si="45"/>
        <v>0</v>
      </c>
      <c r="HW30" s="6">
        <f t="shared" si="45"/>
        <v>0</v>
      </c>
      <c r="HX30" s="6">
        <f t="shared" si="45"/>
        <v>0</v>
      </c>
      <c r="HY30" s="6">
        <f t="shared" si="45"/>
        <v>0</v>
      </c>
      <c r="HZ30" s="6">
        <f t="shared" si="45"/>
        <v>0</v>
      </c>
      <c r="IA30" s="6">
        <f t="shared" si="45"/>
        <v>0</v>
      </c>
      <c r="IB30" s="6">
        <f t="shared" si="45"/>
        <v>0</v>
      </c>
      <c r="IC30" s="6">
        <f t="shared" si="45"/>
        <v>0</v>
      </c>
      <c r="ID30" s="6">
        <f t="shared" si="45"/>
        <v>0</v>
      </c>
      <c r="IE30" s="6">
        <f t="shared" si="45"/>
        <v>0</v>
      </c>
      <c r="IF30" s="6">
        <f t="shared" si="45"/>
        <v>0</v>
      </c>
      <c r="IG30" s="6">
        <f t="shared" si="45"/>
        <v>0</v>
      </c>
      <c r="IH30" s="6">
        <f t="shared" si="45"/>
        <v>0</v>
      </c>
      <c r="II30" s="6">
        <f t="shared" si="45"/>
        <v>0</v>
      </c>
      <c r="IJ30" s="6">
        <f t="shared" si="45"/>
        <v>0</v>
      </c>
      <c r="IK30" s="6">
        <f t="shared" si="45"/>
        <v>0</v>
      </c>
      <c r="IL30" s="6">
        <f t="shared" si="45"/>
        <v>0</v>
      </c>
      <c r="IM30" s="6">
        <f t="shared" si="45"/>
        <v>0</v>
      </c>
      <c r="IN30" s="6">
        <f t="shared" si="45"/>
        <v>0</v>
      </c>
      <c r="IO30" s="6">
        <f t="shared" si="45"/>
        <v>0</v>
      </c>
      <c r="IP30" s="6">
        <f t="shared" si="45"/>
        <v>0</v>
      </c>
      <c r="IQ30" s="6">
        <f t="shared" si="45"/>
        <v>0</v>
      </c>
      <c r="IR30" s="6">
        <f t="shared" si="45"/>
        <v>0</v>
      </c>
      <c r="IS30" s="6">
        <f t="shared" si="45"/>
        <v>0</v>
      </c>
      <c r="IT30" s="6">
        <f t="shared" si="45"/>
        <v>0</v>
      </c>
      <c r="IU30" s="6">
        <f t="shared" si="45"/>
        <v>0</v>
      </c>
      <c r="IV30" s="6">
        <f t="shared" si="45"/>
        <v>0</v>
      </c>
      <c r="IW30" s="6">
        <f t="shared" si="45"/>
        <v>0</v>
      </c>
      <c r="IX30" s="6">
        <f t="shared" si="45"/>
        <v>0</v>
      </c>
      <c r="IY30" s="6">
        <f t="shared" si="45"/>
        <v>0</v>
      </c>
      <c r="IZ30" s="6">
        <f t="shared" si="45"/>
        <v>0</v>
      </c>
      <c r="JA30" s="6">
        <f t="shared" si="45"/>
        <v>0</v>
      </c>
      <c r="JB30" s="6">
        <f t="shared" ref="JB30:KS30" si="46">JB16-JB27</f>
        <v>0</v>
      </c>
      <c r="JC30" s="6">
        <f t="shared" si="46"/>
        <v>0</v>
      </c>
      <c r="JD30" s="6">
        <f t="shared" si="46"/>
        <v>0</v>
      </c>
      <c r="JE30" s="6">
        <f t="shared" si="46"/>
        <v>0</v>
      </c>
      <c r="JF30" s="6">
        <f t="shared" si="46"/>
        <v>0</v>
      </c>
      <c r="JG30" s="6">
        <f t="shared" si="46"/>
        <v>0</v>
      </c>
      <c r="JH30" s="6">
        <f t="shared" si="46"/>
        <v>0</v>
      </c>
      <c r="JI30" s="6">
        <f t="shared" si="46"/>
        <v>0</v>
      </c>
      <c r="JJ30" s="6">
        <f t="shared" si="46"/>
        <v>0</v>
      </c>
      <c r="JK30" s="6">
        <f t="shared" si="46"/>
        <v>0</v>
      </c>
      <c r="JL30" s="6">
        <f t="shared" si="46"/>
        <v>0</v>
      </c>
      <c r="JM30" s="6">
        <f t="shared" si="46"/>
        <v>0</v>
      </c>
      <c r="JN30" s="6">
        <f t="shared" si="46"/>
        <v>0</v>
      </c>
      <c r="JO30" s="6">
        <f t="shared" si="46"/>
        <v>0</v>
      </c>
      <c r="JP30" s="6">
        <f t="shared" si="46"/>
        <v>0</v>
      </c>
      <c r="JQ30" s="6">
        <f t="shared" si="46"/>
        <v>0</v>
      </c>
      <c r="JR30" s="6">
        <f t="shared" si="46"/>
        <v>0</v>
      </c>
      <c r="JS30" s="6">
        <f t="shared" si="46"/>
        <v>0</v>
      </c>
      <c r="JT30" s="6">
        <f t="shared" si="46"/>
        <v>0</v>
      </c>
      <c r="JU30" s="6">
        <f t="shared" si="46"/>
        <v>0</v>
      </c>
      <c r="JV30" s="6">
        <f t="shared" si="46"/>
        <v>0</v>
      </c>
      <c r="JW30" s="6">
        <f t="shared" si="46"/>
        <v>0</v>
      </c>
      <c r="JX30" s="6">
        <f t="shared" si="46"/>
        <v>0</v>
      </c>
      <c r="JY30" s="6">
        <f t="shared" si="46"/>
        <v>0</v>
      </c>
      <c r="JZ30" s="6">
        <f t="shared" si="46"/>
        <v>0</v>
      </c>
      <c r="KA30" s="6">
        <f t="shared" si="46"/>
        <v>0</v>
      </c>
      <c r="KB30" s="6">
        <f t="shared" si="46"/>
        <v>0</v>
      </c>
      <c r="KC30" s="6">
        <f t="shared" si="46"/>
        <v>0</v>
      </c>
      <c r="KD30" s="6">
        <f t="shared" si="46"/>
        <v>0</v>
      </c>
      <c r="KE30" s="6">
        <f t="shared" si="46"/>
        <v>0</v>
      </c>
      <c r="KF30" s="6">
        <f t="shared" si="46"/>
        <v>0</v>
      </c>
      <c r="KG30" s="6">
        <f t="shared" si="46"/>
        <v>0</v>
      </c>
      <c r="KH30" s="6">
        <f t="shared" si="46"/>
        <v>0</v>
      </c>
      <c r="KI30" s="6">
        <f t="shared" si="46"/>
        <v>0</v>
      </c>
      <c r="KJ30" s="6">
        <f t="shared" si="46"/>
        <v>0</v>
      </c>
      <c r="KK30" s="6">
        <f t="shared" si="46"/>
        <v>0</v>
      </c>
      <c r="KL30" s="6">
        <f t="shared" si="46"/>
        <v>0</v>
      </c>
      <c r="KM30" s="6">
        <f t="shared" si="46"/>
        <v>0</v>
      </c>
      <c r="KN30" s="6">
        <f t="shared" si="46"/>
        <v>0</v>
      </c>
      <c r="KO30" s="6">
        <f t="shared" si="46"/>
        <v>0</v>
      </c>
      <c r="KP30" s="6">
        <f t="shared" si="46"/>
        <v>0</v>
      </c>
      <c r="KQ30" s="6">
        <f t="shared" si="46"/>
        <v>0</v>
      </c>
      <c r="KR30" s="6">
        <f t="shared" si="46"/>
        <v>0</v>
      </c>
      <c r="KS30" s="6">
        <f t="shared" si="46"/>
        <v>0</v>
      </c>
    </row>
    <row r="31" spans="2:16384">
      <c r="B31" s="21"/>
      <c r="C31" s="2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</row>
    <row r="32" spans="2:16384" s="7" customFormat="1">
      <c r="B32" s="28" t="s">
        <v>30</v>
      </c>
      <c r="C32" s="31">
        <f>IRR(E32:KS32)*12</f>
        <v>5.1148062946216655E-2</v>
      </c>
      <c r="E32" s="9">
        <f>-E25-E27</f>
        <v>-163200</v>
      </c>
      <c r="F32" s="9">
        <f t="shared" ref="F32:BQ32" si="47">-F25-F27</f>
        <v>1650</v>
      </c>
      <c r="G32" s="9">
        <f t="shared" si="47"/>
        <v>1650</v>
      </c>
      <c r="H32" s="9">
        <f t="shared" si="47"/>
        <v>1650</v>
      </c>
      <c r="I32" s="9">
        <f t="shared" si="47"/>
        <v>1650</v>
      </c>
      <c r="J32" s="9">
        <f t="shared" si="47"/>
        <v>1650</v>
      </c>
      <c r="K32" s="9">
        <f t="shared" si="47"/>
        <v>1650</v>
      </c>
      <c r="L32" s="9">
        <f t="shared" si="47"/>
        <v>1650</v>
      </c>
      <c r="M32" s="9">
        <f t="shared" si="47"/>
        <v>1650</v>
      </c>
      <c r="N32" s="9">
        <f t="shared" si="47"/>
        <v>1650</v>
      </c>
      <c r="O32" s="9">
        <f t="shared" si="47"/>
        <v>1650</v>
      </c>
      <c r="P32" s="9">
        <f t="shared" si="47"/>
        <v>2165</v>
      </c>
      <c r="Q32" s="9">
        <f t="shared" si="47"/>
        <v>2321</v>
      </c>
      <c r="R32" s="9">
        <f t="shared" si="47"/>
        <v>2321</v>
      </c>
      <c r="S32" s="9">
        <f t="shared" si="47"/>
        <v>2321</v>
      </c>
      <c r="T32" s="9">
        <f t="shared" si="47"/>
        <v>2321</v>
      </c>
      <c r="U32" s="9">
        <f t="shared" si="47"/>
        <v>2321</v>
      </c>
      <c r="V32" s="9">
        <f t="shared" si="47"/>
        <v>2321</v>
      </c>
      <c r="W32" s="9">
        <f t="shared" si="47"/>
        <v>2321</v>
      </c>
      <c r="X32" s="9">
        <f t="shared" si="47"/>
        <v>2321</v>
      </c>
      <c r="Y32" s="9">
        <f t="shared" si="47"/>
        <v>2321</v>
      </c>
      <c r="Z32" s="9">
        <f t="shared" si="47"/>
        <v>2321</v>
      </c>
      <c r="AA32" s="9">
        <f t="shared" si="47"/>
        <v>2321</v>
      </c>
      <c r="AB32" s="9">
        <f t="shared" si="47"/>
        <v>2321</v>
      </c>
      <c r="AC32" s="9">
        <f t="shared" si="47"/>
        <v>2480.12</v>
      </c>
      <c r="AD32" s="9">
        <f t="shared" si="47"/>
        <v>2480.12</v>
      </c>
      <c r="AE32" s="9">
        <f t="shared" si="47"/>
        <v>2480.12</v>
      </c>
      <c r="AF32" s="9">
        <f t="shared" si="47"/>
        <v>2480.12</v>
      </c>
      <c r="AG32" s="9">
        <f t="shared" si="47"/>
        <v>2480.12</v>
      </c>
      <c r="AH32" s="9">
        <f t="shared" si="47"/>
        <v>2480.12</v>
      </c>
      <c r="AI32" s="9">
        <f t="shared" si="47"/>
        <v>2480.12</v>
      </c>
      <c r="AJ32" s="9">
        <f t="shared" si="47"/>
        <v>2480.12</v>
      </c>
      <c r="AK32" s="9">
        <f t="shared" si="47"/>
        <v>2480.12</v>
      </c>
      <c r="AL32" s="9">
        <f t="shared" si="47"/>
        <v>2480.12</v>
      </c>
      <c r="AM32" s="9">
        <f t="shared" si="47"/>
        <v>2480.12</v>
      </c>
      <c r="AN32" s="9">
        <f t="shared" si="47"/>
        <v>2480.12</v>
      </c>
      <c r="AO32" s="9">
        <f t="shared" si="47"/>
        <v>258.68779999999998</v>
      </c>
      <c r="AP32" s="9">
        <f t="shared" si="47"/>
        <v>1308.6227899999999</v>
      </c>
      <c r="AQ32" s="9">
        <f t="shared" si="47"/>
        <v>861.13809000000003</v>
      </c>
      <c r="AR32" s="9">
        <f t="shared" si="47"/>
        <v>494.80500999999998</v>
      </c>
      <c r="AS32" s="9">
        <f t="shared" si="47"/>
        <v>1472.1238000000001</v>
      </c>
      <c r="AT32" s="9">
        <f t="shared" si="47"/>
        <v>147.37223</v>
      </c>
      <c r="AU32" s="9">
        <f t="shared" si="47"/>
        <v>1275.2013400000001</v>
      </c>
      <c r="AV32" s="9">
        <f t="shared" si="47"/>
        <v>1024.56223</v>
      </c>
      <c r="AW32" s="9">
        <f t="shared" si="47"/>
        <v>1488.32266</v>
      </c>
      <c r="AX32" s="9">
        <f t="shared" si="47"/>
        <v>1699.7643399999999</v>
      </c>
      <c r="AY32" s="9">
        <f t="shared" si="47"/>
        <v>2642.3755999999998</v>
      </c>
      <c r="AZ32" s="9">
        <f t="shared" si="47"/>
        <v>2642.3755999999998</v>
      </c>
      <c r="BA32" s="9">
        <f t="shared" si="47"/>
        <v>2807.7789699999998</v>
      </c>
      <c r="BB32" s="9">
        <f t="shared" si="47"/>
        <v>2807.7789699999998</v>
      </c>
      <c r="BC32" s="9">
        <f t="shared" si="47"/>
        <v>2807.7789699999998</v>
      </c>
      <c r="BD32" s="9">
        <f t="shared" si="47"/>
        <v>2807.7789699999998</v>
      </c>
      <c r="BE32" s="9">
        <f t="shared" si="47"/>
        <v>2807.7789699999998</v>
      </c>
      <c r="BF32" s="9">
        <f t="shared" si="47"/>
        <v>2807.7789699999998</v>
      </c>
      <c r="BG32" s="9">
        <f t="shared" si="47"/>
        <v>2807.7789699999998</v>
      </c>
      <c r="BH32" s="9">
        <f t="shared" si="47"/>
        <v>2807.7789699999998</v>
      </c>
      <c r="BI32" s="9">
        <f t="shared" si="47"/>
        <v>2807.7789699999998</v>
      </c>
      <c r="BJ32" s="9">
        <f t="shared" si="47"/>
        <v>2807.7789699999998</v>
      </c>
      <c r="BK32" s="9">
        <f t="shared" si="47"/>
        <v>2807.7789699999998</v>
      </c>
      <c r="BL32" s="9">
        <f t="shared" si="47"/>
        <v>2807.7789699999998</v>
      </c>
      <c r="BM32" s="9">
        <f t="shared" si="47"/>
        <v>2976.3385400000002</v>
      </c>
      <c r="BN32" s="9">
        <f t="shared" si="47"/>
        <v>2976.3385400000002</v>
      </c>
      <c r="BO32" s="9">
        <f t="shared" si="47"/>
        <v>2976.3385400000002</v>
      </c>
      <c r="BP32" s="9">
        <f t="shared" si="47"/>
        <v>2976.3385400000002</v>
      </c>
      <c r="BQ32" s="9">
        <f t="shared" si="47"/>
        <v>2976.3385400000002</v>
      </c>
      <c r="BR32" s="9">
        <f t="shared" ref="BR32:EC32" si="48">-BR25-BR27</f>
        <v>2976.3385400000002</v>
      </c>
      <c r="BS32" s="9">
        <f t="shared" si="48"/>
        <v>2976.3385400000002</v>
      </c>
      <c r="BT32" s="9">
        <f t="shared" si="48"/>
        <v>2976.3385400000002</v>
      </c>
      <c r="BU32" s="9">
        <f t="shared" si="48"/>
        <v>2976.3385400000002</v>
      </c>
      <c r="BV32" s="9">
        <f t="shared" si="48"/>
        <v>2976.3385400000002</v>
      </c>
      <c r="BW32" s="9">
        <f t="shared" si="48"/>
        <v>2976.3385400000002</v>
      </c>
      <c r="BX32" s="9">
        <f t="shared" si="48"/>
        <v>2976.3385400000002</v>
      </c>
      <c r="BY32" s="9">
        <f t="shared" si="48"/>
        <v>3148.0587099999998</v>
      </c>
      <c r="BZ32" s="9">
        <f t="shared" si="48"/>
        <v>3148.0587099999998</v>
      </c>
      <c r="CA32" s="9">
        <f t="shared" si="48"/>
        <v>3148.0587099999998</v>
      </c>
      <c r="CB32" s="9">
        <f t="shared" si="48"/>
        <v>3148.0587099999998</v>
      </c>
      <c r="CC32" s="9">
        <f t="shared" si="48"/>
        <v>3148.0587099999998</v>
      </c>
      <c r="CD32" s="9">
        <f t="shared" si="48"/>
        <v>3148.0587099999998</v>
      </c>
      <c r="CE32" s="9">
        <f t="shared" si="48"/>
        <v>3148.0587099999998</v>
      </c>
      <c r="CF32" s="9">
        <f t="shared" si="48"/>
        <v>3148.0587099999998</v>
      </c>
      <c r="CG32" s="9">
        <f t="shared" si="48"/>
        <v>3148.0587099999998</v>
      </c>
      <c r="CH32" s="9">
        <f t="shared" si="48"/>
        <v>3148.0587099999998</v>
      </c>
      <c r="CI32" s="9">
        <f t="shared" si="48"/>
        <v>3148.0587099999998</v>
      </c>
      <c r="CJ32" s="9">
        <f t="shared" si="48"/>
        <v>1874.8575311471498</v>
      </c>
      <c r="CK32" s="9">
        <f t="shared" si="48"/>
        <v>0</v>
      </c>
      <c r="CL32" s="9">
        <f t="shared" si="48"/>
        <v>0</v>
      </c>
      <c r="CM32" s="9">
        <f t="shared" si="48"/>
        <v>0</v>
      </c>
      <c r="CN32" s="9">
        <f t="shared" si="48"/>
        <v>0</v>
      </c>
      <c r="CO32" s="9">
        <f t="shared" si="48"/>
        <v>0</v>
      </c>
      <c r="CP32" s="9">
        <f t="shared" si="48"/>
        <v>0</v>
      </c>
      <c r="CQ32" s="9">
        <f t="shared" si="48"/>
        <v>0</v>
      </c>
      <c r="CR32" s="9">
        <f t="shared" si="48"/>
        <v>0</v>
      </c>
      <c r="CS32" s="9">
        <f t="shared" si="48"/>
        <v>0</v>
      </c>
      <c r="CT32" s="9">
        <f t="shared" si="48"/>
        <v>0</v>
      </c>
      <c r="CU32" s="9">
        <f t="shared" si="48"/>
        <v>0</v>
      </c>
      <c r="CV32" s="9">
        <f t="shared" si="48"/>
        <v>0</v>
      </c>
      <c r="CW32" s="9">
        <f t="shared" si="48"/>
        <v>0</v>
      </c>
      <c r="CX32" s="9">
        <f t="shared" si="48"/>
        <v>0</v>
      </c>
      <c r="CY32" s="9">
        <f t="shared" si="48"/>
        <v>0</v>
      </c>
      <c r="CZ32" s="9">
        <f t="shared" si="48"/>
        <v>0</v>
      </c>
      <c r="DA32" s="9">
        <f t="shared" si="48"/>
        <v>0</v>
      </c>
      <c r="DB32" s="9">
        <f t="shared" si="48"/>
        <v>0</v>
      </c>
      <c r="DC32" s="9">
        <f t="shared" si="48"/>
        <v>0</v>
      </c>
      <c r="DD32" s="9">
        <f t="shared" si="48"/>
        <v>0</v>
      </c>
      <c r="DE32" s="9">
        <f t="shared" si="48"/>
        <v>0</v>
      </c>
      <c r="DF32" s="9">
        <f t="shared" si="48"/>
        <v>0</v>
      </c>
      <c r="DG32" s="9">
        <f t="shared" si="48"/>
        <v>0</v>
      </c>
      <c r="DH32" s="9">
        <f t="shared" si="48"/>
        <v>0</v>
      </c>
      <c r="DI32" s="9">
        <f t="shared" si="48"/>
        <v>0</v>
      </c>
      <c r="DJ32" s="9">
        <f t="shared" si="48"/>
        <v>0</v>
      </c>
      <c r="DK32" s="9">
        <f t="shared" si="48"/>
        <v>0</v>
      </c>
      <c r="DL32" s="9">
        <f t="shared" si="48"/>
        <v>0</v>
      </c>
      <c r="DM32" s="9">
        <f t="shared" si="48"/>
        <v>0</v>
      </c>
      <c r="DN32" s="9">
        <f t="shared" si="48"/>
        <v>0</v>
      </c>
      <c r="DO32" s="9">
        <f t="shared" si="48"/>
        <v>0</v>
      </c>
      <c r="DP32" s="9">
        <f t="shared" si="48"/>
        <v>0</v>
      </c>
      <c r="DQ32" s="9">
        <f t="shared" si="48"/>
        <v>0</v>
      </c>
      <c r="DR32" s="9">
        <f t="shared" si="48"/>
        <v>0</v>
      </c>
      <c r="DS32" s="9">
        <f t="shared" si="48"/>
        <v>0</v>
      </c>
      <c r="DT32" s="9">
        <f t="shared" si="48"/>
        <v>0</v>
      </c>
      <c r="DU32" s="9">
        <f t="shared" si="48"/>
        <v>0</v>
      </c>
      <c r="DV32" s="9">
        <f t="shared" si="48"/>
        <v>0</v>
      </c>
      <c r="DW32" s="9">
        <f t="shared" si="48"/>
        <v>0</v>
      </c>
      <c r="DX32" s="9">
        <f t="shared" si="48"/>
        <v>0</v>
      </c>
      <c r="DY32" s="9">
        <f t="shared" si="48"/>
        <v>0</v>
      </c>
      <c r="DZ32" s="9">
        <f t="shared" si="48"/>
        <v>0</v>
      </c>
      <c r="EA32" s="9">
        <f t="shared" si="48"/>
        <v>0</v>
      </c>
      <c r="EB32" s="9">
        <f t="shared" si="48"/>
        <v>0</v>
      </c>
      <c r="EC32" s="9">
        <f t="shared" si="48"/>
        <v>0</v>
      </c>
      <c r="ED32" s="9">
        <f t="shared" ref="ED32:GO32" si="49">-ED25-ED27</f>
        <v>0</v>
      </c>
      <c r="EE32" s="9">
        <f t="shared" si="49"/>
        <v>0</v>
      </c>
      <c r="EF32" s="9">
        <f t="shared" si="49"/>
        <v>0</v>
      </c>
      <c r="EG32" s="9">
        <f t="shared" si="49"/>
        <v>0</v>
      </c>
      <c r="EH32" s="9">
        <f t="shared" si="49"/>
        <v>0</v>
      </c>
      <c r="EI32" s="9">
        <f t="shared" si="49"/>
        <v>0</v>
      </c>
      <c r="EJ32" s="9">
        <f t="shared" si="49"/>
        <v>0</v>
      </c>
      <c r="EK32" s="9">
        <f t="shared" si="49"/>
        <v>0</v>
      </c>
      <c r="EL32" s="9">
        <f t="shared" si="49"/>
        <v>0</v>
      </c>
      <c r="EM32" s="9">
        <f t="shared" si="49"/>
        <v>0</v>
      </c>
      <c r="EN32" s="9">
        <f t="shared" si="49"/>
        <v>0</v>
      </c>
      <c r="EO32" s="9">
        <f t="shared" si="49"/>
        <v>0</v>
      </c>
      <c r="EP32" s="9">
        <f t="shared" si="49"/>
        <v>0</v>
      </c>
      <c r="EQ32" s="9">
        <f t="shared" si="49"/>
        <v>0</v>
      </c>
      <c r="ER32" s="9">
        <f t="shared" si="49"/>
        <v>0</v>
      </c>
      <c r="ES32" s="9">
        <f t="shared" si="49"/>
        <v>0</v>
      </c>
      <c r="ET32" s="9">
        <f t="shared" si="49"/>
        <v>0</v>
      </c>
      <c r="EU32" s="9">
        <f t="shared" si="49"/>
        <v>0</v>
      </c>
      <c r="EV32" s="9">
        <f t="shared" si="49"/>
        <v>0</v>
      </c>
      <c r="EW32" s="9">
        <f t="shared" si="49"/>
        <v>0</v>
      </c>
      <c r="EX32" s="9">
        <f t="shared" si="49"/>
        <v>0</v>
      </c>
      <c r="EY32" s="9">
        <f t="shared" si="49"/>
        <v>0</v>
      </c>
      <c r="EZ32" s="9">
        <f t="shared" si="49"/>
        <v>0</v>
      </c>
      <c r="FA32" s="9">
        <f t="shared" si="49"/>
        <v>0</v>
      </c>
      <c r="FB32" s="9">
        <f t="shared" si="49"/>
        <v>0</v>
      </c>
      <c r="FC32" s="9">
        <f t="shared" si="49"/>
        <v>0</v>
      </c>
      <c r="FD32" s="9">
        <f t="shared" si="49"/>
        <v>0</v>
      </c>
      <c r="FE32" s="9">
        <f t="shared" si="49"/>
        <v>0</v>
      </c>
      <c r="FF32" s="9">
        <f t="shared" si="49"/>
        <v>0</v>
      </c>
      <c r="FG32" s="9">
        <f t="shared" si="49"/>
        <v>0</v>
      </c>
      <c r="FH32" s="9">
        <f t="shared" si="49"/>
        <v>0</v>
      </c>
      <c r="FI32" s="9">
        <f t="shared" si="49"/>
        <v>0</v>
      </c>
      <c r="FJ32" s="9">
        <f t="shared" si="49"/>
        <v>0</v>
      </c>
      <c r="FK32" s="9">
        <f t="shared" si="49"/>
        <v>0</v>
      </c>
      <c r="FL32" s="9">
        <f t="shared" si="49"/>
        <v>0</v>
      </c>
      <c r="FM32" s="9">
        <f t="shared" si="49"/>
        <v>0</v>
      </c>
      <c r="FN32" s="9">
        <f t="shared" si="49"/>
        <v>0</v>
      </c>
      <c r="FO32" s="9">
        <f t="shared" si="49"/>
        <v>0</v>
      </c>
      <c r="FP32" s="9">
        <f t="shared" si="49"/>
        <v>0</v>
      </c>
      <c r="FQ32" s="9">
        <f t="shared" si="49"/>
        <v>0</v>
      </c>
      <c r="FR32" s="9">
        <f t="shared" si="49"/>
        <v>0</v>
      </c>
      <c r="FS32" s="9">
        <f t="shared" si="49"/>
        <v>0</v>
      </c>
      <c r="FT32" s="9">
        <f t="shared" si="49"/>
        <v>0</v>
      </c>
      <c r="FU32" s="9">
        <f t="shared" si="49"/>
        <v>0</v>
      </c>
      <c r="FV32" s="9">
        <f t="shared" si="49"/>
        <v>0</v>
      </c>
      <c r="FW32" s="9">
        <f t="shared" si="49"/>
        <v>0</v>
      </c>
      <c r="FX32" s="9">
        <f t="shared" si="49"/>
        <v>0</v>
      </c>
      <c r="FY32" s="9">
        <f t="shared" si="49"/>
        <v>0</v>
      </c>
      <c r="FZ32" s="9">
        <f t="shared" si="49"/>
        <v>0</v>
      </c>
      <c r="GA32" s="9">
        <f t="shared" si="49"/>
        <v>0</v>
      </c>
      <c r="GB32" s="9">
        <f t="shared" si="49"/>
        <v>0</v>
      </c>
      <c r="GC32" s="9">
        <f t="shared" si="49"/>
        <v>0</v>
      </c>
      <c r="GD32" s="9">
        <f t="shared" si="49"/>
        <v>0</v>
      </c>
      <c r="GE32" s="9">
        <f t="shared" si="49"/>
        <v>0</v>
      </c>
      <c r="GF32" s="9">
        <f t="shared" si="49"/>
        <v>0</v>
      </c>
      <c r="GG32" s="9">
        <f t="shared" si="49"/>
        <v>0</v>
      </c>
      <c r="GH32" s="9">
        <f t="shared" si="49"/>
        <v>0</v>
      </c>
      <c r="GI32" s="9">
        <f t="shared" si="49"/>
        <v>0</v>
      </c>
      <c r="GJ32" s="9">
        <f t="shared" si="49"/>
        <v>0</v>
      </c>
      <c r="GK32" s="9">
        <f t="shared" si="49"/>
        <v>0</v>
      </c>
      <c r="GL32" s="9">
        <f t="shared" si="49"/>
        <v>0</v>
      </c>
      <c r="GM32" s="9">
        <f t="shared" si="49"/>
        <v>0</v>
      </c>
      <c r="GN32" s="9">
        <f t="shared" si="49"/>
        <v>0</v>
      </c>
      <c r="GO32" s="9">
        <f t="shared" si="49"/>
        <v>0</v>
      </c>
      <c r="GP32" s="9">
        <f t="shared" ref="GP32:JA32" si="50">-GP25-GP27</f>
        <v>0</v>
      </c>
      <c r="GQ32" s="9">
        <f t="shared" si="50"/>
        <v>0</v>
      </c>
      <c r="GR32" s="9">
        <f t="shared" si="50"/>
        <v>0</v>
      </c>
      <c r="GS32" s="9">
        <f t="shared" si="50"/>
        <v>0</v>
      </c>
      <c r="GT32" s="9">
        <f t="shared" si="50"/>
        <v>0</v>
      </c>
      <c r="GU32" s="9">
        <f t="shared" si="50"/>
        <v>0</v>
      </c>
      <c r="GV32" s="9">
        <f t="shared" si="50"/>
        <v>0</v>
      </c>
      <c r="GW32" s="9">
        <f t="shared" si="50"/>
        <v>0</v>
      </c>
      <c r="GX32" s="9">
        <f t="shared" si="50"/>
        <v>0</v>
      </c>
      <c r="GY32" s="9">
        <f t="shared" si="50"/>
        <v>0</v>
      </c>
      <c r="GZ32" s="9">
        <f t="shared" si="50"/>
        <v>0</v>
      </c>
      <c r="HA32" s="9">
        <f t="shared" si="50"/>
        <v>0</v>
      </c>
      <c r="HB32" s="9">
        <f t="shared" si="50"/>
        <v>0</v>
      </c>
      <c r="HC32" s="9">
        <f t="shared" si="50"/>
        <v>0</v>
      </c>
      <c r="HD32" s="9">
        <f t="shared" si="50"/>
        <v>0</v>
      </c>
      <c r="HE32" s="9">
        <f t="shared" si="50"/>
        <v>0</v>
      </c>
      <c r="HF32" s="9">
        <f t="shared" si="50"/>
        <v>0</v>
      </c>
      <c r="HG32" s="9">
        <f t="shared" si="50"/>
        <v>0</v>
      </c>
      <c r="HH32" s="9">
        <f t="shared" si="50"/>
        <v>0</v>
      </c>
      <c r="HI32" s="9">
        <f t="shared" si="50"/>
        <v>0</v>
      </c>
      <c r="HJ32" s="9">
        <f t="shared" si="50"/>
        <v>0</v>
      </c>
      <c r="HK32" s="9">
        <f t="shared" si="50"/>
        <v>0</v>
      </c>
      <c r="HL32" s="9">
        <f t="shared" si="50"/>
        <v>0</v>
      </c>
      <c r="HM32" s="9">
        <f t="shared" si="50"/>
        <v>0</v>
      </c>
      <c r="HN32" s="9">
        <f t="shared" si="50"/>
        <v>0</v>
      </c>
      <c r="HO32" s="9">
        <f t="shared" si="50"/>
        <v>0</v>
      </c>
      <c r="HP32" s="9">
        <f t="shared" si="50"/>
        <v>0</v>
      </c>
      <c r="HQ32" s="9">
        <f t="shared" si="50"/>
        <v>0</v>
      </c>
      <c r="HR32" s="9">
        <f t="shared" si="50"/>
        <v>0</v>
      </c>
      <c r="HS32" s="9">
        <f t="shared" si="50"/>
        <v>0</v>
      </c>
      <c r="HT32" s="9">
        <f t="shared" si="50"/>
        <v>0</v>
      </c>
      <c r="HU32" s="9">
        <f t="shared" si="50"/>
        <v>0</v>
      </c>
      <c r="HV32" s="9">
        <f t="shared" si="50"/>
        <v>0</v>
      </c>
      <c r="HW32" s="9">
        <f t="shared" si="50"/>
        <v>0</v>
      </c>
      <c r="HX32" s="9">
        <f t="shared" si="50"/>
        <v>0</v>
      </c>
      <c r="HY32" s="9">
        <f t="shared" si="50"/>
        <v>0</v>
      </c>
      <c r="HZ32" s="9">
        <f t="shared" si="50"/>
        <v>0</v>
      </c>
      <c r="IA32" s="9">
        <f t="shared" si="50"/>
        <v>0</v>
      </c>
      <c r="IB32" s="9">
        <f t="shared" si="50"/>
        <v>0</v>
      </c>
      <c r="IC32" s="9">
        <f t="shared" si="50"/>
        <v>0</v>
      </c>
      <c r="ID32" s="9">
        <f t="shared" si="50"/>
        <v>0</v>
      </c>
      <c r="IE32" s="9">
        <f t="shared" si="50"/>
        <v>0</v>
      </c>
      <c r="IF32" s="9">
        <f t="shared" si="50"/>
        <v>0</v>
      </c>
      <c r="IG32" s="9">
        <f t="shared" si="50"/>
        <v>0</v>
      </c>
      <c r="IH32" s="9">
        <f t="shared" si="50"/>
        <v>0</v>
      </c>
      <c r="II32" s="9">
        <f t="shared" si="50"/>
        <v>0</v>
      </c>
      <c r="IJ32" s="9">
        <f t="shared" si="50"/>
        <v>0</v>
      </c>
      <c r="IK32" s="9">
        <f t="shared" si="50"/>
        <v>0</v>
      </c>
      <c r="IL32" s="9">
        <f t="shared" si="50"/>
        <v>0</v>
      </c>
      <c r="IM32" s="9">
        <f t="shared" si="50"/>
        <v>0</v>
      </c>
      <c r="IN32" s="9">
        <f t="shared" si="50"/>
        <v>0</v>
      </c>
      <c r="IO32" s="9">
        <f t="shared" si="50"/>
        <v>0</v>
      </c>
      <c r="IP32" s="9">
        <f t="shared" si="50"/>
        <v>0</v>
      </c>
      <c r="IQ32" s="9">
        <f t="shared" si="50"/>
        <v>0</v>
      </c>
      <c r="IR32" s="9">
        <f t="shared" si="50"/>
        <v>0</v>
      </c>
      <c r="IS32" s="9">
        <f t="shared" si="50"/>
        <v>0</v>
      </c>
      <c r="IT32" s="9">
        <f t="shared" si="50"/>
        <v>0</v>
      </c>
      <c r="IU32" s="9">
        <f t="shared" si="50"/>
        <v>0</v>
      </c>
      <c r="IV32" s="9">
        <f t="shared" si="50"/>
        <v>0</v>
      </c>
      <c r="IW32" s="9">
        <f t="shared" si="50"/>
        <v>0</v>
      </c>
      <c r="IX32" s="9">
        <f t="shared" si="50"/>
        <v>0</v>
      </c>
      <c r="IY32" s="9">
        <f t="shared" si="50"/>
        <v>0</v>
      </c>
      <c r="IZ32" s="9">
        <f t="shared" si="50"/>
        <v>0</v>
      </c>
      <c r="JA32" s="9">
        <f t="shared" si="50"/>
        <v>0</v>
      </c>
      <c r="JB32" s="9">
        <f t="shared" ref="JB32:KS32" si="51">-JB25-JB27</f>
        <v>0</v>
      </c>
      <c r="JC32" s="9">
        <f t="shared" si="51"/>
        <v>0</v>
      </c>
      <c r="JD32" s="9">
        <f t="shared" si="51"/>
        <v>0</v>
      </c>
      <c r="JE32" s="9">
        <f t="shared" si="51"/>
        <v>0</v>
      </c>
      <c r="JF32" s="9">
        <f t="shared" si="51"/>
        <v>0</v>
      </c>
      <c r="JG32" s="9">
        <f t="shared" si="51"/>
        <v>0</v>
      </c>
      <c r="JH32" s="9">
        <f t="shared" si="51"/>
        <v>0</v>
      </c>
      <c r="JI32" s="9">
        <f t="shared" si="51"/>
        <v>0</v>
      </c>
      <c r="JJ32" s="9">
        <f t="shared" si="51"/>
        <v>0</v>
      </c>
      <c r="JK32" s="9">
        <f t="shared" si="51"/>
        <v>0</v>
      </c>
      <c r="JL32" s="9">
        <f t="shared" si="51"/>
        <v>0</v>
      </c>
      <c r="JM32" s="9">
        <f t="shared" si="51"/>
        <v>0</v>
      </c>
      <c r="JN32" s="9">
        <f t="shared" si="51"/>
        <v>0</v>
      </c>
      <c r="JO32" s="9">
        <f t="shared" si="51"/>
        <v>0</v>
      </c>
      <c r="JP32" s="9">
        <f t="shared" si="51"/>
        <v>0</v>
      </c>
      <c r="JQ32" s="9">
        <f t="shared" si="51"/>
        <v>0</v>
      </c>
      <c r="JR32" s="9">
        <f t="shared" si="51"/>
        <v>0</v>
      </c>
      <c r="JS32" s="9">
        <f t="shared" si="51"/>
        <v>0</v>
      </c>
      <c r="JT32" s="9">
        <f t="shared" si="51"/>
        <v>0</v>
      </c>
      <c r="JU32" s="9">
        <f t="shared" si="51"/>
        <v>0</v>
      </c>
      <c r="JV32" s="9">
        <f t="shared" si="51"/>
        <v>0</v>
      </c>
      <c r="JW32" s="9">
        <f t="shared" si="51"/>
        <v>0</v>
      </c>
      <c r="JX32" s="9">
        <f t="shared" si="51"/>
        <v>0</v>
      </c>
      <c r="JY32" s="9">
        <f t="shared" si="51"/>
        <v>0</v>
      </c>
      <c r="JZ32" s="9">
        <f t="shared" si="51"/>
        <v>0</v>
      </c>
      <c r="KA32" s="9">
        <f t="shared" si="51"/>
        <v>0</v>
      </c>
      <c r="KB32" s="9">
        <f t="shared" si="51"/>
        <v>0</v>
      </c>
      <c r="KC32" s="9">
        <f t="shared" si="51"/>
        <v>0</v>
      </c>
      <c r="KD32" s="9">
        <f t="shared" si="51"/>
        <v>0</v>
      </c>
      <c r="KE32" s="9">
        <f t="shared" si="51"/>
        <v>0</v>
      </c>
      <c r="KF32" s="9">
        <f t="shared" si="51"/>
        <v>0</v>
      </c>
      <c r="KG32" s="9">
        <f t="shared" si="51"/>
        <v>0</v>
      </c>
      <c r="KH32" s="9">
        <f t="shared" si="51"/>
        <v>0</v>
      </c>
      <c r="KI32" s="9">
        <f t="shared" si="51"/>
        <v>0</v>
      </c>
      <c r="KJ32" s="9">
        <f t="shared" si="51"/>
        <v>0</v>
      </c>
      <c r="KK32" s="9">
        <f t="shared" si="51"/>
        <v>0</v>
      </c>
      <c r="KL32" s="9">
        <f t="shared" si="51"/>
        <v>0</v>
      </c>
      <c r="KM32" s="9">
        <f t="shared" si="51"/>
        <v>0</v>
      </c>
      <c r="KN32" s="9">
        <f t="shared" si="51"/>
        <v>0</v>
      </c>
      <c r="KO32" s="9">
        <f t="shared" si="51"/>
        <v>0</v>
      </c>
      <c r="KP32" s="9">
        <f t="shared" si="51"/>
        <v>0</v>
      </c>
      <c r="KQ32" s="9">
        <f t="shared" si="51"/>
        <v>0</v>
      </c>
      <c r="KR32" s="9">
        <f t="shared" si="51"/>
        <v>0</v>
      </c>
      <c r="KS32" s="9">
        <f t="shared" si="51"/>
        <v>0</v>
      </c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pans="2:16384">
      <c r="B33" s="21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</row>
    <row r="34" spans="2:16384">
      <c r="B34" s="23" t="s">
        <v>32</v>
      </c>
    </row>
    <row r="35" spans="2:16384">
      <c r="B35" s="21" t="s">
        <v>56</v>
      </c>
      <c r="C35" s="22">
        <f>IF(Inputs!$E$8=1,Inputs!E3,0)</f>
        <v>0.8</v>
      </c>
      <c r="E35" s="6">
        <f t="shared" ref="E35:BP35" si="52">E30*$C$35</f>
        <v>0</v>
      </c>
      <c r="F35" s="6">
        <f t="shared" si="52"/>
        <v>0</v>
      </c>
      <c r="G35" s="6">
        <f t="shared" si="52"/>
        <v>0</v>
      </c>
      <c r="H35" s="6">
        <f t="shared" si="52"/>
        <v>0</v>
      </c>
      <c r="I35" s="6">
        <f t="shared" si="52"/>
        <v>0</v>
      </c>
      <c r="J35" s="6">
        <f t="shared" si="52"/>
        <v>0</v>
      </c>
      <c r="K35" s="6">
        <f t="shared" si="52"/>
        <v>0</v>
      </c>
      <c r="L35" s="6">
        <f t="shared" si="52"/>
        <v>0</v>
      </c>
      <c r="M35" s="6">
        <f t="shared" si="52"/>
        <v>0</v>
      </c>
      <c r="N35" s="6">
        <f t="shared" si="52"/>
        <v>0</v>
      </c>
      <c r="O35" s="6">
        <f t="shared" si="52"/>
        <v>0</v>
      </c>
      <c r="P35" s="6">
        <f t="shared" si="52"/>
        <v>0</v>
      </c>
      <c r="Q35" s="6">
        <f t="shared" si="52"/>
        <v>0</v>
      </c>
      <c r="R35" s="6">
        <f t="shared" si="52"/>
        <v>0</v>
      </c>
      <c r="S35" s="6">
        <f t="shared" si="52"/>
        <v>0</v>
      </c>
      <c r="T35" s="6">
        <f t="shared" si="52"/>
        <v>0</v>
      </c>
      <c r="U35" s="6">
        <f t="shared" si="52"/>
        <v>0</v>
      </c>
      <c r="V35" s="6">
        <f t="shared" si="52"/>
        <v>0</v>
      </c>
      <c r="W35" s="6">
        <f t="shared" si="52"/>
        <v>0</v>
      </c>
      <c r="X35" s="6">
        <f t="shared" si="52"/>
        <v>0</v>
      </c>
      <c r="Y35" s="6">
        <f t="shared" si="52"/>
        <v>0</v>
      </c>
      <c r="Z35" s="6">
        <f t="shared" si="52"/>
        <v>0</v>
      </c>
      <c r="AA35" s="6">
        <f t="shared" si="52"/>
        <v>0</v>
      </c>
      <c r="AB35" s="6">
        <f t="shared" si="52"/>
        <v>0</v>
      </c>
      <c r="AC35" s="6">
        <f t="shared" si="52"/>
        <v>0</v>
      </c>
      <c r="AD35" s="6">
        <f t="shared" si="52"/>
        <v>0</v>
      </c>
      <c r="AE35" s="6">
        <f t="shared" si="52"/>
        <v>0</v>
      </c>
      <c r="AF35" s="6">
        <f t="shared" si="52"/>
        <v>0</v>
      </c>
      <c r="AG35" s="6">
        <f t="shared" si="52"/>
        <v>0</v>
      </c>
      <c r="AH35" s="6">
        <f t="shared" si="52"/>
        <v>0</v>
      </c>
      <c r="AI35" s="6">
        <f t="shared" si="52"/>
        <v>0</v>
      </c>
      <c r="AJ35" s="6">
        <f t="shared" si="52"/>
        <v>0</v>
      </c>
      <c r="AK35" s="6">
        <f t="shared" si="52"/>
        <v>0</v>
      </c>
      <c r="AL35" s="6">
        <f t="shared" si="52"/>
        <v>0</v>
      </c>
      <c r="AM35" s="6">
        <f t="shared" si="52"/>
        <v>0</v>
      </c>
      <c r="AN35" s="6">
        <f t="shared" si="52"/>
        <v>0</v>
      </c>
      <c r="AO35" s="6">
        <f t="shared" si="52"/>
        <v>0</v>
      </c>
      <c r="AP35" s="6">
        <f t="shared" si="52"/>
        <v>0</v>
      </c>
      <c r="AQ35" s="6">
        <f t="shared" si="52"/>
        <v>0</v>
      </c>
      <c r="AR35" s="6">
        <f t="shared" si="52"/>
        <v>0</v>
      </c>
      <c r="AS35" s="6">
        <f t="shared" si="52"/>
        <v>0</v>
      </c>
      <c r="AT35" s="6">
        <f t="shared" si="52"/>
        <v>0</v>
      </c>
      <c r="AU35" s="6">
        <f t="shared" si="52"/>
        <v>0</v>
      </c>
      <c r="AV35" s="6">
        <f t="shared" si="52"/>
        <v>0</v>
      </c>
      <c r="AW35" s="6">
        <f t="shared" si="52"/>
        <v>0</v>
      </c>
      <c r="AX35" s="6">
        <f t="shared" si="52"/>
        <v>0</v>
      </c>
      <c r="AY35" s="6">
        <f t="shared" si="52"/>
        <v>0</v>
      </c>
      <c r="AZ35" s="6">
        <f t="shared" si="52"/>
        <v>0</v>
      </c>
      <c r="BA35" s="6">
        <f t="shared" si="52"/>
        <v>0</v>
      </c>
      <c r="BB35" s="6">
        <f t="shared" si="52"/>
        <v>0</v>
      </c>
      <c r="BC35" s="6">
        <f t="shared" si="52"/>
        <v>0</v>
      </c>
      <c r="BD35" s="6">
        <f t="shared" si="52"/>
        <v>0</v>
      </c>
      <c r="BE35" s="6">
        <f t="shared" si="52"/>
        <v>0</v>
      </c>
      <c r="BF35" s="6">
        <f t="shared" si="52"/>
        <v>0</v>
      </c>
      <c r="BG35" s="6">
        <f t="shared" si="52"/>
        <v>0</v>
      </c>
      <c r="BH35" s="6">
        <f t="shared" si="52"/>
        <v>0</v>
      </c>
      <c r="BI35" s="6">
        <f t="shared" si="52"/>
        <v>0</v>
      </c>
      <c r="BJ35" s="6">
        <f t="shared" si="52"/>
        <v>0</v>
      </c>
      <c r="BK35" s="6">
        <f t="shared" si="52"/>
        <v>0</v>
      </c>
      <c r="BL35" s="6">
        <f t="shared" si="52"/>
        <v>0</v>
      </c>
      <c r="BM35" s="6">
        <f t="shared" si="52"/>
        <v>0</v>
      </c>
      <c r="BN35" s="6">
        <f t="shared" si="52"/>
        <v>0</v>
      </c>
      <c r="BO35" s="6">
        <f t="shared" si="52"/>
        <v>0</v>
      </c>
      <c r="BP35" s="6">
        <f t="shared" si="52"/>
        <v>0</v>
      </c>
      <c r="BQ35" s="6">
        <f t="shared" ref="BQ35:CT35" si="53">BQ30*$C$35</f>
        <v>0</v>
      </c>
      <c r="BR35" s="6">
        <f t="shared" si="53"/>
        <v>0</v>
      </c>
      <c r="BS35" s="6">
        <f t="shared" si="53"/>
        <v>0</v>
      </c>
      <c r="BT35" s="6">
        <f t="shared" si="53"/>
        <v>0</v>
      </c>
      <c r="BU35" s="6">
        <f t="shared" si="53"/>
        <v>0</v>
      </c>
      <c r="BV35" s="6">
        <f t="shared" si="53"/>
        <v>0</v>
      </c>
      <c r="BW35" s="6">
        <f t="shared" si="53"/>
        <v>0</v>
      </c>
      <c r="BX35" s="6">
        <f t="shared" si="53"/>
        <v>0</v>
      </c>
      <c r="BY35" s="6">
        <f t="shared" si="53"/>
        <v>0</v>
      </c>
      <c r="BZ35" s="6">
        <f t="shared" si="53"/>
        <v>0</v>
      </c>
      <c r="CA35" s="6">
        <f t="shared" si="53"/>
        <v>0</v>
      </c>
      <c r="CB35" s="6">
        <f t="shared" si="53"/>
        <v>0</v>
      </c>
      <c r="CC35" s="6">
        <f t="shared" si="53"/>
        <v>0</v>
      </c>
      <c r="CD35" s="6">
        <f t="shared" si="53"/>
        <v>0</v>
      </c>
      <c r="CE35" s="6">
        <f t="shared" si="53"/>
        <v>0</v>
      </c>
      <c r="CF35" s="6">
        <f t="shared" si="53"/>
        <v>0</v>
      </c>
      <c r="CG35" s="6">
        <f t="shared" si="53"/>
        <v>0</v>
      </c>
      <c r="CH35" s="6">
        <f t="shared" si="53"/>
        <v>0</v>
      </c>
      <c r="CI35" s="6">
        <f t="shared" si="53"/>
        <v>0</v>
      </c>
      <c r="CJ35" s="6">
        <f t="shared" si="53"/>
        <v>768.21073691753509</v>
      </c>
      <c r="CK35" s="6">
        <f t="shared" si="53"/>
        <v>0</v>
      </c>
      <c r="CL35" s="6">
        <f t="shared" si="53"/>
        <v>0</v>
      </c>
      <c r="CM35" s="6">
        <f t="shared" si="53"/>
        <v>0</v>
      </c>
      <c r="CN35" s="6">
        <f t="shared" si="53"/>
        <v>0</v>
      </c>
      <c r="CO35" s="6">
        <f t="shared" si="53"/>
        <v>0</v>
      </c>
      <c r="CP35" s="6">
        <f t="shared" si="53"/>
        <v>0</v>
      </c>
      <c r="CQ35" s="6">
        <f t="shared" si="53"/>
        <v>0</v>
      </c>
      <c r="CR35" s="6">
        <f t="shared" si="53"/>
        <v>0</v>
      </c>
      <c r="CS35" s="6">
        <f t="shared" si="53"/>
        <v>0</v>
      </c>
      <c r="CT35" s="6">
        <f t="shared" si="53"/>
        <v>0</v>
      </c>
      <c r="CU35" s="6">
        <f>CU30*$C$35</f>
        <v>0</v>
      </c>
      <c r="CV35" s="6">
        <f t="shared" ref="CV35:FG35" si="54">CV30*$C$35</f>
        <v>0</v>
      </c>
      <c r="CW35" s="6">
        <f t="shared" si="54"/>
        <v>0</v>
      </c>
      <c r="CX35" s="6">
        <f t="shared" si="54"/>
        <v>0</v>
      </c>
      <c r="CY35" s="6">
        <f t="shared" si="54"/>
        <v>0</v>
      </c>
      <c r="CZ35" s="6">
        <f t="shared" si="54"/>
        <v>0</v>
      </c>
      <c r="DA35" s="6">
        <f t="shared" si="54"/>
        <v>0</v>
      </c>
      <c r="DB35" s="6">
        <f t="shared" si="54"/>
        <v>0</v>
      </c>
      <c r="DC35" s="6">
        <f t="shared" si="54"/>
        <v>0</v>
      </c>
      <c r="DD35" s="6">
        <f t="shared" si="54"/>
        <v>0</v>
      </c>
      <c r="DE35" s="6">
        <f t="shared" si="54"/>
        <v>0</v>
      </c>
      <c r="DF35" s="6">
        <f t="shared" si="54"/>
        <v>0</v>
      </c>
      <c r="DG35" s="6">
        <f t="shared" si="54"/>
        <v>0</v>
      </c>
      <c r="DH35" s="6">
        <f t="shared" si="54"/>
        <v>0</v>
      </c>
      <c r="DI35" s="6">
        <f t="shared" si="54"/>
        <v>0</v>
      </c>
      <c r="DJ35" s="6">
        <f t="shared" si="54"/>
        <v>0</v>
      </c>
      <c r="DK35" s="6">
        <f t="shared" si="54"/>
        <v>0</v>
      </c>
      <c r="DL35" s="6">
        <f t="shared" si="54"/>
        <v>0</v>
      </c>
      <c r="DM35" s="6">
        <f t="shared" si="54"/>
        <v>0</v>
      </c>
      <c r="DN35" s="6">
        <f t="shared" si="54"/>
        <v>0</v>
      </c>
      <c r="DO35" s="6">
        <f t="shared" si="54"/>
        <v>0</v>
      </c>
      <c r="DP35" s="6">
        <f t="shared" si="54"/>
        <v>0</v>
      </c>
      <c r="DQ35" s="6">
        <f t="shared" si="54"/>
        <v>0</v>
      </c>
      <c r="DR35" s="6">
        <f t="shared" si="54"/>
        <v>0</v>
      </c>
      <c r="DS35" s="6">
        <f t="shared" si="54"/>
        <v>0</v>
      </c>
      <c r="DT35" s="6">
        <f t="shared" si="54"/>
        <v>0</v>
      </c>
      <c r="DU35" s="6">
        <f t="shared" si="54"/>
        <v>0</v>
      </c>
      <c r="DV35" s="6">
        <f t="shared" si="54"/>
        <v>0</v>
      </c>
      <c r="DW35" s="6">
        <f t="shared" si="54"/>
        <v>0</v>
      </c>
      <c r="DX35" s="6">
        <f t="shared" si="54"/>
        <v>0</v>
      </c>
      <c r="DY35" s="6">
        <f t="shared" si="54"/>
        <v>0</v>
      </c>
      <c r="DZ35" s="6">
        <f t="shared" si="54"/>
        <v>0</v>
      </c>
      <c r="EA35" s="6">
        <f t="shared" si="54"/>
        <v>0</v>
      </c>
      <c r="EB35" s="6">
        <f t="shared" si="54"/>
        <v>0</v>
      </c>
      <c r="EC35" s="6">
        <f t="shared" si="54"/>
        <v>0</v>
      </c>
      <c r="ED35" s="6">
        <f t="shared" si="54"/>
        <v>0</v>
      </c>
      <c r="EE35" s="6">
        <f t="shared" si="54"/>
        <v>0</v>
      </c>
      <c r="EF35" s="6">
        <f t="shared" si="54"/>
        <v>0</v>
      </c>
      <c r="EG35" s="6">
        <f t="shared" si="54"/>
        <v>0</v>
      </c>
      <c r="EH35" s="6">
        <f t="shared" si="54"/>
        <v>0</v>
      </c>
      <c r="EI35" s="6">
        <f t="shared" si="54"/>
        <v>0</v>
      </c>
      <c r="EJ35" s="6">
        <f t="shared" si="54"/>
        <v>0</v>
      </c>
      <c r="EK35" s="6">
        <f t="shared" si="54"/>
        <v>0</v>
      </c>
      <c r="EL35" s="6">
        <f t="shared" si="54"/>
        <v>0</v>
      </c>
      <c r="EM35" s="6">
        <f t="shared" si="54"/>
        <v>0</v>
      </c>
      <c r="EN35" s="6">
        <f t="shared" si="54"/>
        <v>0</v>
      </c>
      <c r="EO35" s="6">
        <f t="shared" si="54"/>
        <v>0</v>
      </c>
      <c r="EP35" s="6">
        <f t="shared" si="54"/>
        <v>0</v>
      </c>
      <c r="EQ35" s="6">
        <f t="shared" si="54"/>
        <v>0</v>
      </c>
      <c r="ER35" s="6">
        <f t="shared" si="54"/>
        <v>0</v>
      </c>
      <c r="ES35" s="6">
        <f t="shared" si="54"/>
        <v>0</v>
      </c>
      <c r="ET35" s="6">
        <f t="shared" si="54"/>
        <v>0</v>
      </c>
      <c r="EU35" s="6">
        <f t="shared" si="54"/>
        <v>0</v>
      </c>
      <c r="EV35" s="6">
        <f t="shared" si="54"/>
        <v>0</v>
      </c>
      <c r="EW35" s="6">
        <f t="shared" si="54"/>
        <v>0</v>
      </c>
      <c r="EX35" s="6">
        <f t="shared" si="54"/>
        <v>0</v>
      </c>
      <c r="EY35" s="6">
        <f t="shared" si="54"/>
        <v>0</v>
      </c>
      <c r="EZ35" s="6">
        <f t="shared" si="54"/>
        <v>0</v>
      </c>
      <c r="FA35" s="6">
        <f t="shared" si="54"/>
        <v>0</v>
      </c>
      <c r="FB35" s="6">
        <f t="shared" si="54"/>
        <v>0</v>
      </c>
      <c r="FC35" s="6">
        <f t="shared" si="54"/>
        <v>0</v>
      </c>
      <c r="FD35" s="6">
        <f t="shared" si="54"/>
        <v>0</v>
      </c>
      <c r="FE35" s="6">
        <f t="shared" si="54"/>
        <v>0</v>
      </c>
      <c r="FF35" s="6">
        <f t="shared" si="54"/>
        <v>0</v>
      </c>
      <c r="FG35" s="6">
        <f t="shared" si="54"/>
        <v>0</v>
      </c>
      <c r="FH35" s="6">
        <f t="shared" ref="FH35:HS35" si="55">FH30*$C$35</f>
        <v>0</v>
      </c>
      <c r="FI35" s="6">
        <f t="shared" si="55"/>
        <v>0</v>
      </c>
      <c r="FJ35" s="6">
        <f t="shared" si="55"/>
        <v>0</v>
      </c>
      <c r="FK35" s="6">
        <f t="shared" si="55"/>
        <v>0</v>
      </c>
      <c r="FL35" s="6">
        <f t="shared" si="55"/>
        <v>0</v>
      </c>
      <c r="FM35" s="6">
        <f t="shared" si="55"/>
        <v>0</v>
      </c>
      <c r="FN35" s="6">
        <f t="shared" si="55"/>
        <v>0</v>
      </c>
      <c r="FO35" s="6">
        <f t="shared" si="55"/>
        <v>0</v>
      </c>
      <c r="FP35" s="6">
        <f t="shared" si="55"/>
        <v>0</v>
      </c>
      <c r="FQ35" s="6">
        <f t="shared" si="55"/>
        <v>0</v>
      </c>
      <c r="FR35" s="6">
        <f t="shared" si="55"/>
        <v>0</v>
      </c>
      <c r="FS35" s="6">
        <f t="shared" si="55"/>
        <v>0</v>
      </c>
      <c r="FT35" s="6">
        <f t="shared" si="55"/>
        <v>0</v>
      </c>
      <c r="FU35" s="6">
        <f t="shared" si="55"/>
        <v>0</v>
      </c>
      <c r="FV35" s="6">
        <f t="shared" si="55"/>
        <v>0</v>
      </c>
      <c r="FW35" s="6">
        <f t="shared" si="55"/>
        <v>0</v>
      </c>
      <c r="FX35" s="6">
        <f t="shared" si="55"/>
        <v>0</v>
      </c>
      <c r="FY35" s="6">
        <f t="shared" si="55"/>
        <v>0</v>
      </c>
      <c r="FZ35" s="6">
        <f t="shared" si="55"/>
        <v>0</v>
      </c>
      <c r="GA35" s="6">
        <f t="shared" si="55"/>
        <v>0</v>
      </c>
      <c r="GB35" s="6">
        <f t="shared" si="55"/>
        <v>0</v>
      </c>
      <c r="GC35" s="6">
        <f t="shared" si="55"/>
        <v>0</v>
      </c>
      <c r="GD35" s="6">
        <f t="shared" si="55"/>
        <v>0</v>
      </c>
      <c r="GE35" s="6">
        <f t="shared" si="55"/>
        <v>0</v>
      </c>
      <c r="GF35" s="6">
        <f t="shared" si="55"/>
        <v>0</v>
      </c>
      <c r="GG35" s="6">
        <f t="shared" si="55"/>
        <v>0</v>
      </c>
      <c r="GH35" s="6">
        <f t="shared" si="55"/>
        <v>0</v>
      </c>
      <c r="GI35" s="6">
        <f t="shared" si="55"/>
        <v>0</v>
      </c>
      <c r="GJ35" s="6">
        <f t="shared" si="55"/>
        <v>0</v>
      </c>
      <c r="GK35" s="6">
        <f t="shared" si="55"/>
        <v>0</v>
      </c>
      <c r="GL35" s="6">
        <f t="shared" si="55"/>
        <v>0</v>
      </c>
      <c r="GM35" s="6">
        <f t="shared" si="55"/>
        <v>0</v>
      </c>
      <c r="GN35" s="6">
        <f t="shared" si="55"/>
        <v>0</v>
      </c>
      <c r="GO35" s="6">
        <f t="shared" si="55"/>
        <v>0</v>
      </c>
      <c r="GP35" s="6">
        <f t="shared" si="55"/>
        <v>0</v>
      </c>
      <c r="GQ35" s="6">
        <f t="shared" si="55"/>
        <v>0</v>
      </c>
      <c r="GR35" s="6">
        <f t="shared" si="55"/>
        <v>0</v>
      </c>
      <c r="GS35" s="6">
        <f t="shared" si="55"/>
        <v>0</v>
      </c>
      <c r="GT35" s="6">
        <f t="shared" si="55"/>
        <v>0</v>
      </c>
      <c r="GU35" s="6">
        <f t="shared" si="55"/>
        <v>0</v>
      </c>
      <c r="GV35" s="6">
        <f t="shared" si="55"/>
        <v>0</v>
      </c>
      <c r="GW35" s="6">
        <f t="shared" si="55"/>
        <v>0</v>
      </c>
      <c r="GX35" s="6">
        <f t="shared" si="55"/>
        <v>0</v>
      </c>
      <c r="GY35" s="6">
        <f t="shared" si="55"/>
        <v>0</v>
      </c>
      <c r="GZ35" s="6">
        <f t="shared" si="55"/>
        <v>0</v>
      </c>
      <c r="HA35" s="6">
        <f t="shared" si="55"/>
        <v>0</v>
      </c>
      <c r="HB35" s="6">
        <f t="shared" si="55"/>
        <v>0</v>
      </c>
      <c r="HC35" s="6">
        <f t="shared" si="55"/>
        <v>0</v>
      </c>
      <c r="HD35" s="6">
        <f t="shared" si="55"/>
        <v>0</v>
      </c>
      <c r="HE35" s="6">
        <f t="shared" si="55"/>
        <v>0</v>
      </c>
      <c r="HF35" s="6">
        <f t="shared" si="55"/>
        <v>0</v>
      </c>
      <c r="HG35" s="6">
        <f t="shared" si="55"/>
        <v>0</v>
      </c>
      <c r="HH35" s="6">
        <f t="shared" si="55"/>
        <v>0</v>
      </c>
      <c r="HI35" s="6">
        <f t="shared" si="55"/>
        <v>0</v>
      </c>
      <c r="HJ35" s="6">
        <f t="shared" si="55"/>
        <v>0</v>
      </c>
      <c r="HK35" s="6">
        <f t="shared" si="55"/>
        <v>0</v>
      </c>
      <c r="HL35" s="6">
        <f t="shared" si="55"/>
        <v>0</v>
      </c>
      <c r="HM35" s="6">
        <f t="shared" si="55"/>
        <v>0</v>
      </c>
      <c r="HN35" s="6">
        <f t="shared" si="55"/>
        <v>0</v>
      </c>
      <c r="HO35" s="6">
        <f t="shared" si="55"/>
        <v>0</v>
      </c>
      <c r="HP35" s="6">
        <f t="shared" si="55"/>
        <v>0</v>
      </c>
      <c r="HQ35" s="6">
        <f t="shared" si="55"/>
        <v>0</v>
      </c>
      <c r="HR35" s="6">
        <f t="shared" si="55"/>
        <v>0</v>
      </c>
      <c r="HS35" s="6">
        <f t="shared" si="55"/>
        <v>0</v>
      </c>
      <c r="HT35" s="6">
        <f t="shared" ref="HT35:KE35" si="56">HT30*$C$35</f>
        <v>0</v>
      </c>
      <c r="HU35" s="6">
        <f t="shared" si="56"/>
        <v>0</v>
      </c>
      <c r="HV35" s="6">
        <f t="shared" si="56"/>
        <v>0</v>
      </c>
      <c r="HW35" s="6">
        <f t="shared" si="56"/>
        <v>0</v>
      </c>
      <c r="HX35" s="6">
        <f t="shared" si="56"/>
        <v>0</v>
      </c>
      <c r="HY35" s="6">
        <f t="shared" si="56"/>
        <v>0</v>
      </c>
      <c r="HZ35" s="6">
        <f t="shared" si="56"/>
        <v>0</v>
      </c>
      <c r="IA35" s="6">
        <f t="shared" si="56"/>
        <v>0</v>
      </c>
      <c r="IB35" s="6">
        <f t="shared" si="56"/>
        <v>0</v>
      </c>
      <c r="IC35" s="6">
        <f t="shared" si="56"/>
        <v>0</v>
      </c>
      <c r="ID35" s="6">
        <f t="shared" si="56"/>
        <v>0</v>
      </c>
      <c r="IE35" s="6">
        <f t="shared" si="56"/>
        <v>0</v>
      </c>
      <c r="IF35" s="6">
        <f t="shared" si="56"/>
        <v>0</v>
      </c>
      <c r="IG35" s="6">
        <f t="shared" si="56"/>
        <v>0</v>
      </c>
      <c r="IH35" s="6">
        <f t="shared" si="56"/>
        <v>0</v>
      </c>
      <c r="II35" s="6">
        <f t="shared" si="56"/>
        <v>0</v>
      </c>
      <c r="IJ35" s="6">
        <f t="shared" si="56"/>
        <v>0</v>
      </c>
      <c r="IK35" s="6">
        <f t="shared" si="56"/>
        <v>0</v>
      </c>
      <c r="IL35" s="6">
        <f t="shared" si="56"/>
        <v>0</v>
      </c>
      <c r="IM35" s="6">
        <f t="shared" si="56"/>
        <v>0</v>
      </c>
      <c r="IN35" s="6">
        <f t="shared" si="56"/>
        <v>0</v>
      </c>
      <c r="IO35" s="6">
        <f t="shared" si="56"/>
        <v>0</v>
      </c>
      <c r="IP35" s="6">
        <f t="shared" si="56"/>
        <v>0</v>
      </c>
      <c r="IQ35" s="6">
        <f t="shared" si="56"/>
        <v>0</v>
      </c>
      <c r="IR35" s="6">
        <f t="shared" si="56"/>
        <v>0</v>
      </c>
      <c r="IS35" s="6">
        <f t="shared" si="56"/>
        <v>0</v>
      </c>
      <c r="IT35" s="6">
        <f t="shared" si="56"/>
        <v>0</v>
      </c>
      <c r="IU35" s="6">
        <f t="shared" si="56"/>
        <v>0</v>
      </c>
      <c r="IV35" s="6">
        <f t="shared" si="56"/>
        <v>0</v>
      </c>
      <c r="IW35" s="6">
        <f t="shared" si="56"/>
        <v>0</v>
      </c>
      <c r="IX35" s="6">
        <f t="shared" si="56"/>
        <v>0</v>
      </c>
      <c r="IY35" s="6">
        <f t="shared" si="56"/>
        <v>0</v>
      </c>
      <c r="IZ35" s="6">
        <f t="shared" si="56"/>
        <v>0</v>
      </c>
      <c r="JA35" s="6">
        <f t="shared" si="56"/>
        <v>0</v>
      </c>
      <c r="JB35" s="6">
        <f t="shared" si="56"/>
        <v>0</v>
      </c>
      <c r="JC35" s="6">
        <f t="shared" si="56"/>
        <v>0</v>
      </c>
      <c r="JD35" s="6">
        <f t="shared" si="56"/>
        <v>0</v>
      </c>
      <c r="JE35" s="6">
        <f t="shared" si="56"/>
        <v>0</v>
      </c>
      <c r="JF35" s="6">
        <f t="shared" si="56"/>
        <v>0</v>
      </c>
      <c r="JG35" s="6">
        <f t="shared" si="56"/>
        <v>0</v>
      </c>
      <c r="JH35" s="6">
        <f t="shared" si="56"/>
        <v>0</v>
      </c>
      <c r="JI35" s="6">
        <f t="shared" si="56"/>
        <v>0</v>
      </c>
      <c r="JJ35" s="6">
        <f t="shared" si="56"/>
        <v>0</v>
      </c>
      <c r="JK35" s="6">
        <f t="shared" si="56"/>
        <v>0</v>
      </c>
      <c r="JL35" s="6">
        <f t="shared" si="56"/>
        <v>0</v>
      </c>
      <c r="JM35" s="6">
        <f t="shared" si="56"/>
        <v>0</v>
      </c>
      <c r="JN35" s="6">
        <f t="shared" si="56"/>
        <v>0</v>
      </c>
      <c r="JO35" s="6">
        <f t="shared" si="56"/>
        <v>0</v>
      </c>
      <c r="JP35" s="6">
        <f t="shared" si="56"/>
        <v>0</v>
      </c>
      <c r="JQ35" s="6">
        <f t="shared" si="56"/>
        <v>0</v>
      </c>
      <c r="JR35" s="6">
        <f t="shared" si="56"/>
        <v>0</v>
      </c>
      <c r="JS35" s="6">
        <f t="shared" si="56"/>
        <v>0</v>
      </c>
      <c r="JT35" s="6">
        <f t="shared" si="56"/>
        <v>0</v>
      </c>
      <c r="JU35" s="6">
        <f t="shared" si="56"/>
        <v>0</v>
      </c>
      <c r="JV35" s="6">
        <f t="shared" si="56"/>
        <v>0</v>
      </c>
      <c r="JW35" s="6">
        <f t="shared" si="56"/>
        <v>0</v>
      </c>
      <c r="JX35" s="6">
        <f t="shared" si="56"/>
        <v>0</v>
      </c>
      <c r="JY35" s="6">
        <f t="shared" si="56"/>
        <v>0</v>
      </c>
      <c r="JZ35" s="6">
        <f t="shared" si="56"/>
        <v>0</v>
      </c>
      <c r="KA35" s="6">
        <f t="shared" si="56"/>
        <v>0</v>
      </c>
      <c r="KB35" s="6">
        <f t="shared" si="56"/>
        <v>0</v>
      </c>
      <c r="KC35" s="6">
        <f t="shared" si="56"/>
        <v>0</v>
      </c>
      <c r="KD35" s="6">
        <f t="shared" si="56"/>
        <v>0</v>
      </c>
      <c r="KE35" s="6">
        <f t="shared" si="56"/>
        <v>0</v>
      </c>
      <c r="KF35" s="6">
        <f t="shared" ref="KF35:KS35" si="57">KF30*$C$35</f>
        <v>0</v>
      </c>
      <c r="KG35" s="6">
        <f t="shared" si="57"/>
        <v>0</v>
      </c>
      <c r="KH35" s="6">
        <f t="shared" si="57"/>
        <v>0</v>
      </c>
      <c r="KI35" s="6">
        <f t="shared" si="57"/>
        <v>0</v>
      </c>
      <c r="KJ35" s="6">
        <f t="shared" si="57"/>
        <v>0</v>
      </c>
      <c r="KK35" s="6">
        <f t="shared" si="57"/>
        <v>0</v>
      </c>
      <c r="KL35" s="6">
        <f t="shared" si="57"/>
        <v>0</v>
      </c>
      <c r="KM35" s="6">
        <f t="shared" si="57"/>
        <v>0</v>
      </c>
      <c r="KN35" s="6">
        <f t="shared" si="57"/>
        <v>0</v>
      </c>
      <c r="KO35" s="6">
        <f t="shared" si="57"/>
        <v>0</v>
      </c>
      <c r="KP35" s="6">
        <f t="shared" si="57"/>
        <v>0</v>
      </c>
      <c r="KQ35" s="6">
        <f t="shared" si="57"/>
        <v>0</v>
      </c>
      <c r="KR35" s="6">
        <f t="shared" si="57"/>
        <v>0</v>
      </c>
      <c r="KS35" s="6">
        <f t="shared" si="57"/>
        <v>0</v>
      </c>
    </row>
    <row r="36" spans="2:16384">
      <c r="B36" s="21" t="s">
        <v>57</v>
      </c>
      <c r="C36" s="22">
        <f>IF(Inputs!$E$8=1,Inputs!E4,0)</f>
        <v>0.19999999999999996</v>
      </c>
      <c r="E36" s="6">
        <f t="shared" ref="E36:BP36" si="58">E30*$C$36</f>
        <v>0</v>
      </c>
      <c r="F36" s="6">
        <f t="shared" si="58"/>
        <v>0</v>
      </c>
      <c r="G36" s="6">
        <f t="shared" si="58"/>
        <v>0</v>
      </c>
      <c r="H36" s="6">
        <f t="shared" si="58"/>
        <v>0</v>
      </c>
      <c r="I36" s="6">
        <f t="shared" si="58"/>
        <v>0</v>
      </c>
      <c r="J36" s="6">
        <f t="shared" si="58"/>
        <v>0</v>
      </c>
      <c r="K36" s="6">
        <f t="shared" si="58"/>
        <v>0</v>
      </c>
      <c r="L36" s="6">
        <f t="shared" si="58"/>
        <v>0</v>
      </c>
      <c r="M36" s="6">
        <f t="shared" si="58"/>
        <v>0</v>
      </c>
      <c r="N36" s="6">
        <f t="shared" si="58"/>
        <v>0</v>
      </c>
      <c r="O36" s="6">
        <f t="shared" si="58"/>
        <v>0</v>
      </c>
      <c r="P36" s="6">
        <f t="shared" si="58"/>
        <v>0</v>
      </c>
      <c r="Q36" s="6">
        <f t="shared" si="58"/>
        <v>0</v>
      </c>
      <c r="R36" s="6">
        <f t="shared" si="58"/>
        <v>0</v>
      </c>
      <c r="S36" s="6">
        <f t="shared" si="58"/>
        <v>0</v>
      </c>
      <c r="T36" s="6">
        <f t="shared" si="58"/>
        <v>0</v>
      </c>
      <c r="U36" s="6">
        <f t="shared" si="58"/>
        <v>0</v>
      </c>
      <c r="V36" s="6">
        <f t="shared" si="58"/>
        <v>0</v>
      </c>
      <c r="W36" s="6">
        <f t="shared" si="58"/>
        <v>0</v>
      </c>
      <c r="X36" s="6">
        <f t="shared" si="58"/>
        <v>0</v>
      </c>
      <c r="Y36" s="6">
        <f t="shared" si="58"/>
        <v>0</v>
      </c>
      <c r="Z36" s="6">
        <f t="shared" si="58"/>
        <v>0</v>
      </c>
      <c r="AA36" s="6">
        <f t="shared" si="58"/>
        <v>0</v>
      </c>
      <c r="AB36" s="6">
        <f t="shared" si="58"/>
        <v>0</v>
      </c>
      <c r="AC36" s="6">
        <f t="shared" si="58"/>
        <v>0</v>
      </c>
      <c r="AD36" s="6">
        <f t="shared" si="58"/>
        <v>0</v>
      </c>
      <c r="AE36" s="6">
        <f t="shared" si="58"/>
        <v>0</v>
      </c>
      <c r="AF36" s="6">
        <f t="shared" si="58"/>
        <v>0</v>
      </c>
      <c r="AG36" s="6">
        <f t="shared" si="58"/>
        <v>0</v>
      </c>
      <c r="AH36" s="6">
        <f t="shared" si="58"/>
        <v>0</v>
      </c>
      <c r="AI36" s="6">
        <f t="shared" si="58"/>
        <v>0</v>
      </c>
      <c r="AJ36" s="6">
        <f t="shared" si="58"/>
        <v>0</v>
      </c>
      <c r="AK36" s="6">
        <f t="shared" si="58"/>
        <v>0</v>
      </c>
      <c r="AL36" s="6">
        <f t="shared" si="58"/>
        <v>0</v>
      </c>
      <c r="AM36" s="6">
        <f t="shared" si="58"/>
        <v>0</v>
      </c>
      <c r="AN36" s="6">
        <f t="shared" si="58"/>
        <v>0</v>
      </c>
      <c r="AO36" s="6">
        <f t="shared" si="58"/>
        <v>0</v>
      </c>
      <c r="AP36" s="6">
        <f t="shared" si="58"/>
        <v>0</v>
      </c>
      <c r="AQ36" s="6">
        <f t="shared" si="58"/>
        <v>0</v>
      </c>
      <c r="AR36" s="6">
        <f t="shared" si="58"/>
        <v>0</v>
      </c>
      <c r="AS36" s="6">
        <f t="shared" si="58"/>
        <v>0</v>
      </c>
      <c r="AT36" s="6">
        <f t="shared" si="58"/>
        <v>0</v>
      </c>
      <c r="AU36" s="6">
        <f t="shared" si="58"/>
        <v>0</v>
      </c>
      <c r="AV36" s="6">
        <f t="shared" si="58"/>
        <v>0</v>
      </c>
      <c r="AW36" s="6">
        <f t="shared" si="58"/>
        <v>0</v>
      </c>
      <c r="AX36" s="6">
        <f t="shared" si="58"/>
        <v>0</v>
      </c>
      <c r="AY36" s="6">
        <f t="shared" si="58"/>
        <v>0</v>
      </c>
      <c r="AZ36" s="6">
        <f t="shared" si="58"/>
        <v>0</v>
      </c>
      <c r="BA36" s="6">
        <f t="shared" si="58"/>
        <v>0</v>
      </c>
      <c r="BB36" s="6">
        <f t="shared" si="58"/>
        <v>0</v>
      </c>
      <c r="BC36" s="6">
        <f t="shared" si="58"/>
        <v>0</v>
      </c>
      <c r="BD36" s="6">
        <f t="shared" si="58"/>
        <v>0</v>
      </c>
      <c r="BE36" s="6">
        <f t="shared" si="58"/>
        <v>0</v>
      </c>
      <c r="BF36" s="6">
        <f t="shared" si="58"/>
        <v>0</v>
      </c>
      <c r="BG36" s="6">
        <f t="shared" si="58"/>
        <v>0</v>
      </c>
      <c r="BH36" s="6">
        <f t="shared" si="58"/>
        <v>0</v>
      </c>
      <c r="BI36" s="6">
        <f t="shared" si="58"/>
        <v>0</v>
      </c>
      <c r="BJ36" s="6">
        <f t="shared" si="58"/>
        <v>0</v>
      </c>
      <c r="BK36" s="6">
        <f t="shared" si="58"/>
        <v>0</v>
      </c>
      <c r="BL36" s="6">
        <f t="shared" si="58"/>
        <v>0</v>
      </c>
      <c r="BM36" s="6">
        <f t="shared" si="58"/>
        <v>0</v>
      </c>
      <c r="BN36" s="6">
        <f t="shared" si="58"/>
        <v>0</v>
      </c>
      <c r="BO36" s="6">
        <f t="shared" si="58"/>
        <v>0</v>
      </c>
      <c r="BP36" s="6">
        <f t="shared" si="58"/>
        <v>0</v>
      </c>
      <c r="BQ36" s="6">
        <f t="shared" ref="BQ36:CT36" si="59">BQ30*$C$36</f>
        <v>0</v>
      </c>
      <c r="BR36" s="6">
        <f t="shared" si="59"/>
        <v>0</v>
      </c>
      <c r="BS36" s="6">
        <f t="shared" si="59"/>
        <v>0</v>
      </c>
      <c r="BT36" s="6">
        <f t="shared" si="59"/>
        <v>0</v>
      </c>
      <c r="BU36" s="6">
        <f t="shared" si="59"/>
        <v>0</v>
      </c>
      <c r="BV36" s="6">
        <f t="shared" si="59"/>
        <v>0</v>
      </c>
      <c r="BW36" s="6">
        <f t="shared" si="59"/>
        <v>0</v>
      </c>
      <c r="BX36" s="6">
        <f t="shared" si="59"/>
        <v>0</v>
      </c>
      <c r="BY36" s="6">
        <f t="shared" si="59"/>
        <v>0</v>
      </c>
      <c r="BZ36" s="6">
        <f t="shared" si="59"/>
        <v>0</v>
      </c>
      <c r="CA36" s="6">
        <f t="shared" si="59"/>
        <v>0</v>
      </c>
      <c r="CB36" s="6">
        <f t="shared" si="59"/>
        <v>0</v>
      </c>
      <c r="CC36" s="6">
        <f t="shared" si="59"/>
        <v>0</v>
      </c>
      <c r="CD36" s="6">
        <f t="shared" si="59"/>
        <v>0</v>
      </c>
      <c r="CE36" s="6">
        <f t="shared" si="59"/>
        <v>0</v>
      </c>
      <c r="CF36" s="6">
        <f t="shared" si="59"/>
        <v>0</v>
      </c>
      <c r="CG36" s="6">
        <f t="shared" si="59"/>
        <v>0</v>
      </c>
      <c r="CH36" s="6">
        <f t="shared" si="59"/>
        <v>0</v>
      </c>
      <c r="CI36" s="6">
        <f t="shared" si="59"/>
        <v>0</v>
      </c>
      <c r="CJ36" s="6">
        <f t="shared" si="59"/>
        <v>192.05268422938371</v>
      </c>
      <c r="CK36" s="6">
        <f t="shared" si="59"/>
        <v>0</v>
      </c>
      <c r="CL36" s="6">
        <f t="shared" si="59"/>
        <v>0</v>
      </c>
      <c r="CM36" s="6">
        <f t="shared" si="59"/>
        <v>0</v>
      </c>
      <c r="CN36" s="6">
        <f t="shared" si="59"/>
        <v>0</v>
      </c>
      <c r="CO36" s="6">
        <f t="shared" si="59"/>
        <v>0</v>
      </c>
      <c r="CP36" s="6">
        <f t="shared" si="59"/>
        <v>0</v>
      </c>
      <c r="CQ36" s="6">
        <f t="shared" si="59"/>
        <v>0</v>
      </c>
      <c r="CR36" s="6">
        <f t="shared" si="59"/>
        <v>0</v>
      </c>
      <c r="CS36" s="6">
        <f t="shared" si="59"/>
        <v>0</v>
      </c>
      <c r="CT36" s="6">
        <f t="shared" si="59"/>
        <v>0</v>
      </c>
      <c r="CU36" s="6">
        <f>CU30*$C$36</f>
        <v>0</v>
      </c>
      <c r="CV36" s="6">
        <f t="shared" ref="CV36:FG36" si="60">CV30*$C$36</f>
        <v>0</v>
      </c>
      <c r="CW36" s="6">
        <f t="shared" si="60"/>
        <v>0</v>
      </c>
      <c r="CX36" s="6">
        <f t="shared" si="60"/>
        <v>0</v>
      </c>
      <c r="CY36" s="6">
        <f t="shared" si="60"/>
        <v>0</v>
      </c>
      <c r="CZ36" s="6">
        <f t="shared" si="60"/>
        <v>0</v>
      </c>
      <c r="DA36" s="6">
        <f t="shared" si="60"/>
        <v>0</v>
      </c>
      <c r="DB36" s="6">
        <f t="shared" si="60"/>
        <v>0</v>
      </c>
      <c r="DC36" s="6">
        <f t="shared" si="60"/>
        <v>0</v>
      </c>
      <c r="DD36" s="6">
        <f t="shared" si="60"/>
        <v>0</v>
      </c>
      <c r="DE36" s="6">
        <f t="shared" si="60"/>
        <v>0</v>
      </c>
      <c r="DF36" s="6">
        <f t="shared" si="60"/>
        <v>0</v>
      </c>
      <c r="DG36" s="6">
        <f t="shared" si="60"/>
        <v>0</v>
      </c>
      <c r="DH36" s="6">
        <f t="shared" si="60"/>
        <v>0</v>
      </c>
      <c r="DI36" s="6">
        <f t="shared" si="60"/>
        <v>0</v>
      </c>
      <c r="DJ36" s="6">
        <f t="shared" si="60"/>
        <v>0</v>
      </c>
      <c r="DK36" s="6">
        <f t="shared" si="60"/>
        <v>0</v>
      </c>
      <c r="DL36" s="6">
        <f t="shared" si="60"/>
        <v>0</v>
      </c>
      <c r="DM36" s="6">
        <f t="shared" si="60"/>
        <v>0</v>
      </c>
      <c r="DN36" s="6">
        <f t="shared" si="60"/>
        <v>0</v>
      </c>
      <c r="DO36" s="6">
        <f t="shared" si="60"/>
        <v>0</v>
      </c>
      <c r="DP36" s="6">
        <f t="shared" si="60"/>
        <v>0</v>
      </c>
      <c r="DQ36" s="6">
        <f t="shared" si="60"/>
        <v>0</v>
      </c>
      <c r="DR36" s="6">
        <f t="shared" si="60"/>
        <v>0</v>
      </c>
      <c r="DS36" s="6">
        <f t="shared" si="60"/>
        <v>0</v>
      </c>
      <c r="DT36" s="6">
        <f t="shared" si="60"/>
        <v>0</v>
      </c>
      <c r="DU36" s="6">
        <f t="shared" si="60"/>
        <v>0</v>
      </c>
      <c r="DV36" s="6">
        <f t="shared" si="60"/>
        <v>0</v>
      </c>
      <c r="DW36" s="6">
        <f t="shared" si="60"/>
        <v>0</v>
      </c>
      <c r="DX36" s="6">
        <f t="shared" si="60"/>
        <v>0</v>
      </c>
      <c r="DY36" s="6">
        <f t="shared" si="60"/>
        <v>0</v>
      </c>
      <c r="DZ36" s="6">
        <f t="shared" si="60"/>
        <v>0</v>
      </c>
      <c r="EA36" s="6">
        <f t="shared" si="60"/>
        <v>0</v>
      </c>
      <c r="EB36" s="6">
        <f t="shared" si="60"/>
        <v>0</v>
      </c>
      <c r="EC36" s="6">
        <f t="shared" si="60"/>
        <v>0</v>
      </c>
      <c r="ED36" s="6">
        <f t="shared" si="60"/>
        <v>0</v>
      </c>
      <c r="EE36" s="6">
        <f t="shared" si="60"/>
        <v>0</v>
      </c>
      <c r="EF36" s="6">
        <f t="shared" si="60"/>
        <v>0</v>
      </c>
      <c r="EG36" s="6">
        <f t="shared" si="60"/>
        <v>0</v>
      </c>
      <c r="EH36" s="6">
        <f t="shared" si="60"/>
        <v>0</v>
      </c>
      <c r="EI36" s="6">
        <f t="shared" si="60"/>
        <v>0</v>
      </c>
      <c r="EJ36" s="6">
        <f t="shared" si="60"/>
        <v>0</v>
      </c>
      <c r="EK36" s="6">
        <f t="shared" si="60"/>
        <v>0</v>
      </c>
      <c r="EL36" s="6">
        <f t="shared" si="60"/>
        <v>0</v>
      </c>
      <c r="EM36" s="6">
        <f t="shared" si="60"/>
        <v>0</v>
      </c>
      <c r="EN36" s="6">
        <f t="shared" si="60"/>
        <v>0</v>
      </c>
      <c r="EO36" s="6">
        <f t="shared" si="60"/>
        <v>0</v>
      </c>
      <c r="EP36" s="6">
        <f t="shared" si="60"/>
        <v>0</v>
      </c>
      <c r="EQ36" s="6">
        <f t="shared" si="60"/>
        <v>0</v>
      </c>
      <c r="ER36" s="6">
        <f t="shared" si="60"/>
        <v>0</v>
      </c>
      <c r="ES36" s="6">
        <f t="shared" si="60"/>
        <v>0</v>
      </c>
      <c r="ET36" s="6">
        <f t="shared" si="60"/>
        <v>0</v>
      </c>
      <c r="EU36" s="6">
        <f t="shared" si="60"/>
        <v>0</v>
      </c>
      <c r="EV36" s="6">
        <f t="shared" si="60"/>
        <v>0</v>
      </c>
      <c r="EW36" s="6">
        <f t="shared" si="60"/>
        <v>0</v>
      </c>
      <c r="EX36" s="6">
        <f t="shared" si="60"/>
        <v>0</v>
      </c>
      <c r="EY36" s="6">
        <f t="shared" si="60"/>
        <v>0</v>
      </c>
      <c r="EZ36" s="6">
        <f t="shared" si="60"/>
        <v>0</v>
      </c>
      <c r="FA36" s="6">
        <f t="shared" si="60"/>
        <v>0</v>
      </c>
      <c r="FB36" s="6">
        <f t="shared" si="60"/>
        <v>0</v>
      </c>
      <c r="FC36" s="6">
        <f t="shared" si="60"/>
        <v>0</v>
      </c>
      <c r="FD36" s="6">
        <f t="shared" si="60"/>
        <v>0</v>
      </c>
      <c r="FE36" s="6">
        <f t="shared" si="60"/>
        <v>0</v>
      </c>
      <c r="FF36" s="6">
        <f t="shared" si="60"/>
        <v>0</v>
      </c>
      <c r="FG36" s="6">
        <f t="shared" si="60"/>
        <v>0</v>
      </c>
      <c r="FH36" s="6">
        <f t="shared" ref="FH36:HS36" si="61">FH30*$C$36</f>
        <v>0</v>
      </c>
      <c r="FI36" s="6">
        <f t="shared" si="61"/>
        <v>0</v>
      </c>
      <c r="FJ36" s="6">
        <f t="shared" si="61"/>
        <v>0</v>
      </c>
      <c r="FK36" s="6">
        <f t="shared" si="61"/>
        <v>0</v>
      </c>
      <c r="FL36" s="6">
        <f t="shared" si="61"/>
        <v>0</v>
      </c>
      <c r="FM36" s="6">
        <f t="shared" si="61"/>
        <v>0</v>
      </c>
      <c r="FN36" s="6">
        <f t="shared" si="61"/>
        <v>0</v>
      </c>
      <c r="FO36" s="6">
        <f t="shared" si="61"/>
        <v>0</v>
      </c>
      <c r="FP36" s="6">
        <f t="shared" si="61"/>
        <v>0</v>
      </c>
      <c r="FQ36" s="6">
        <f t="shared" si="61"/>
        <v>0</v>
      </c>
      <c r="FR36" s="6">
        <f t="shared" si="61"/>
        <v>0</v>
      </c>
      <c r="FS36" s="6">
        <f t="shared" si="61"/>
        <v>0</v>
      </c>
      <c r="FT36" s="6">
        <f t="shared" si="61"/>
        <v>0</v>
      </c>
      <c r="FU36" s="6">
        <f t="shared" si="61"/>
        <v>0</v>
      </c>
      <c r="FV36" s="6">
        <f t="shared" si="61"/>
        <v>0</v>
      </c>
      <c r="FW36" s="6">
        <f t="shared" si="61"/>
        <v>0</v>
      </c>
      <c r="FX36" s="6">
        <f t="shared" si="61"/>
        <v>0</v>
      </c>
      <c r="FY36" s="6">
        <f t="shared" si="61"/>
        <v>0</v>
      </c>
      <c r="FZ36" s="6">
        <f t="shared" si="61"/>
        <v>0</v>
      </c>
      <c r="GA36" s="6">
        <f t="shared" si="61"/>
        <v>0</v>
      </c>
      <c r="GB36" s="6">
        <f t="shared" si="61"/>
        <v>0</v>
      </c>
      <c r="GC36" s="6">
        <f t="shared" si="61"/>
        <v>0</v>
      </c>
      <c r="GD36" s="6">
        <f t="shared" si="61"/>
        <v>0</v>
      </c>
      <c r="GE36" s="6">
        <f t="shared" si="61"/>
        <v>0</v>
      </c>
      <c r="GF36" s="6">
        <f t="shared" si="61"/>
        <v>0</v>
      </c>
      <c r="GG36" s="6">
        <f t="shared" si="61"/>
        <v>0</v>
      </c>
      <c r="GH36" s="6">
        <f t="shared" si="61"/>
        <v>0</v>
      </c>
      <c r="GI36" s="6">
        <f t="shared" si="61"/>
        <v>0</v>
      </c>
      <c r="GJ36" s="6">
        <f t="shared" si="61"/>
        <v>0</v>
      </c>
      <c r="GK36" s="6">
        <f t="shared" si="61"/>
        <v>0</v>
      </c>
      <c r="GL36" s="6">
        <f t="shared" si="61"/>
        <v>0</v>
      </c>
      <c r="GM36" s="6">
        <f t="shared" si="61"/>
        <v>0</v>
      </c>
      <c r="GN36" s="6">
        <f t="shared" si="61"/>
        <v>0</v>
      </c>
      <c r="GO36" s="6">
        <f t="shared" si="61"/>
        <v>0</v>
      </c>
      <c r="GP36" s="6">
        <f t="shared" si="61"/>
        <v>0</v>
      </c>
      <c r="GQ36" s="6">
        <f t="shared" si="61"/>
        <v>0</v>
      </c>
      <c r="GR36" s="6">
        <f t="shared" si="61"/>
        <v>0</v>
      </c>
      <c r="GS36" s="6">
        <f t="shared" si="61"/>
        <v>0</v>
      </c>
      <c r="GT36" s="6">
        <f t="shared" si="61"/>
        <v>0</v>
      </c>
      <c r="GU36" s="6">
        <f t="shared" si="61"/>
        <v>0</v>
      </c>
      <c r="GV36" s="6">
        <f t="shared" si="61"/>
        <v>0</v>
      </c>
      <c r="GW36" s="6">
        <f t="shared" si="61"/>
        <v>0</v>
      </c>
      <c r="GX36" s="6">
        <f t="shared" si="61"/>
        <v>0</v>
      </c>
      <c r="GY36" s="6">
        <f t="shared" si="61"/>
        <v>0</v>
      </c>
      <c r="GZ36" s="6">
        <f t="shared" si="61"/>
        <v>0</v>
      </c>
      <c r="HA36" s="6">
        <f t="shared" si="61"/>
        <v>0</v>
      </c>
      <c r="HB36" s="6">
        <f t="shared" si="61"/>
        <v>0</v>
      </c>
      <c r="HC36" s="6">
        <f t="shared" si="61"/>
        <v>0</v>
      </c>
      <c r="HD36" s="6">
        <f t="shared" si="61"/>
        <v>0</v>
      </c>
      <c r="HE36" s="6">
        <f t="shared" si="61"/>
        <v>0</v>
      </c>
      <c r="HF36" s="6">
        <f t="shared" si="61"/>
        <v>0</v>
      </c>
      <c r="HG36" s="6">
        <f t="shared" si="61"/>
        <v>0</v>
      </c>
      <c r="HH36" s="6">
        <f t="shared" si="61"/>
        <v>0</v>
      </c>
      <c r="HI36" s="6">
        <f t="shared" si="61"/>
        <v>0</v>
      </c>
      <c r="HJ36" s="6">
        <f t="shared" si="61"/>
        <v>0</v>
      </c>
      <c r="HK36" s="6">
        <f t="shared" si="61"/>
        <v>0</v>
      </c>
      <c r="HL36" s="6">
        <f t="shared" si="61"/>
        <v>0</v>
      </c>
      <c r="HM36" s="6">
        <f t="shared" si="61"/>
        <v>0</v>
      </c>
      <c r="HN36" s="6">
        <f t="shared" si="61"/>
        <v>0</v>
      </c>
      <c r="HO36" s="6">
        <f t="shared" si="61"/>
        <v>0</v>
      </c>
      <c r="HP36" s="6">
        <f t="shared" si="61"/>
        <v>0</v>
      </c>
      <c r="HQ36" s="6">
        <f t="shared" si="61"/>
        <v>0</v>
      </c>
      <c r="HR36" s="6">
        <f t="shared" si="61"/>
        <v>0</v>
      </c>
      <c r="HS36" s="6">
        <f t="shared" si="61"/>
        <v>0</v>
      </c>
      <c r="HT36" s="6">
        <f t="shared" ref="HT36:KE36" si="62">HT30*$C$36</f>
        <v>0</v>
      </c>
      <c r="HU36" s="6">
        <f t="shared" si="62"/>
        <v>0</v>
      </c>
      <c r="HV36" s="6">
        <f t="shared" si="62"/>
        <v>0</v>
      </c>
      <c r="HW36" s="6">
        <f t="shared" si="62"/>
        <v>0</v>
      </c>
      <c r="HX36" s="6">
        <f t="shared" si="62"/>
        <v>0</v>
      </c>
      <c r="HY36" s="6">
        <f t="shared" si="62"/>
        <v>0</v>
      </c>
      <c r="HZ36" s="6">
        <f t="shared" si="62"/>
        <v>0</v>
      </c>
      <c r="IA36" s="6">
        <f t="shared" si="62"/>
        <v>0</v>
      </c>
      <c r="IB36" s="6">
        <f t="shared" si="62"/>
        <v>0</v>
      </c>
      <c r="IC36" s="6">
        <f t="shared" si="62"/>
        <v>0</v>
      </c>
      <c r="ID36" s="6">
        <f t="shared" si="62"/>
        <v>0</v>
      </c>
      <c r="IE36" s="6">
        <f t="shared" si="62"/>
        <v>0</v>
      </c>
      <c r="IF36" s="6">
        <f t="shared" si="62"/>
        <v>0</v>
      </c>
      <c r="IG36" s="6">
        <f t="shared" si="62"/>
        <v>0</v>
      </c>
      <c r="IH36" s="6">
        <f t="shared" si="62"/>
        <v>0</v>
      </c>
      <c r="II36" s="6">
        <f t="shared" si="62"/>
        <v>0</v>
      </c>
      <c r="IJ36" s="6">
        <f t="shared" si="62"/>
        <v>0</v>
      </c>
      <c r="IK36" s="6">
        <f t="shared" si="62"/>
        <v>0</v>
      </c>
      <c r="IL36" s="6">
        <f t="shared" si="62"/>
        <v>0</v>
      </c>
      <c r="IM36" s="6">
        <f t="shared" si="62"/>
        <v>0</v>
      </c>
      <c r="IN36" s="6">
        <f t="shared" si="62"/>
        <v>0</v>
      </c>
      <c r="IO36" s="6">
        <f t="shared" si="62"/>
        <v>0</v>
      </c>
      <c r="IP36" s="6">
        <f t="shared" si="62"/>
        <v>0</v>
      </c>
      <c r="IQ36" s="6">
        <f t="shared" si="62"/>
        <v>0</v>
      </c>
      <c r="IR36" s="6">
        <f t="shared" si="62"/>
        <v>0</v>
      </c>
      <c r="IS36" s="6">
        <f t="shared" si="62"/>
        <v>0</v>
      </c>
      <c r="IT36" s="6">
        <f t="shared" si="62"/>
        <v>0</v>
      </c>
      <c r="IU36" s="6">
        <f t="shared" si="62"/>
        <v>0</v>
      </c>
      <c r="IV36" s="6">
        <f t="shared" si="62"/>
        <v>0</v>
      </c>
      <c r="IW36" s="6">
        <f t="shared" si="62"/>
        <v>0</v>
      </c>
      <c r="IX36" s="6">
        <f t="shared" si="62"/>
        <v>0</v>
      </c>
      <c r="IY36" s="6">
        <f t="shared" si="62"/>
        <v>0</v>
      </c>
      <c r="IZ36" s="6">
        <f t="shared" si="62"/>
        <v>0</v>
      </c>
      <c r="JA36" s="6">
        <f t="shared" si="62"/>
        <v>0</v>
      </c>
      <c r="JB36" s="6">
        <f t="shared" si="62"/>
        <v>0</v>
      </c>
      <c r="JC36" s="6">
        <f t="shared" si="62"/>
        <v>0</v>
      </c>
      <c r="JD36" s="6">
        <f t="shared" si="62"/>
        <v>0</v>
      </c>
      <c r="JE36" s="6">
        <f t="shared" si="62"/>
        <v>0</v>
      </c>
      <c r="JF36" s="6">
        <f t="shared" si="62"/>
        <v>0</v>
      </c>
      <c r="JG36" s="6">
        <f t="shared" si="62"/>
        <v>0</v>
      </c>
      <c r="JH36" s="6">
        <f t="shared" si="62"/>
        <v>0</v>
      </c>
      <c r="JI36" s="6">
        <f t="shared" si="62"/>
        <v>0</v>
      </c>
      <c r="JJ36" s="6">
        <f t="shared" si="62"/>
        <v>0</v>
      </c>
      <c r="JK36" s="6">
        <f t="shared" si="62"/>
        <v>0</v>
      </c>
      <c r="JL36" s="6">
        <f t="shared" si="62"/>
        <v>0</v>
      </c>
      <c r="JM36" s="6">
        <f t="shared" si="62"/>
        <v>0</v>
      </c>
      <c r="JN36" s="6">
        <f t="shared" si="62"/>
        <v>0</v>
      </c>
      <c r="JO36" s="6">
        <f t="shared" si="62"/>
        <v>0</v>
      </c>
      <c r="JP36" s="6">
        <f t="shared" si="62"/>
        <v>0</v>
      </c>
      <c r="JQ36" s="6">
        <f t="shared" si="62"/>
        <v>0</v>
      </c>
      <c r="JR36" s="6">
        <f t="shared" si="62"/>
        <v>0</v>
      </c>
      <c r="JS36" s="6">
        <f t="shared" si="62"/>
        <v>0</v>
      </c>
      <c r="JT36" s="6">
        <f t="shared" si="62"/>
        <v>0</v>
      </c>
      <c r="JU36" s="6">
        <f t="shared" si="62"/>
        <v>0</v>
      </c>
      <c r="JV36" s="6">
        <f t="shared" si="62"/>
        <v>0</v>
      </c>
      <c r="JW36" s="6">
        <f t="shared" si="62"/>
        <v>0</v>
      </c>
      <c r="JX36" s="6">
        <f t="shared" si="62"/>
        <v>0</v>
      </c>
      <c r="JY36" s="6">
        <f t="shared" si="62"/>
        <v>0</v>
      </c>
      <c r="JZ36" s="6">
        <f t="shared" si="62"/>
        <v>0</v>
      </c>
      <c r="KA36" s="6">
        <f t="shared" si="62"/>
        <v>0</v>
      </c>
      <c r="KB36" s="6">
        <f t="shared" si="62"/>
        <v>0</v>
      </c>
      <c r="KC36" s="6">
        <f t="shared" si="62"/>
        <v>0</v>
      </c>
      <c r="KD36" s="6">
        <f t="shared" si="62"/>
        <v>0</v>
      </c>
      <c r="KE36" s="6">
        <f t="shared" si="62"/>
        <v>0</v>
      </c>
      <c r="KF36" s="6">
        <f t="shared" ref="KF36:KS36" si="63">KF30*$C$36</f>
        <v>0</v>
      </c>
      <c r="KG36" s="6">
        <f t="shared" si="63"/>
        <v>0</v>
      </c>
      <c r="KH36" s="6">
        <f t="shared" si="63"/>
        <v>0</v>
      </c>
      <c r="KI36" s="6">
        <f t="shared" si="63"/>
        <v>0</v>
      </c>
      <c r="KJ36" s="6">
        <f t="shared" si="63"/>
        <v>0</v>
      </c>
      <c r="KK36" s="6">
        <f t="shared" si="63"/>
        <v>0</v>
      </c>
      <c r="KL36" s="6">
        <f t="shared" si="63"/>
        <v>0</v>
      </c>
      <c r="KM36" s="6">
        <f t="shared" si="63"/>
        <v>0</v>
      </c>
      <c r="KN36" s="6">
        <f t="shared" si="63"/>
        <v>0</v>
      </c>
      <c r="KO36" s="6">
        <f t="shared" si="63"/>
        <v>0</v>
      </c>
      <c r="KP36" s="6">
        <f t="shared" si="63"/>
        <v>0</v>
      </c>
      <c r="KQ36" s="6">
        <f t="shared" si="63"/>
        <v>0</v>
      </c>
      <c r="KR36" s="6">
        <f t="shared" si="63"/>
        <v>0</v>
      </c>
      <c r="KS36" s="6">
        <f t="shared" si="63"/>
        <v>0</v>
      </c>
    </row>
    <row r="37" spans="2:16384">
      <c r="B37" s="21"/>
    </row>
    <row r="38" spans="2:16384">
      <c r="B38" s="21" t="s">
        <v>33</v>
      </c>
      <c r="C38" s="22"/>
      <c r="E38" s="6">
        <f>+E21-E35-E36</f>
        <v>0</v>
      </c>
      <c r="F38" s="6">
        <f t="shared" ref="F38:BQ38" si="64">+F21-F35-F36</f>
        <v>0</v>
      </c>
      <c r="G38" s="6">
        <f t="shared" si="64"/>
        <v>0</v>
      </c>
      <c r="H38" s="6">
        <f t="shared" si="64"/>
        <v>0</v>
      </c>
      <c r="I38" s="6">
        <f t="shared" si="64"/>
        <v>0</v>
      </c>
      <c r="J38" s="6">
        <f t="shared" si="64"/>
        <v>0</v>
      </c>
      <c r="K38" s="6">
        <f t="shared" si="64"/>
        <v>0</v>
      </c>
      <c r="L38" s="6">
        <f t="shared" si="64"/>
        <v>0</v>
      </c>
      <c r="M38" s="6">
        <f t="shared" si="64"/>
        <v>0</v>
      </c>
      <c r="N38" s="6">
        <f t="shared" si="64"/>
        <v>0</v>
      </c>
      <c r="O38" s="6">
        <f t="shared" si="64"/>
        <v>0</v>
      </c>
      <c r="P38" s="6">
        <f t="shared" si="64"/>
        <v>0</v>
      </c>
      <c r="Q38" s="6">
        <f t="shared" si="64"/>
        <v>0</v>
      </c>
      <c r="R38" s="6">
        <f t="shared" si="64"/>
        <v>0</v>
      </c>
      <c r="S38" s="6">
        <f t="shared" si="64"/>
        <v>0</v>
      </c>
      <c r="T38" s="6">
        <f t="shared" si="64"/>
        <v>0</v>
      </c>
      <c r="U38" s="6">
        <f t="shared" si="64"/>
        <v>0</v>
      </c>
      <c r="V38" s="6">
        <f t="shared" si="64"/>
        <v>0</v>
      </c>
      <c r="W38" s="6">
        <f t="shared" si="64"/>
        <v>0</v>
      </c>
      <c r="X38" s="6">
        <f t="shared" si="64"/>
        <v>0</v>
      </c>
      <c r="Y38" s="6">
        <f t="shared" si="64"/>
        <v>0</v>
      </c>
      <c r="Z38" s="6">
        <f t="shared" si="64"/>
        <v>0</v>
      </c>
      <c r="AA38" s="6">
        <f t="shared" si="64"/>
        <v>0</v>
      </c>
      <c r="AB38" s="6">
        <f t="shared" si="64"/>
        <v>0</v>
      </c>
      <c r="AC38" s="6">
        <f t="shared" si="64"/>
        <v>0</v>
      </c>
      <c r="AD38" s="6">
        <f t="shared" si="64"/>
        <v>0</v>
      </c>
      <c r="AE38" s="6">
        <f t="shared" si="64"/>
        <v>0</v>
      </c>
      <c r="AF38" s="6">
        <f t="shared" si="64"/>
        <v>0</v>
      </c>
      <c r="AG38" s="6">
        <f t="shared" si="64"/>
        <v>0</v>
      </c>
      <c r="AH38" s="6">
        <f t="shared" si="64"/>
        <v>0</v>
      </c>
      <c r="AI38" s="6">
        <f t="shared" si="64"/>
        <v>0</v>
      </c>
      <c r="AJ38" s="6">
        <f t="shared" si="64"/>
        <v>0</v>
      </c>
      <c r="AK38" s="6">
        <f t="shared" si="64"/>
        <v>0</v>
      </c>
      <c r="AL38" s="6">
        <f t="shared" si="64"/>
        <v>0</v>
      </c>
      <c r="AM38" s="6">
        <f t="shared" si="64"/>
        <v>0</v>
      </c>
      <c r="AN38" s="6">
        <f t="shared" si="64"/>
        <v>0</v>
      </c>
      <c r="AO38" s="6">
        <f t="shared" si="64"/>
        <v>0</v>
      </c>
      <c r="AP38" s="6">
        <f t="shared" si="64"/>
        <v>0</v>
      </c>
      <c r="AQ38" s="6">
        <f t="shared" si="64"/>
        <v>0</v>
      </c>
      <c r="AR38" s="6">
        <f t="shared" si="64"/>
        <v>0</v>
      </c>
      <c r="AS38" s="6">
        <f t="shared" si="64"/>
        <v>0</v>
      </c>
      <c r="AT38" s="6">
        <f t="shared" si="64"/>
        <v>0</v>
      </c>
      <c r="AU38" s="6">
        <f t="shared" si="64"/>
        <v>0</v>
      </c>
      <c r="AV38" s="6">
        <f t="shared" si="64"/>
        <v>0</v>
      </c>
      <c r="AW38" s="6">
        <f t="shared" si="64"/>
        <v>0</v>
      </c>
      <c r="AX38" s="6">
        <f t="shared" si="64"/>
        <v>0</v>
      </c>
      <c r="AY38" s="6">
        <f t="shared" si="64"/>
        <v>0</v>
      </c>
      <c r="AZ38" s="6">
        <f t="shared" si="64"/>
        <v>0</v>
      </c>
      <c r="BA38" s="6">
        <f t="shared" si="64"/>
        <v>0</v>
      </c>
      <c r="BB38" s="6">
        <f t="shared" si="64"/>
        <v>0</v>
      </c>
      <c r="BC38" s="6">
        <f t="shared" si="64"/>
        <v>0</v>
      </c>
      <c r="BD38" s="6">
        <f t="shared" si="64"/>
        <v>0</v>
      </c>
      <c r="BE38" s="6">
        <f t="shared" si="64"/>
        <v>0</v>
      </c>
      <c r="BF38" s="6">
        <f t="shared" si="64"/>
        <v>0</v>
      </c>
      <c r="BG38" s="6">
        <f t="shared" si="64"/>
        <v>0</v>
      </c>
      <c r="BH38" s="6">
        <f t="shared" si="64"/>
        <v>0</v>
      </c>
      <c r="BI38" s="6">
        <f t="shared" si="64"/>
        <v>0</v>
      </c>
      <c r="BJ38" s="6">
        <f t="shared" si="64"/>
        <v>0</v>
      </c>
      <c r="BK38" s="6">
        <f t="shared" si="64"/>
        <v>0</v>
      </c>
      <c r="BL38" s="6">
        <f t="shared" si="64"/>
        <v>0</v>
      </c>
      <c r="BM38" s="6">
        <f t="shared" si="64"/>
        <v>0</v>
      </c>
      <c r="BN38" s="6">
        <f t="shared" si="64"/>
        <v>0</v>
      </c>
      <c r="BO38" s="6">
        <f t="shared" si="64"/>
        <v>0</v>
      </c>
      <c r="BP38" s="6">
        <f t="shared" si="64"/>
        <v>0</v>
      </c>
      <c r="BQ38" s="6">
        <f t="shared" si="64"/>
        <v>0</v>
      </c>
      <c r="BR38" s="6">
        <f t="shared" ref="BR38:EC38" si="65">+BR21-BR35-BR36</f>
        <v>0</v>
      </c>
      <c r="BS38" s="6">
        <f t="shared" si="65"/>
        <v>0</v>
      </c>
      <c r="BT38" s="6">
        <f t="shared" si="65"/>
        <v>0</v>
      </c>
      <c r="BU38" s="6">
        <f t="shared" si="65"/>
        <v>0</v>
      </c>
      <c r="BV38" s="6">
        <f t="shared" si="65"/>
        <v>0</v>
      </c>
      <c r="BW38" s="6">
        <f t="shared" si="65"/>
        <v>0</v>
      </c>
      <c r="BX38" s="6">
        <f t="shared" si="65"/>
        <v>0</v>
      </c>
      <c r="BY38" s="6">
        <f t="shared" si="65"/>
        <v>0</v>
      </c>
      <c r="BZ38" s="6">
        <f t="shared" si="65"/>
        <v>0</v>
      </c>
      <c r="CA38" s="6">
        <f t="shared" si="65"/>
        <v>0</v>
      </c>
      <c r="CB38" s="6">
        <f t="shared" si="65"/>
        <v>0</v>
      </c>
      <c r="CC38" s="6">
        <f t="shared" si="65"/>
        <v>0</v>
      </c>
      <c r="CD38" s="6">
        <f t="shared" si="65"/>
        <v>0</v>
      </c>
      <c r="CE38" s="6">
        <f t="shared" si="65"/>
        <v>0</v>
      </c>
      <c r="CF38" s="6">
        <f t="shared" si="65"/>
        <v>0</v>
      </c>
      <c r="CG38" s="6">
        <f t="shared" si="65"/>
        <v>0</v>
      </c>
      <c r="CH38" s="6">
        <f t="shared" si="65"/>
        <v>0</v>
      </c>
      <c r="CI38" s="6">
        <f t="shared" si="65"/>
        <v>0</v>
      </c>
      <c r="CJ38" s="6">
        <f t="shared" si="65"/>
        <v>1273.20117885285</v>
      </c>
      <c r="CK38" s="6">
        <f t="shared" si="65"/>
        <v>3322.9394900000002</v>
      </c>
      <c r="CL38" s="6">
        <f t="shared" si="65"/>
        <v>3322.9394900000002</v>
      </c>
      <c r="CM38" s="6">
        <f t="shared" si="65"/>
        <v>3322.9394900000002</v>
      </c>
      <c r="CN38" s="6">
        <f t="shared" si="65"/>
        <v>3322.9394900000002</v>
      </c>
      <c r="CO38" s="6">
        <f t="shared" si="65"/>
        <v>3322.9394900000002</v>
      </c>
      <c r="CP38" s="6">
        <f t="shared" si="65"/>
        <v>3322.9394900000002</v>
      </c>
      <c r="CQ38" s="6">
        <f t="shared" si="65"/>
        <v>3322.9394900000002</v>
      </c>
      <c r="CR38" s="6">
        <f t="shared" si="65"/>
        <v>3322.9394900000002</v>
      </c>
      <c r="CS38" s="6">
        <f t="shared" si="65"/>
        <v>3322.9394900000002</v>
      </c>
      <c r="CT38" s="6">
        <f t="shared" si="65"/>
        <v>3322.9394900000002</v>
      </c>
      <c r="CU38" s="6">
        <f t="shared" si="65"/>
        <v>3322.9394900000002</v>
      </c>
      <c r="CV38" s="6">
        <f t="shared" si="65"/>
        <v>3322.9394900000002</v>
      </c>
      <c r="CW38" s="6">
        <f t="shared" si="65"/>
        <v>687.98806999999999</v>
      </c>
      <c r="CX38" s="6">
        <f t="shared" si="65"/>
        <v>237.94278</v>
      </c>
      <c r="CY38" s="6">
        <f t="shared" si="65"/>
        <v>797.55876999999998</v>
      </c>
      <c r="CZ38" s="6">
        <f t="shared" si="65"/>
        <v>558.29470000000003</v>
      </c>
      <c r="DA38" s="6">
        <f t="shared" si="65"/>
        <v>698.75495999999998</v>
      </c>
      <c r="DB38" s="6">
        <f t="shared" si="65"/>
        <v>639.42412999999999</v>
      </c>
      <c r="DC38" s="6">
        <f t="shared" si="65"/>
        <v>645.12025000000006</v>
      </c>
      <c r="DD38" s="6">
        <f t="shared" si="65"/>
        <v>126.94459999999999</v>
      </c>
      <c r="DE38" s="6">
        <f t="shared" si="65"/>
        <v>3500.9761400000002</v>
      </c>
      <c r="DF38" s="6">
        <f t="shared" si="65"/>
        <v>3500.9761400000002</v>
      </c>
      <c r="DG38" s="6">
        <f t="shared" si="65"/>
        <v>3500.9761400000002</v>
      </c>
      <c r="DH38" s="6">
        <f t="shared" si="65"/>
        <v>3500.9761400000002</v>
      </c>
      <c r="DI38" s="6">
        <f t="shared" si="65"/>
        <v>3682.1588200000001</v>
      </c>
      <c r="DJ38" s="6">
        <f t="shared" si="65"/>
        <v>3682.1588200000001</v>
      </c>
      <c r="DK38" s="6">
        <f t="shared" si="65"/>
        <v>3682.1588200000001</v>
      </c>
      <c r="DL38" s="6">
        <f t="shared" si="65"/>
        <v>3682.1588200000001</v>
      </c>
      <c r="DM38" s="6">
        <f t="shared" si="65"/>
        <v>3682.1588200000001</v>
      </c>
      <c r="DN38" s="6">
        <f t="shared" si="65"/>
        <v>3682.1588200000001</v>
      </c>
      <c r="DO38" s="6">
        <f t="shared" si="65"/>
        <v>3682.1588200000001</v>
      </c>
      <c r="DP38" s="6">
        <f t="shared" si="65"/>
        <v>3682.1588200000001</v>
      </c>
      <c r="DQ38" s="6">
        <f t="shared" si="65"/>
        <v>3682.1588200000001</v>
      </c>
      <c r="DR38" s="6">
        <f t="shared" si="65"/>
        <v>3682.1588200000001</v>
      </c>
      <c r="DS38" s="6">
        <f t="shared" si="65"/>
        <v>3682.1588200000001</v>
      </c>
      <c r="DT38" s="6">
        <f t="shared" si="65"/>
        <v>3682.1588200000001</v>
      </c>
      <c r="DU38" s="6">
        <f t="shared" si="65"/>
        <v>3866.4721399999999</v>
      </c>
      <c r="DV38" s="6">
        <f t="shared" si="65"/>
        <v>3866.4721399999999</v>
      </c>
      <c r="DW38" s="6">
        <f t="shared" si="65"/>
        <v>3866.4721399999999</v>
      </c>
      <c r="DX38" s="6">
        <f t="shared" si="65"/>
        <v>3866.4721399999999</v>
      </c>
      <c r="DY38" s="6">
        <f t="shared" si="65"/>
        <v>3866.4721399999999</v>
      </c>
      <c r="DZ38" s="6">
        <f t="shared" si="65"/>
        <v>3866.4721399999999</v>
      </c>
      <c r="EA38" s="6">
        <f t="shared" si="65"/>
        <v>3866.4721399999999</v>
      </c>
      <c r="EB38" s="6">
        <f t="shared" si="65"/>
        <v>3866.4721399999999</v>
      </c>
      <c r="EC38" s="6">
        <f t="shared" si="65"/>
        <v>3866.4721399999999</v>
      </c>
      <c r="ED38" s="6">
        <f t="shared" ref="ED38:GO38" si="66">+ED21-ED35-ED36</f>
        <v>3866.4721399999999</v>
      </c>
      <c r="EE38" s="6">
        <f t="shared" si="66"/>
        <v>3866.4721399999999</v>
      </c>
      <c r="EF38" s="6">
        <f t="shared" si="66"/>
        <v>3866.4721399999999</v>
      </c>
      <c r="EG38" s="6">
        <f t="shared" si="66"/>
        <v>4053.8947899999998</v>
      </c>
      <c r="EH38" s="6">
        <f t="shared" si="66"/>
        <v>4053.8947899999998</v>
      </c>
      <c r="EI38" s="6">
        <f t="shared" si="66"/>
        <v>4053.8947899999998</v>
      </c>
      <c r="EJ38" s="6">
        <f t="shared" si="66"/>
        <v>4053.8947899999998</v>
      </c>
      <c r="EK38" s="6">
        <f t="shared" si="66"/>
        <v>4053.8947899999998</v>
      </c>
      <c r="EL38" s="6">
        <f t="shared" si="66"/>
        <v>4053.8947899999998</v>
      </c>
      <c r="EM38" s="6">
        <f t="shared" si="66"/>
        <v>4053.8947899999998</v>
      </c>
      <c r="EN38" s="6">
        <f t="shared" si="66"/>
        <v>4053.8947899999998</v>
      </c>
      <c r="EO38" s="6">
        <f t="shared" si="66"/>
        <v>4053.8947899999998</v>
      </c>
      <c r="EP38" s="6">
        <f t="shared" si="66"/>
        <v>4053.8947899999998</v>
      </c>
      <c r="EQ38" s="6">
        <f t="shared" si="66"/>
        <v>4053.8947899999998</v>
      </c>
      <c r="ER38" s="6">
        <f t="shared" si="66"/>
        <v>4053.8947899999998</v>
      </c>
      <c r="ES38" s="6">
        <f t="shared" si="66"/>
        <v>4244.39905</v>
      </c>
      <c r="ET38" s="6">
        <f t="shared" si="66"/>
        <v>4244.39905</v>
      </c>
      <c r="EU38" s="6">
        <f t="shared" si="66"/>
        <v>4244.39905</v>
      </c>
      <c r="EV38" s="6">
        <f t="shared" si="66"/>
        <v>4244.39905</v>
      </c>
      <c r="EW38" s="6">
        <f t="shared" si="66"/>
        <v>4244.39905</v>
      </c>
      <c r="EX38" s="6">
        <f t="shared" si="66"/>
        <v>4244.39905</v>
      </c>
      <c r="EY38" s="6">
        <f t="shared" si="66"/>
        <v>4244.39905</v>
      </c>
      <c r="EZ38" s="6">
        <f t="shared" si="66"/>
        <v>4244.39905</v>
      </c>
      <c r="FA38" s="6">
        <f t="shared" si="66"/>
        <v>4244.39905</v>
      </c>
      <c r="FB38" s="6">
        <f t="shared" si="66"/>
        <v>4244.39905</v>
      </c>
      <c r="FC38" s="6">
        <f t="shared" si="66"/>
        <v>4244.39905</v>
      </c>
      <c r="FD38" s="6">
        <f t="shared" si="66"/>
        <v>4244.39905</v>
      </c>
      <c r="FE38" s="6">
        <f t="shared" si="66"/>
        <v>1156.47515</v>
      </c>
      <c r="FF38" s="6">
        <f t="shared" si="66"/>
        <v>4238.2326700000003</v>
      </c>
      <c r="FG38" s="6">
        <f t="shared" si="66"/>
        <v>2315.6902599999999</v>
      </c>
      <c r="FH38" s="6">
        <f t="shared" si="66"/>
        <v>2897.74577</v>
      </c>
      <c r="FI38" s="6">
        <f t="shared" si="66"/>
        <v>4485.1621800000003</v>
      </c>
      <c r="FJ38" s="6">
        <f t="shared" si="66"/>
        <v>988.78967999999998</v>
      </c>
      <c r="FK38" s="6">
        <f t="shared" si="66"/>
        <v>1625.7973500000001</v>
      </c>
      <c r="FL38" s="6">
        <f t="shared" si="66"/>
        <v>4148.2853500000001</v>
      </c>
      <c r="FM38" s="6">
        <f t="shared" si="66"/>
        <v>4437.9503000000004</v>
      </c>
      <c r="FN38" s="6">
        <f t="shared" si="66"/>
        <v>4437.9503000000004</v>
      </c>
      <c r="FO38" s="6">
        <f t="shared" si="66"/>
        <v>4437.9503000000004</v>
      </c>
      <c r="FP38" s="6">
        <f t="shared" si="66"/>
        <v>4437.9503000000004</v>
      </c>
      <c r="FQ38" s="6">
        <f t="shared" si="66"/>
        <v>4634.5065599999998</v>
      </c>
      <c r="FR38" s="6">
        <f t="shared" si="66"/>
        <v>4634.5065599999998</v>
      </c>
      <c r="FS38" s="6">
        <f t="shared" si="66"/>
        <v>4634.5065599999998</v>
      </c>
      <c r="FT38" s="6">
        <f t="shared" si="66"/>
        <v>4634.5065599999998</v>
      </c>
      <c r="FU38" s="6">
        <f t="shared" si="66"/>
        <v>4634.5065599999998</v>
      </c>
      <c r="FV38" s="6">
        <f t="shared" si="66"/>
        <v>4634.5065599999998</v>
      </c>
      <c r="FW38" s="6">
        <f t="shared" si="66"/>
        <v>4634.5065599999998</v>
      </c>
      <c r="FX38" s="6">
        <f t="shared" si="66"/>
        <v>4634.5065599999998</v>
      </c>
      <c r="FY38" s="6">
        <f t="shared" si="66"/>
        <v>4634.5065599999998</v>
      </c>
      <c r="FZ38" s="6">
        <f t="shared" si="66"/>
        <v>4634.5065599999998</v>
      </c>
      <c r="GA38" s="6">
        <f t="shared" si="66"/>
        <v>4634.5065599999998</v>
      </c>
      <c r="GB38" s="6">
        <f t="shared" si="66"/>
        <v>4634.5065599999998</v>
      </c>
      <c r="GC38" s="6">
        <f t="shared" si="66"/>
        <v>4834.0178900000001</v>
      </c>
      <c r="GD38" s="6">
        <f t="shared" si="66"/>
        <v>4834.0178900000001</v>
      </c>
      <c r="GE38" s="6">
        <f t="shared" si="66"/>
        <v>4834.0178900000001</v>
      </c>
      <c r="GF38" s="6">
        <f t="shared" si="66"/>
        <v>4834.0178900000001</v>
      </c>
      <c r="GG38" s="6">
        <f t="shared" si="66"/>
        <v>4834.0178900000001</v>
      </c>
      <c r="GH38" s="6">
        <f t="shared" si="66"/>
        <v>4834.0178900000001</v>
      </c>
      <c r="GI38" s="6">
        <f t="shared" si="66"/>
        <v>4834.0178900000001</v>
      </c>
      <c r="GJ38" s="6">
        <f t="shared" si="66"/>
        <v>4834.0178900000001</v>
      </c>
      <c r="GK38" s="6">
        <f t="shared" si="66"/>
        <v>4834.0178900000001</v>
      </c>
      <c r="GL38" s="6">
        <f t="shared" si="66"/>
        <v>4834.0178900000001</v>
      </c>
      <c r="GM38" s="6">
        <f t="shared" si="66"/>
        <v>4834.0178900000001</v>
      </c>
      <c r="GN38" s="6">
        <f t="shared" si="66"/>
        <v>4834.0178900000001</v>
      </c>
      <c r="GO38" s="6">
        <f t="shared" si="66"/>
        <v>5036.42587</v>
      </c>
      <c r="GP38" s="6">
        <f t="shared" ref="GP38:JA38" si="67">+GP21-GP35-GP36</f>
        <v>5036.42587</v>
      </c>
      <c r="GQ38" s="6">
        <f t="shared" si="67"/>
        <v>5036.42587</v>
      </c>
      <c r="GR38" s="6">
        <f t="shared" si="67"/>
        <v>5036.42587</v>
      </c>
      <c r="GS38" s="6">
        <f t="shared" si="67"/>
        <v>5036.42587</v>
      </c>
      <c r="GT38" s="6">
        <f t="shared" si="67"/>
        <v>5036.42587</v>
      </c>
      <c r="GU38" s="6">
        <f t="shared" si="67"/>
        <v>5036.42587</v>
      </c>
      <c r="GV38" s="6">
        <f t="shared" si="67"/>
        <v>5036.42587</v>
      </c>
      <c r="GW38" s="6">
        <f t="shared" si="67"/>
        <v>5036.42587</v>
      </c>
      <c r="GX38" s="6">
        <f t="shared" si="67"/>
        <v>5036.42587</v>
      </c>
      <c r="GY38" s="6">
        <f t="shared" si="67"/>
        <v>5036.42587</v>
      </c>
      <c r="GZ38" s="6">
        <f t="shared" si="67"/>
        <v>5036.42587</v>
      </c>
      <c r="HA38" s="6">
        <f t="shared" si="67"/>
        <v>5241.6629599999997</v>
      </c>
      <c r="HB38" s="6">
        <f t="shared" si="67"/>
        <v>5241.6629599999997</v>
      </c>
      <c r="HC38" s="6">
        <f t="shared" si="67"/>
        <v>5241.6629599999997</v>
      </c>
      <c r="HD38" s="6">
        <f t="shared" si="67"/>
        <v>5241.6629599999997</v>
      </c>
      <c r="HE38" s="6">
        <f t="shared" si="67"/>
        <v>5241.6629599999997</v>
      </c>
      <c r="HF38" s="6">
        <f t="shared" si="67"/>
        <v>5241.6629599999997</v>
      </c>
      <c r="HG38" s="6">
        <f t="shared" si="67"/>
        <v>5241.6629599999997</v>
      </c>
      <c r="HH38" s="6">
        <f t="shared" si="67"/>
        <v>5241.6629599999997</v>
      </c>
      <c r="HI38" s="6">
        <f t="shared" si="67"/>
        <v>5241.6629599999997</v>
      </c>
      <c r="HJ38" s="6">
        <f t="shared" si="67"/>
        <v>5241.6629599999997</v>
      </c>
      <c r="HK38" s="6">
        <f t="shared" si="67"/>
        <v>5241.6629599999997</v>
      </c>
      <c r="HL38" s="6">
        <f t="shared" si="67"/>
        <v>5241.6629599999997</v>
      </c>
      <c r="HM38" s="6">
        <f t="shared" si="67"/>
        <v>1662.3259399999999</v>
      </c>
      <c r="HN38" s="6">
        <f t="shared" si="67"/>
        <v>1626.0965900000001</v>
      </c>
      <c r="HO38" s="6">
        <f t="shared" si="67"/>
        <v>2239.80332</v>
      </c>
      <c r="HP38" s="6">
        <f t="shared" si="67"/>
        <v>1959.1741300000001</v>
      </c>
      <c r="HQ38" s="6">
        <f t="shared" si="67"/>
        <v>1812.3501799999999</v>
      </c>
      <c r="HR38" s="6">
        <f t="shared" si="67"/>
        <v>1442.26829</v>
      </c>
      <c r="HS38" s="6">
        <f t="shared" si="67"/>
        <v>2978.9633199999998</v>
      </c>
      <c r="HT38" s="6">
        <f t="shared" si="67"/>
        <v>5449.6518699999997</v>
      </c>
      <c r="HU38" s="6">
        <f t="shared" si="67"/>
        <v>5449.6518699999997</v>
      </c>
      <c r="HV38" s="6">
        <f t="shared" si="67"/>
        <v>5449.6518699999997</v>
      </c>
      <c r="HW38" s="6">
        <f t="shared" si="67"/>
        <v>5449.6518699999997</v>
      </c>
      <c r="HX38" s="6">
        <f t="shared" si="67"/>
        <v>5449.6518699999997</v>
      </c>
      <c r="HY38" s="6">
        <f t="shared" si="67"/>
        <v>5660.3049099999998</v>
      </c>
      <c r="HZ38" s="6">
        <f t="shared" si="67"/>
        <v>5660.3049099999998</v>
      </c>
      <c r="IA38" s="6">
        <f t="shared" si="67"/>
        <v>5660.3049099999998</v>
      </c>
      <c r="IB38" s="6">
        <f t="shared" si="67"/>
        <v>5660.3049099999998</v>
      </c>
      <c r="IC38" s="6">
        <f t="shared" si="67"/>
        <v>5660.3049099999998</v>
      </c>
      <c r="ID38" s="6">
        <f t="shared" si="67"/>
        <v>5660.3049099999998</v>
      </c>
      <c r="IE38" s="6">
        <f t="shared" si="67"/>
        <v>5660.3049099999998</v>
      </c>
      <c r="IF38" s="6">
        <f t="shared" si="67"/>
        <v>5660.3049099999998</v>
      </c>
      <c r="IG38" s="6">
        <f t="shared" si="67"/>
        <v>5660.3049099999998</v>
      </c>
      <c r="IH38" s="6">
        <f t="shared" si="67"/>
        <v>5660.3049099999998</v>
      </c>
      <c r="II38" s="6">
        <f t="shared" si="67"/>
        <v>5660.3049099999998</v>
      </c>
      <c r="IJ38" s="6">
        <f t="shared" si="67"/>
        <v>5660.3049099999998</v>
      </c>
      <c r="IK38" s="6">
        <f t="shared" si="67"/>
        <v>5873.5232100000003</v>
      </c>
      <c r="IL38" s="6">
        <f t="shared" si="67"/>
        <v>5873.5232100000003</v>
      </c>
      <c r="IM38" s="6">
        <f t="shared" si="67"/>
        <v>5873.5232100000003</v>
      </c>
      <c r="IN38" s="6">
        <f t="shared" si="67"/>
        <v>5873.5232100000003</v>
      </c>
      <c r="IO38" s="6">
        <f t="shared" si="67"/>
        <v>5873.5232100000003</v>
      </c>
      <c r="IP38" s="6">
        <f t="shared" si="67"/>
        <v>5873.5232100000003</v>
      </c>
      <c r="IQ38" s="6">
        <f t="shared" si="67"/>
        <v>5873.5232100000003</v>
      </c>
      <c r="IR38" s="6">
        <f t="shared" si="67"/>
        <v>5873.5232100000003</v>
      </c>
      <c r="IS38" s="6">
        <f t="shared" si="67"/>
        <v>5873.5232100000003</v>
      </c>
      <c r="IT38" s="6">
        <f t="shared" si="67"/>
        <v>5873.5232100000003</v>
      </c>
      <c r="IU38" s="6">
        <f t="shared" si="67"/>
        <v>5873.5232100000003</v>
      </c>
      <c r="IV38" s="6">
        <f t="shared" si="67"/>
        <v>5873.5232100000003</v>
      </c>
      <c r="IW38" s="6">
        <f t="shared" si="67"/>
        <v>6089.1960200000003</v>
      </c>
      <c r="IX38" s="6">
        <f t="shared" si="67"/>
        <v>6089.1960200000003</v>
      </c>
      <c r="IY38" s="6">
        <f t="shared" si="67"/>
        <v>6089.1960200000003</v>
      </c>
      <c r="IZ38" s="6">
        <f t="shared" si="67"/>
        <v>6089.1960200000003</v>
      </c>
      <c r="JA38" s="6">
        <f t="shared" si="67"/>
        <v>6089.1960200000003</v>
      </c>
      <c r="JB38" s="6">
        <f t="shared" ref="JB38:KS38" si="68">+JB21-JB35-JB36</f>
        <v>6089.1960200000003</v>
      </c>
      <c r="JC38" s="6">
        <f t="shared" si="68"/>
        <v>6089.1960200000003</v>
      </c>
      <c r="JD38" s="6">
        <f t="shared" si="68"/>
        <v>6089.1960200000003</v>
      </c>
      <c r="JE38" s="6">
        <f t="shared" si="68"/>
        <v>6089.1960200000003</v>
      </c>
      <c r="JF38" s="6">
        <f t="shared" si="68"/>
        <v>6089.1960200000003</v>
      </c>
      <c r="JG38" s="6">
        <f t="shared" si="68"/>
        <v>6089.1960200000003</v>
      </c>
      <c r="JH38" s="6">
        <f t="shared" si="68"/>
        <v>6089.1960200000003</v>
      </c>
      <c r="JI38" s="6">
        <f t="shared" si="68"/>
        <v>6307.1998700000004</v>
      </c>
      <c r="JJ38" s="6">
        <f t="shared" si="68"/>
        <v>6307.1998700000004</v>
      </c>
      <c r="JK38" s="6">
        <f t="shared" si="68"/>
        <v>6307.1998700000004</v>
      </c>
      <c r="JL38" s="6">
        <f t="shared" si="68"/>
        <v>6307.1998700000004</v>
      </c>
      <c r="JM38" s="6">
        <f t="shared" si="68"/>
        <v>6307.1998700000004</v>
      </c>
      <c r="JN38" s="6">
        <f t="shared" si="68"/>
        <v>6307.1998700000004</v>
      </c>
      <c r="JO38" s="6">
        <f t="shared" si="68"/>
        <v>6307.1998700000004</v>
      </c>
      <c r="JP38" s="6">
        <f t="shared" si="68"/>
        <v>6307.1998700000004</v>
      </c>
      <c r="JQ38" s="6">
        <f t="shared" si="68"/>
        <v>6307.1998700000004</v>
      </c>
      <c r="JR38" s="6">
        <f t="shared" si="68"/>
        <v>6307.1998700000004</v>
      </c>
      <c r="JS38" s="6">
        <f t="shared" si="68"/>
        <v>6307.1998700000004</v>
      </c>
      <c r="JT38" s="6">
        <f t="shared" si="68"/>
        <v>6307.1998700000004</v>
      </c>
      <c r="JU38" s="6">
        <f t="shared" si="68"/>
        <v>2201.19886</v>
      </c>
      <c r="JV38" s="6">
        <f t="shared" si="68"/>
        <v>6527.3977299999997</v>
      </c>
      <c r="JW38" s="6">
        <f t="shared" si="68"/>
        <v>6527.3977299999997</v>
      </c>
      <c r="JX38" s="6">
        <f t="shared" si="68"/>
        <v>6527.3977299999997</v>
      </c>
      <c r="JY38" s="6">
        <f t="shared" si="68"/>
        <v>6527.3977299999997</v>
      </c>
      <c r="JZ38" s="6">
        <f t="shared" si="68"/>
        <v>6527.3977299999997</v>
      </c>
      <c r="KA38" s="6">
        <f t="shared" si="68"/>
        <v>6527.3977299999997</v>
      </c>
      <c r="KB38" s="6">
        <f t="shared" si="68"/>
        <v>6527.3977299999997</v>
      </c>
      <c r="KC38" s="6">
        <f t="shared" si="68"/>
        <v>6527.3977299999997</v>
      </c>
      <c r="KD38" s="6">
        <f t="shared" si="68"/>
        <v>6527.3977299999997</v>
      </c>
      <c r="KE38" s="6">
        <f t="shared" si="68"/>
        <v>6527.3977299999997</v>
      </c>
      <c r="KF38" s="6">
        <f t="shared" si="68"/>
        <v>6527.3977299999997</v>
      </c>
      <c r="KG38" s="6">
        <f t="shared" si="68"/>
        <v>6749.6381199999996</v>
      </c>
      <c r="KH38" s="6">
        <f t="shared" si="68"/>
        <v>6749.6381199999996</v>
      </c>
      <c r="KI38" s="6">
        <f t="shared" si="68"/>
        <v>6749.6381199999996</v>
      </c>
      <c r="KJ38" s="6">
        <f t="shared" si="68"/>
        <v>6749.6381199999996</v>
      </c>
      <c r="KK38" s="6">
        <f t="shared" si="68"/>
        <v>6749.6381199999996</v>
      </c>
      <c r="KL38" s="6">
        <f t="shared" si="68"/>
        <v>6749.6381199999996</v>
      </c>
      <c r="KM38" s="6">
        <f t="shared" si="68"/>
        <v>6749.6381199999996</v>
      </c>
      <c r="KN38" s="6">
        <f t="shared" si="68"/>
        <v>6749.6381199999996</v>
      </c>
      <c r="KO38" s="6">
        <f t="shared" si="68"/>
        <v>6749.6381199999996</v>
      </c>
      <c r="KP38" s="6">
        <f t="shared" si="68"/>
        <v>6749.6381199999996</v>
      </c>
      <c r="KQ38" s="6">
        <f t="shared" si="68"/>
        <v>6749.6381199999996</v>
      </c>
      <c r="KR38" s="6">
        <f t="shared" si="68"/>
        <v>6749.6381199999996</v>
      </c>
      <c r="KS38" s="6">
        <f t="shared" si="68"/>
        <v>6973.75414</v>
      </c>
    </row>
    <row r="39" spans="2:16384">
      <c r="B39" s="30"/>
    </row>
    <row r="40" spans="2:16384">
      <c r="B40" s="23" t="s">
        <v>34</v>
      </c>
    </row>
    <row r="41" spans="2:16384">
      <c r="B41" s="21" t="s">
        <v>56</v>
      </c>
      <c r="C41" s="22">
        <f>Inputs!E21</f>
        <v>0.7</v>
      </c>
      <c r="E41" s="6">
        <f>E38*$C$41</f>
        <v>0</v>
      </c>
      <c r="F41" s="6">
        <f t="shared" ref="F41:BQ41" si="69">F38*$C$41</f>
        <v>0</v>
      </c>
      <c r="G41" s="6">
        <f t="shared" si="69"/>
        <v>0</v>
      </c>
      <c r="H41" s="6">
        <f t="shared" si="69"/>
        <v>0</v>
      </c>
      <c r="I41" s="6">
        <f t="shared" si="69"/>
        <v>0</v>
      </c>
      <c r="J41" s="6">
        <f t="shared" si="69"/>
        <v>0</v>
      </c>
      <c r="K41" s="6">
        <f t="shared" si="69"/>
        <v>0</v>
      </c>
      <c r="L41" s="6">
        <f t="shared" si="69"/>
        <v>0</v>
      </c>
      <c r="M41" s="6">
        <f t="shared" si="69"/>
        <v>0</v>
      </c>
      <c r="N41" s="6">
        <f t="shared" si="69"/>
        <v>0</v>
      </c>
      <c r="O41" s="6">
        <f t="shared" si="69"/>
        <v>0</v>
      </c>
      <c r="P41" s="6">
        <f t="shared" si="69"/>
        <v>0</v>
      </c>
      <c r="Q41" s="6">
        <f t="shared" si="69"/>
        <v>0</v>
      </c>
      <c r="R41" s="6">
        <f t="shared" si="69"/>
        <v>0</v>
      </c>
      <c r="S41" s="6">
        <f t="shared" si="69"/>
        <v>0</v>
      </c>
      <c r="T41" s="6">
        <f t="shared" si="69"/>
        <v>0</v>
      </c>
      <c r="U41" s="6">
        <f t="shared" si="69"/>
        <v>0</v>
      </c>
      <c r="V41" s="6">
        <f t="shared" si="69"/>
        <v>0</v>
      </c>
      <c r="W41" s="6">
        <f t="shared" si="69"/>
        <v>0</v>
      </c>
      <c r="X41" s="6">
        <f t="shared" si="69"/>
        <v>0</v>
      </c>
      <c r="Y41" s="6">
        <f t="shared" si="69"/>
        <v>0</v>
      </c>
      <c r="Z41" s="6">
        <f t="shared" si="69"/>
        <v>0</v>
      </c>
      <c r="AA41" s="6">
        <f t="shared" si="69"/>
        <v>0</v>
      </c>
      <c r="AB41" s="6">
        <f t="shared" si="69"/>
        <v>0</v>
      </c>
      <c r="AC41" s="6">
        <f t="shared" si="69"/>
        <v>0</v>
      </c>
      <c r="AD41" s="6">
        <f t="shared" si="69"/>
        <v>0</v>
      </c>
      <c r="AE41" s="6">
        <f t="shared" si="69"/>
        <v>0</v>
      </c>
      <c r="AF41" s="6">
        <f t="shared" si="69"/>
        <v>0</v>
      </c>
      <c r="AG41" s="6">
        <f t="shared" si="69"/>
        <v>0</v>
      </c>
      <c r="AH41" s="6">
        <f t="shared" si="69"/>
        <v>0</v>
      </c>
      <c r="AI41" s="6">
        <f t="shared" si="69"/>
        <v>0</v>
      </c>
      <c r="AJ41" s="6">
        <f t="shared" si="69"/>
        <v>0</v>
      </c>
      <c r="AK41" s="6">
        <f t="shared" si="69"/>
        <v>0</v>
      </c>
      <c r="AL41" s="6">
        <f t="shared" si="69"/>
        <v>0</v>
      </c>
      <c r="AM41" s="6">
        <f t="shared" si="69"/>
        <v>0</v>
      </c>
      <c r="AN41" s="6">
        <f t="shared" si="69"/>
        <v>0</v>
      </c>
      <c r="AO41" s="6">
        <f t="shared" si="69"/>
        <v>0</v>
      </c>
      <c r="AP41" s="6">
        <f t="shared" si="69"/>
        <v>0</v>
      </c>
      <c r="AQ41" s="6">
        <f t="shared" si="69"/>
        <v>0</v>
      </c>
      <c r="AR41" s="6">
        <f t="shared" si="69"/>
        <v>0</v>
      </c>
      <c r="AS41" s="6">
        <f t="shared" si="69"/>
        <v>0</v>
      </c>
      <c r="AT41" s="6">
        <f t="shared" si="69"/>
        <v>0</v>
      </c>
      <c r="AU41" s="6">
        <f t="shared" si="69"/>
        <v>0</v>
      </c>
      <c r="AV41" s="6">
        <f t="shared" si="69"/>
        <v>0</v>
      </c>
      <c r="AW41" s="6">
        <f t="shared" si="69"/>
        <v>0</v>
      </c>
      <c r="AX41" s="6">
        <f t="shared" si="69"/>
        <v>0</v>
      </c>
      <c r="AY41" s="6">
        <f t="shared" si="69"/>
        <v>0</v>
      </c>
      <c r="AZ41" s="6">
        <f t="shared" si="69"/>
        <v>0</v>
      </c>
      <c r="BA41" s="6">
        <f t="shared" si="69"/>
        <v>0</v>
      </c>
      <c r="BB41" s="6">
        <f t="shared" si="69"/>
        <v>0</v>
      </c>
      <c r="BC41" s="6">
        <f t="shared" si="69"/>
        <v>0</v>
      </c>
      <c r="BD41" s="6">
        <f t="shared" si="69"/>
        <v>0</v>
      </c>
      <c r="BE41" s="6">
        <f t="shared" si="69"/>
        <v>0</v>
      </c>
      <c r="BF41" s="6">
        <f t="shared" si="69"/>
        <v>0</v>
      </c>
      <c r="BG41" s="6">
        <f t="shared" si="69"/>
        <v>0</v>
      </c>
      <c r="BH41" s="6">
        <f t="shared" si="69"/>
        <v>0</v>
      </c>
      <c r="BI41" s="6">
        <f t="shared" si="69"/>
        <v>0</v>
      </c>
      <c r="BJ41" s="6">
        <f t="shared" si="69"/>
        <v>0</v>
      </c>
      <c r="BK41" s="6">
        <f t="shared" si="69"/>
        <v>0</v>
      </c>
      <c r="BL41" s="6">
        <f t="shared" si="69"/>
        <v>0</v>
      </c>
      <c r="BM41" s="6">
        <f t="shared" si="69"/>
        <v>0</v>
      </c>
      <c r="BN41" s="6">
        <f t="shared" si="69"/>
        <v>0</v>
      </c>
      <c r="BO41" s="6">
        <f t="shared" si="69"/>
        <v>0</v>
      </c>
      <c r="BP41" s="6">
        <f t="shared" si="69"/>
        <v>0</v>
      </c>
      <c r="BQ41" s="6">
        <f t="shared" si="69"/>
        <v>0</v>
      </c>
      <c r="BR41" s="6">
        <f t="shared" ref="BR41:EC41" si="70">BR38*$C$41</f>
        <v>0</v>
      </c>
      <c r="BS41" s="6">
        <f t="shared" si="70"/>
        <v>0</v>
      </c>
      <c r="BT41" s="6">
        <f t="shared" si="70"/>
        <v>0</v>
      </c>
      <c r="BU41" s="6">
        <f t="shared" si="70"/>
        <v>0</v>
      </c>
      <c r="BV41" s="6">
        <f t="shared" si="70"/>
        <v>0</v>
      </c>
      <c r="BW41" s="6">
        <f t="shared" si="70"/>
        <v>0</v>
      </c>
      <c r="BX41" s="6">
        <f t="shared" si="70"/>
        <v>0</v>
      </c>
      <c r="BY41" s="6">
        <f t="shared" si="70"/>
        <v>0</v>
      </c>
      <c r="BZ41" s="6">
        <f t="shared" si="70"/>
        <v>0</v>
      </c>
      <c r="CA41" s="6">
        <f t="shared" si="70"/>
        <v>0</v>
      </c>
      <c r="CB41" s="6">
        <f t="shared" si="70"/>
        <v>0</v>
      </c>
      <c r="CC41" s="6">
        <f t="shared" si="70"/>
        <v>0</v>
      </c>
      <c r="CD41" s="6">
        <f t="shared" si="70"/>
        <v>0</v>
      </c>
      <c r="CE41" s="6">
        <f t="shared" si="70"/>
        <v>0</v>
      </c>
      <c r="CF41" s="6">
        <f t="shared" si="70"/>
        <v>0</v>
      </c>
      <c r="CG41" s="6">
        <f t="shared" si="70"/>
        <v>0</v>
      </c>
      <c r="CH41" s="6">
        <f t="shared" si="70"/>
        <v>0</v>
      </c>
      <c r="CI41" s="6">
        <f t="shared" si="70"/>
        <v>0</v>
      </c>
      <c r="CJ41" s="6">
        <f t="shared" si="70"/>
        <v>891.24082519699493</v>
      </c>
      <c r="CK41" s="6">
        <f t="shared" si="70"/>
        <v>2326.0576430000001</v>
      </c>
      <c r="CL41" s="6">
        <f t="shared" si="70"/>
        <v>2326.0576430000001</v>
      </c>
      <c r="CM41" s="6">
        <f t="shared" si="70"/>
        <v>2326.0576430000001</v>
      </c>
      <c r="CN41" s="6">
        <f t="shared" si="70"/>
        <v>2326.0576430000001</v>
      </c>
      <c r="CO41" s="6">
        <f t="shared" si="70"/>
        <v>2326.0576430000001</v>
      </c>
      <c r="CP41" s="6">
        <f t="shared" si="70"/>
        <v>2326.0576430000001</v>
      </c>
      <c r="CQ41" s="6">
        <f t="shared" si="70"/>
        <v>2326.0576430000001</v>
      </c>
      <c r="CR41" s="6">
        <f t="shared" si="70"/>
        <v>2326.0576430000001</v>
      </c>
      <c r="CS41" s="6">
        <f t="shared" si="70"/>
        <v>2326.0576430000001</v>
      </c>
      <c r="CT41" s="6">
        <f t="shared" si="70"/>
        <v>2326.0576430000001</v>
      </c>
      <c r="CU41" s="6">
        <f t="shared" si="70"/>
        <v>2326.0576430000001</v>
      </c>
      <c r="CV41" s="6">
        <f t="shared" si="70"/>
        <v>2326.0576430000001</v>
      </c>
      <c r="CW41" s="6">
        <f t="shared" si="70"/>
        <v>481.59164899999996</v>
      </c>
      <c r="CX41" s="6">
        <f t="shared" si="70"/>
        <v>166.559946</v>
      </c>
      <c r="CY41" s="6">
        <f t="shared" si="70"/>
        <v>558.29113899999993</v>
      </c>
      <c r="CZ41" s="6">
        <f t="shared" si="70"/>
        <v>390.80628999999999</v>
      </c>
      <c r="DA41" s="6">
        <f t="shared" si="70"/>
        <v>489.12847199999993</v>
      </c>
      <c r="DB41" s="6">
        <f t="shared" si="70"/>
        <v>447.59689099999997</v>
      </c>
      <c r="DC41" s="6">
        <f t="shared" si="70"/>
        <v>451.58417500000002</v>
      </c>
      <c r="DD41" s="6">
        <f t="shared" si="70"/>
        <v>88.861219999999989</v>
      </c>
      <c r="DE41" s="6">
        <f t="shared" si="70"/>
        <v>2450.6832979999999</v>
      </c>
      <c r="DF41" s="6">
        <f t="shared" si="70"/>
        <v>2450.6832979999999</v>
      </c>
      <c r="DG41" s="6">
        <f t="shared" si="70"/>
        <v>2450.6832979999999</v>
      </c>
      <c r="DH41" s="6">
        <f t="shared" si="70"/>
        <v>2450.6832979999999</v>
      </c>
      <c r="DI41" s="6">
        <f t="shared" si="70"/>
        <v>2577.5111739999998</v>
      </c>
      <c r="DJ41" s="6">
        <f t="shared" si="70"/>
        <v>2577.5111739999998</v>
      </c>
      <c r="DK41" s="6">
        <f t="shared" si="70"/>
        <v>2577.5111739999998</v>
      </c>
      <c r="DL41" s="6">
        <f t="shared" si="70"/>
        <v>2577.5111739999998</v>
      </c>
      <c r="DM41" s="6">
        <f t="shared" si="70"/>
        <v>2577.5111739999998</v>
      </c>
      <c r="DN41" s="6">
        <f t="shared" si="70"/>
        <v>2577.5111739999998</v>
      </c>
      <c r="DO41" s="6">
        <f t="shared" si="70"/>
        <v>2577.5111739999998</v>
      </c>
      <c r="DP41" s="6">
        <f t="shared" si="70"/>
        <v>2577.5111739999998</v>
      </c>
      <c r="DQ41" s="6">
        <f t="shared" si="70"/>
        <v>2577.5111739999998</v>
      </c>
      <c r="DR41" s="6">
        <f t="shared" si="70"/>
        <v>2577.5111739999998</v>
      </c>
      <c r="DS41" s="6">
        <f t="shared" si="70"/>
        <v>2577.5111739999998</v>
      </c>
      <c r="DT41" s="6">
        <f t="shared" si="70"/>
        <v>2577.5111739999998</v>
      </c>
      <c r="DU41" s="6">
        <f t="shared" si="70"/>
        <v>2706.5304979999996</v>
      </c>
      <c r="DV41" s="6">
        <f t="shared" si="70"/>
        <v>2706.5304979999996</v>
      </c>
      <c r="DW41" s="6">
        <f t="shared" si="70"/>
        <v>2706.5304979999996</v>
      </c>
      <c r="DX41" s="6">
        <f t="shared" si="70"/>
        <v>2706.5304979999996</v>
      </c>
      <c r="DY41" s="6">
        <f t="shared" si="70"/>
        <v>2706.5304979999996</v>
      </c>
      <c r="DZ41" s="6">
        <f t="shared" si="70"/>
        <v>2706.5304979999996</v>
      </c>
      <c r="EA41" s="6">
        <f t="shared" si="70"/>
        <v>2706.5304979999996</v>
      </c>
      <c r="EB41" s="6">
        <f t="shared" si="70"/>
        <v>2706.5304979999996</v>
      </c>
      <c r="EC41" s="6">
        <f t="shared" si="70"/>
        <v>2706.5304979999996</v>
      </c>
      <c r="ED41" s="6">
        <f t="shared" ref="ED41:GO41" si="71">ED38*$C$41</f>
        <v>2706.5304979999996</v>
      </c>
      <c r="EE41" s="6">
        <f t="shared" si="71"/>
        <v>2706.5304979999996</v>
      </c>
      <c r="EF41" s="6">
        <f t="shared" si="71"/>
        <v>2706.5304979999996</v>
      </c>
      <c r="EG41" s="6">
        <f t="shared" si="71"/>
        <v>2837.7263529999996</v>
      </c>
      <c r="EH41" s="6">
        <f t="shared" si="71"/>
        <v>2837.7263529999996</v>
      </c>
      <c r="EI41" s="6">
        <f t="shared" si="71"/>
        <v>2837.7263529999996</v>
      </c>
      <c r="EJ41" s="6">
        <f t="shared" si="71"/>
        <v>2837.7263529999996</v>
      </c>
      <c r="EK41" s="6">
        <f t="shared" si="71"/>
        <v>2837.7263529999996</v>
      </c>
      <c r="EL41" s="6">
        <f t="shared" si="71"/>
        <v>2837.7263529999996</v>
      </c>
      <c r="EM41" s="6">
        <f t="shared" si="71"/>
        <v>2837.7263529999996</v>
      </c>
      <c r="EN41" s="6">
        <f t="shared" si="71"/>
        <v>2837.7263529999996</v>
      </c>
      <c r="EO41" s="6">
        <f t="shared" si="71"/>
        <v>2837.7263529999996</v>
      </c>
      <c r="EP41" s="6">
        <f t="shared" si="71"/>
        <v>2837.7263529999996</v>
      </c>
      <c r="EQ41" s="6">
        <f t="shared" si="71"/>
        <v>2837.7263529999996</v>
      </c>
      <c r="ER41" s="6">
        <f t="shared" si="71"/>
        <v>2837.7263529999996</v>
      </c>
      <c r="ES41" s="6">
        <f t="shared" si="71"/>
        <v>2971.0793349999999</v>
      </c>
      <c r="ET41" s="6">
        <f t="shared" si="71"/>
        <v>2971.0793349999999</v>
      </c>
      <c r="EU41" s="6">
        <f t="shared" si="71"/>
        <v>2971.0793349999999</v>
      </c>
      <c r="EV41" s="6">
        <f t="shared" si="71"/>
        <v>2971.0793349999999</v>
      </c>
      <c r="EW41" s="6">
        <f t="shared" si="71"/>
        <v>2971.0793349999999</v>
      </c>
      <c r="EX41" s="6">
        <f t="shared" si="71"/>
        <v>2971.0793349999999</v>
      </c>
      <c r="EY41" s="6">
        <f t="shared" si="71"/>
        <v>2971.0793349999999</v>
      </c>
      <c r="EZ41" s="6">
        <f t="shared" si="71"/>
        <v>2971.0793349999999</v>
      </c>
      <c r="FA41" s="6">
        <f t="shared" si="71"/>
        <v>2971.0793349999999</v>
      </c>
      <c r="FB41" s="6">
        <f t="shared" si="71"/>
        <v>2971.0793349999999</v>
      </c>
      <c r="FC41" s="6">
        <f t="shared" si="71"/>
        <v>2971.0793349999999</v>
      </c>
      <c r="FD41" s="6">
        <f t="shared" si="71"/>
        <v>2971.0793349999999</v>
      </c>
      <c r="FE41" s="6">
        <f t="shared" si="71"/>
        <v>809.53260499999999</v>
      </c>
      <c r="FF41" s="6">
        <f t="shared" si="71"/>
        <v>2966.7628690000001</v>
      </c>
      <c r="FG41" s="6">
        <f t="shared" si="71"/>
        <v>1620.9831819999997</v>
      </c>
      <c r="FH41" s="6">
        <f t="shared" si="71"/>
        <v>2028.4220389999998</v>
      </c>
      <c r="FI41" s="6">
        <f t="shared" si="71"/>
        <v>3139.6135260000001</v>
      </c>
      <c r="FJ41" s="6">
        <f t="shared" si="71"/>
        <v>692.1527759999999</v>
      </c>
      <c r="FK41" s="6">
        <f t="shared" si="71"/>
        <v>1138.058145</v>
      </c>
      <c r="FL41" s="6">
        <f t="shared" si="71"/>
        <v>2903.7997449999998</v>
      </c>
      <c r="FM41" s="6">
        <f t="shared" si="71"/>
        <v>3106.5652100000002</v>
      </c>
      <c r="FN41" s="6">
        <f t="shared" si="71"/>
        <v>3106.5652100000002</v>
      </c>
      <c r="FO41" s="6">
        <f t="shared" si="71"/>
        <v>3106.5652100000002</v>
      </c>
      <c r="FP41" s="6">
        <f t="shared" si="71"/>
        <v>3106.5652100000002</v>
      </c>
      <c r="FQ41" s="6">
        <f t="shared" si="71"/>
        <v>3244.1545919999999</v>
      </c>
      <c r="FR41" s="6">
        <f t="shared" si="71"/>
        <v>3244.1545919999999</v>
      </c>
      <c r="FS41" s="6">
        <f t="shared" si="71"/>
        <v>3244.1545919999999</v>
      </c>
      <c r="FT41" s="6">
        <f t="shared" si="71"/>
        <v>3244.1545919999999</v>
      </c>
      <c r="FU41" s="6">
        <f t="shared" si="71"/>
        <v>3244.1545919999999</v>
      </c>
      <c r="FV41" s="6">
        <f t="shared" si="71"/>
        <v>3244.1545919999999</v>
      </c>
      <c r="FW41" s="6">
        <f t="shared" si="71"/>
        <v>3244.1545919999999</v>
      </c>
      <c r="FX41" s="6">
        <f t="shared" si="71"/>
        <v>3244.1545919999999</v>
      </c>
      <c r="FY41" s="6">
        <f t="shared" si="71"/>
        <v>3244.1545919999999</v>
      </c>
      <c r="FZ41" s="6">
        <f t="shared" si="71"/>
        <v>3244.1545919999999</v>
      </c>
      <c r="GA41" s="6">
        <f t="shared" si="71"/>
        <v>3244.1545919999999</v>
      </c>
      <c r="GB41" s="6">
        <f t="shared" si="71"/>
        <v>3244.1545919999999</v>
      </c>
      <c r="GC41" s="6">
        <f t="shared" si="71"/>
        <v>3383.8125230000001</v>
      </c>
      <c r="GD41" s="6">
        <f t="shared" si="71"/>
        <v>3383.8125230000001</v>
      </c>
      <c r="GE41" s="6">
        <f t="shared" si="71"/>
        <v>3383.8125230000001</v>
      </c>
      <c r="GF41" s="6">
        <f t="shared" si="71"/>
        <v>3383.8125230000001</v>
      </c>
      <c r="GG41" s="6">
        <f t="shared" si="71"/>
        <v>3383.8125230000001</v>
      </c>
      <c r="GH41" s="6">
        <f t="shared" si="71"/>
        <v>3383.8125230000001</v>
      </c>
      <c r="GI41" s="6">
        <f t="shared" si="71"/>
        <v>3383.8125230000001</v>
      </c>
      <c r="GJ41" s="6">
        <f t="shared" si="71"/>
        <v>3383.8125230000001</v>
      </c>
      <c r="GK41" s="6">
        <f t="shared" si="71"/>
        <v>3383.8125230000001</v>
      </c>
      <c r="GL41" s="6">
        <f t="shared" si="71"/>
        <v>3383.8125230000001</v>
      </c>
      <c r="GM41" s="6">
        <f t="shared" si="71"/>
        <v>3383.8125230000001</v>
      </c>
      <c r="GN41" s="6">
        <f t="shared" si="71"/>
        <v>3383.8125230000001</v>
      </c>
      <c r="GO41" s="6">
        <f t="shared" si="71"/>
        <v>3525.4981089999997</v>
      </c>
      <c r="GP41" s="6">
        <f t="shared" ref="GP41:JA41" si="72">GP38*$C$41</f>
        <v>3525.4981089999997</v>
      </c>
      <c r="GQ41" s="6">
        <f t="shared" si="72"/>
        <v>3525.4981089999997</v>
      </c>
      <c r="GR41" s="6">
        <f t="shared" si="72"/>
        <v>3525.4981089999997</v>
      </c>
      <c r="GS41" s="6">
        <f t="shared" si="72"/>
        <v>3525.4981089999997</v>
      </c>
      <c r="GT41" s="6">
        <f t="shared" si="72"/>
        <v>3525.4981089999997</v>
      </c>
      <c r="GU41" s="6">
        <f t="shared" si="72"/>
        <v>3525.4981089999997</v>
      </c>
      <c r="GV41" s="6">
        <f t="shared" si="72"/>
        <v>3525.4981089999997</v>
      </c>
      <c r="GW41" s="6">
        <f t="shared" si="72"/>
        <v>3525.4981089999997</v>
      </c>
      <c r="GX41" s="6">
        <f t="shared" si="72"/>
        <v>3525.4981089999997</v>
      </c>
      <c r="GY41" s="6">
        <f t="shared" si="72"/>
        <v>3525.4981089999997</v>
      </c>
      <c r="GZ41" s="6">
        <f t="shared" si="72"/>
        <v>3525.4981089999997</v>
      </c>
      <c r="HA41" s="6">
        <f t="shared" si="72"/>
        <v>3669.1640719999996</v>
      </c>
      <c r="HB41" s="6">
        <f t="shared" si="72"/>
        <v>3669.1640719999996</v>
      </c>
      <c r="HC41" s="6">
        <f t="shared" si="72"/>
        <v>3669.1640719999996</v>
      </c>
      <c r="HD41" s="6">
        <f t="shared" si="72"/>
        <v>3669.1640719999996</v>
      </c>
      <c r="HE41" s="6">
        <f t="shared" si="72"/>
        <v>3669.1640719999996</v>
      </c>
      <c r="HF41" s="6">
        <f t="shared" si="72"/>
        <v>3669.1640719999996</v>
      </c>
      <c r="HG41" s="6">
        <f t="shared" si="72"/>
        <v>3669.1640719999996</v>
      </c>
      <c r="HH41" s="6">
        <f t="shared" si="72"/>
        <v>3669.1640719999996</v>
      </c>
      <c r="HI41" s="6">
        <f t="shared" si="72"/>
        <v>3669.1640719999996</v>
      </c>
      <c r="HJ41" s="6">
        <f t="shared" si="72"/>
        <v>3669.1640719999996</v>
      </c>
      <c r="HK41" s="6">
        <f t="shared" si="72"/>
        <v>3669.1640719999996</v>
      </c>
      <c r="HL41" s="6">
        <f t="shared" si="72"/>
        <v>3669.1640719999996</v>
      </c>
      <c r="HM41" s="6">
        <f t="shared" si="72"/>
        <v>1163.628158</v>
      </c>
      <c r="HN41" s="6">
        <f t="shared" si="72"/>
        <v>1138.267613</v>
      </c>
      <c r="HO41" s="6">
        <f t="shared" si="72"/>
        <v>1567.8623239999999</v>
      </c>
      <c r="HP41" s="6">
        <f t="shared" si="72"/>
        <v>1371.421891</v>
      </c>
      <c r="HQ41" s="6">
        <f t="shared" si="72"/>
        <v>1268.6451259999999</v>
      </c>
      <c r="HR41" s="6">
        <f t="shared" si="72"/>
        <v>1009.5878029999999</v>
      </c>
      <c r="HS41" s="6">
        <f t="shared" si="72"/>
        <v>2085.274324</v>
      </c>
      <c r="HT41" s="6">
        <f t="shared" si="72"/>
        <v>3814.7563089999994</v>
      </c>
      <c r="HU41" s="6">
        <f t="shared" si="72"/>
        <v>3814.7563089999994</v>
      </c>
      <c r="HV41" s="6">
        <f t="shared" si="72"/>
        <v>3814.7563089999994</v>
      </c>
      <c r="HW41" s="6">
        <f t="shared" si="72"/>
        <v>3814.7563089999994</v>
      </c>
      <c r="HX41" s="6">
        <f t="shared" si="72"/>
        <v>3814.7563089999994</v>
      </c>
      <c r="HY41" s="6">
        <f t="shared" si="72"/>
        <v>3962.2134369999994</v>
      </c>
      <c r="HZ41" s="6">
        <f t="shared" si="72"/>
        <v>3962.2134369999994</v>
      </c>
      <c r="IA41" s="6">
        <f t="shared" si="72"/>
        <v>3962.2134369999994</v>
      </c>
      <c r="IB41" s="6">
        <f t="shared" si="72"/>
        <v>3962.2134369999994</v>
      </c>
      <c r="IC41" s="6">
        <f t="shared" si="72"/>
        <v>3962.2134369999994</v>
      </c>
      <c r="ID41" s="6">
        <f t="shared" si="72"/>
        <v>3962.2134369999994</v>
      </c>
      <c r="IE41" s="6">
        <f t="shared" si="72"/>
        <v>3962.2134369999994</v>
      </c>
      <c r="IF41" s="6">
        <f t="shared" si="72"/>
        <v>3962.2134369999994</v>
      </c>
      <c r="IG41" s="6">
        <f t="shared" si="72"/>
        <v>3962.2134369999994</v>
      </c>
      <c r="IH41" s="6">
        <f t="shared" si="72"/>
        <v>3962.2134369999994</v>
      </c>
      <c r="II41" s="6">
        <f t="shared" si="72"/>
        <v>3962.2134369999994</v>
      </c>
      <c r="IJ41" s="6">
        <f t="shared" si="72"/>
        <v>3962.2134369999994</v>
      </c>
      <c r="IK41" s="6">
        <f t="shared" si="72"/>
        <v>4111.4662470000003</v>
      </c>
      <c r="IL41" s="6">
        <f t="shared" si="72"/>
        <v>4111.4662470000003</v>
      </c>
      <c r="IM41" s="6">
        <f t="shared" si="72"/>
        <v>4111.4662470000003</v>
      </c>
      <c r="IN41" s="6">
        <f t="shared" si="72"/>
        <v>4111.4662470000003</v>
      </c>
      <c r="IO41" s="6">
        <f t="shared" si="72"/>
        <v>4111.4662470000003</v>
      </c>
      <c r="IP41" s="6">
        <f t="shared" si="72"/>
        <v>4111.4662470000003</v>
      </c>
      <c r="IQ41" s="6">
        <f t="shared" si="72"/>
        <v>4111.4662470000003</v>
      </c>
      <c r="IR41" s="6">
        <f t="shared" si="72"/>
        <v>4111.4662470000003</v>
      </c>
      <c r="IS41" s="6">
        <f t="shared" si="72"/>
        <v>4111.4662470000003</v>
      </c>
      <c r="IT41" s="6">
        <f t="shared" si="72"/>
        <v>4111.4662470000003</v>
      </c>
      <c r="IU41" s="6">
        <f t="shared" si="72"/>
        <v>4111.4662470000003</v>
      </c>
      <c r="IV41" s="6">
        <f t="shared" si="72"/>
        <v>4111.4662470000003</v>
      </c>
      <c r="IW41" s="6">
        <f t="shared" si="72"/>
        <v>4262.4372139999996</v>
      </c>
      <c r="IX41" s="6">
        <f t="shared" si="72"/>
        <v>4262.4372139999996</v>
      </c>
      <c r="IY41" s="6">
        <f t="shared" si="72"/>
        <v>4262.4372139999996</v>
      </c>
      <c r="IZ41" s="6">
        <f t="shared" si="72"/>
        <v>4262.4372139999996</v>
      </c>
      <c r="JA41" s="6">
        <f t="shared" si="72"/>
        <v>4262.4372139999996</v>
      </c>
      <c r="JB41" s="6">
        <f t="shared" ref="JB41:KS41" si="73">JB38*$C$41</f>
        <v>4262.4372139999996</v>
      </c>
      <c r="JC41" s="6">
        <f t="shared" si="73"/>
        <v>4262.4372139999996</v>
      </c>
      <c r="JD41" s="6">
        <f t="shared" si="73"/>
        <v>4262.4372139999996</v>
      </c>
      <c r="JE41" s="6">
        <f t="shared" si="73"/>
        <v>4262.4372139999996</v>
      </c>
      <c r="JF41" s="6">
        <f t="shared" si="73"/>
        <v>4262.4372139999996</v>
      </c>
      <c r="JG41" s="6">
        <f t="shared" si="73"/>
        <v>4262.4372139999996</v>
      </c>
      <c r="JH41" s="6">
        <f t="shared" si="73"/>
        <v>4262.4372139999996</v>
      </c>
      <c r="JI41" s="6">
        <f t="shared" si="73"/>
        <v>4415.0399090000001</v>
      </c>
      <c r="JJ41" s="6">
        <f t="shared" si="73"/>
        <v>4415.0399090000001</v>
      </c>
      <c r="JK41" s="6">
        <f t="shared" si="73"/>
        <v>4415.0399090000001</v>
      </c>
      <c r="JL41" s="6">
        <f t="shared" si="73"/>
        <v>4415.0399090000001</v>
      </c>
      <c r="JM41" s="6">
        <f t="shared" si="73"/>
        <v>4415.0399090000001</v>
      </c>
      <c r="JN41" s="6">
        <f t="shared" si="73"/>
        <v>4415.0399090000001</v>
      </c>
      <c r="JO41" s="6">
        <f t="shared" si="73"/>
        <v>4415.0399090000001</v>
      </c>
      <c r="JP41" s="6">
        <f t="shared" si="73"/>
        <v>4415.0399090000001</v>
      </c>
      <c r="JQ41" s="6">
        <f t="shared" si="73"/>
        <v>4415.0399090000001</v>
      </c>
      <c r="JR41" s="6">
        <f t="shared" si="73"/>
        <v>4415.0399090000001</v>
      </c>
      <c r="JS41" s="6">
        <f t="shared" si="73"/>
        <v>4415.0399090000001</v>
      </c>
      <c r="JT41" s="6">
        <f t="shared" si="73"/>
        <v>4415.0399090000001</v>
      </c>
      <c r="JU41" s="6">
        <f t="shared" si="73"/>
        <v>1540.8392019999999</v>
      </c>
      <c r="JV41" s="6">
        <f t="shared" si="73"/>
        <v>4569.1784109999999</v>
      </c>
      <c r="JW41" s="6">
        <f t="shared" si="73"/>
        <v>4569.1784109999999</v>
      </c>
      <c r="JX41" s="6">
        <f t="shared" si="73"/>
        <v>4569.1784109999999</v>
      </c>
      <c r="JY41" s="6">
        <f t="shared" si="73"/>
        <v>4569.1784109999999</v>
      </c>
      <c r="JZ41" s="6">
        <f t="shared" si="73"/>
        <v>4569.1784109999999</v>
      </c>
      <c r="KA41" s="6">
        <f t="shared" si="73"/>
        <v>4569.1784109999999</v>
      </c>
      <c r="KB41" s="6">
        <f t="shared" si="73"/>
        <v>4569.1784109999999</v>
      </c>
      <c r="KC41" s="6">
        <f t="shared" si="73"/>
        <v>4569.1784109999999</v>
      </c>
      <c r="KD41" s="6">
        <f t="shared" si="73"/>
        <v>4569.1784109999999</v>
      </c>
      <c r="KE41" s="6">
        <f t="shared" si="73"/>
        <v>4569.1784109999999</v>
      </c>
      <c r="KF41" s="6">
        <f t="shared" si="73"/>
        <v>4569.1784109999999</v>
      </c>
      <c r="KG41" s="6">
        <f t="shared" si="73"/>
        <v>4724.7466839999997</v>
      </c>
      <c r="KH41" s="6">
        <f t="shared" si="73"/>
        <v>4724.7466839999997</v>
      </c>
      <c r="KI41" s="6">
        <f t="shared" si="73"/>
        <v>4724.7466839999997</v>
      </c>
      <c r="KJ41" s="6">
        <f t="shared" si="73"/>
        <v>4724.7466839999997</v>
      </c>
      <c r="KK41" s="6">
        <f t="shared" si="73"/>
        <v>4724.7466839999997</v>
      </c>
      <c r="KL41" s="6">
        <f t="shared" si="73"/>
        <v>4724.7466839999997</v>
      </c>
      <c r="KM41" s="6">
        <f t="shared" si="73"/>
        <v>4724.7466839999997</v>
      </c>
      <c r="KN41" s="6">
        <f t="shared" si="73"/>
        <v>4724.7466839999997</v>
      </c>
      <c r="KO41" s="6">
        <f t="shared" si="73"/>
        <v>4724.7466839999997</v>
      </c>
      <c r="KP41" s="6">
        <f t="shared" si="73"/>
        <v>4724.7466839999997</v>
      </c>
      <c r="KQ41" s="6">
        <f t="shared" si="73"/>
        <v>4724.7466839999997</v>
      </c>
      <c r="KR41" s="6">
        <f t="shared" si="73"/>
        <v>4724.7466839999997</v>
      </c>
      <c r="KS41" s="6">
        <f t="shared" si="73"/>
        <v>4881.6278979999997</v>
      </c>
    </row>
    <row r="42" spans="2:16384">
      <c r="B42" s="21" t="s">
        <v>57</v>
      </c>
      <c r="C42" s="22">
        <f>Inputs!E22</f>
        <v>0.30000000000000004</v>
      </c>
      <c r="E42" s="6">
        <f>E38*$C$42</f>
        <v>0</v>
      </c>
      <c r="F42" s="6">
        <f t="shared" ref="F42:BQ42" si="74">F38*$C$42</f>
        <v>0</v>
      </c>
      <c r="G42" s="6">
        <f t="shared" si="74"/>
        <v>0</v>
      </c>
      <c r="H42" s="6">
        <f t="shared" si="74"/>
        <v>0</v>
      </c>
      <c r="I42" s="6">
        <f t="shared" si="74"/>
        <v>0</v>
      </c>
      <c r="J42" s="6">
        <f t="shared" si="74"/>
        <v>0</v>
      </c>
      <c r="K42" s="6">
        <f t="shared" si="74"/>
        <v>0</v>
      </c>
      <c r="L42" s="6">
        <f t="shared" si="74"/>
        <v>0</v>
      </c>
      <c r="M42" s="6">
        <f t="shared" si="74"/>
        <v>0</v>
      </c>
      <c r="N42" s="6">
        <f t="shared" si="74"/>
        <v>0</v>
      </c>
      <c r="O42" s="6">
        <f t="shared" si="74"/>
        <v>0</v>
      </c>
      <c r="P42" s="6">
        <f t="shared" si="74"/>
        <v>0</v>
      </c>
      <c r="Q42" s="6">
        <f t="shared" si="74"/>
        <v>0</v>
      </c>
      <c r="R42" s="6">
        <f t="shared" si="74"/>
        <v>0</v>
      </c>
      <c r="S42" s="6">
        <f t="shared" si="74"/>
        <v>0</v>
      </c>
      <c r="T42" s="6">
        <f t="shared" si="74"/>
        <v>0</v>
      </c>
      <c r="U42" s="6">
        <f t="shared" si="74"/>
        <v>0</v>
      </c>
      <c r="V42" s="6">
        <f t="shared" si="74"/>
        <v>0</v>
      </c>
      <c r="W42" s="6">
        <f t="shared" si="74"/>
        <v>0</v>
      </c>
      <c r="X42" s="6">
        <f t="shared" si="74"/>
        <v>0</v>
      </c>
      <c r="Y42" s="6">
        <f t="shared" si="74"/>
        <v>0</v>
      </c>
      <c r="Z42" s="6">
        <f t="shared" si="74"/>
        <v>0</v>
      </c>
      <c r="AA42" s="6">
        <f t="shared" si="74"/>
        <v>0</v>
      </c>
      <c r="AB42" s="6">
        <f t="shared" si="74"/>
        <v>0</v>
      </c>
      <c r="AC42" s="6">
        <f t="shared" si="74"/>
        <v>0</v>
      </c>
      <c r="AD42" s="6">
        <f t="shared" si="74"/>
        <v>0</v>
      </c>
      <c r="AE42" s="6">
        <f t="shared" si="74"/>
        <v>0</v>
      </c>
      <c r="AF42" s="6">
        <f t="shared" si="74"/>
        <v>0</v>
      </c>
      <c r="AG42" s="6">
        <f t="shared" si="74"/>
        <v>0</v>
      </c>
      <c r="AH42" s="6">
        <f t="shared" si="74"/>
        <v>0</v>
      </c>
      <c r="AI42" s="6">
        <f t="shared" si="74"/>
        <v>0</v>
      </c>
      <c r="AJ42" s="6">
        <f t="shared" si="74"/>
        <v>0</v>
      </c>
      <c r="AK42" s="6">
        <f t="shared" si="74"/>
        <v>0</v>
      </c>
      <c r="AL42" s="6">
        <f t="shared" si="74"/>
        <v>0</v>
      </c>
      <c r="AM42" s="6">
        <f t="shared" si="74"/>
        <v>0</v>
      </c>
      <c r="AN42" s="6">
        <f t="shared" si="74"/>
        <v>0</v>
      </c>
      <c r="AO42" s="6">
        <f t="shared" si="74"/>
        <v>0</v>
      </c>
      <c r="AP42" s="6">
        <f t="shared" si="74"/>
        <v>0</v>
      </c>
      <c r="AQ42" s="6">
        <f t="shared" si="74"/>
        <v>0</v>
      </c>
      <c r="AR42" s="6">
        <f t="shared" si="74"/>
        <v>0</v>
      </c>
      <c r="AS42" s="6">
        <f t="shared" si="74"/>
        <v>0</v>
      </c>
      <c r="AT42" s="6">
        <f t="shared" si="74"/>
        <v>0</v>
      </c>
      <c r="AU42" s="6">
        <f t="shared" si="74"/>
        <v>0</v>
      </c>
      <c r="AV42" s="6">
        <f t="shared" si="74"/>
        <v>0</v>
      </c>
      <c r="AW42" s="6">
        <f t="shared" si="74"/>
        <v>0</v>
      </c>
      <c r="AX42" s="6">
        <f t="shared" si="74"/>
        <v>0</v>
      </c>
      <c r="AY42" s="6">
        <f t="shared" si="74"/>
        <v>0</v>
      </c>
      <c r="AZ42" s="6">
        <f t="shared" si="74"/>
        <v>0</v>
      </c>
      <c r="BA42" s="6">
        <f t="shared" si="74"/>
        <v>0</v>
      </c>
      <c r="BB42" s="6">
        <f t="shared" si="74"/>
        <v>0</v>
      </c>
      <c r="BC42" s="6">
        <f t="shared" si="74"/>
        <v>0</v>
      </c>
      <c r="BD42" s="6">
        <f t="shared" si="74"/>
        <v>0</v>
      </c>
      <c r="BE42" s="6">
        <f t="shared" si="74"/>
        <v>0</v>
      </c>
      <c r="BF42" s="6">
        <f t="shared" si="74"/>
        <v>0</v>
      </c>
      <c r="BG42" s="6">
        <f t="shared" si="74"/>
        <v>0</v>
      </c>
      <c r="BH42" s="6">
        <f t="shared" si="74"/>
        <v>0</v>
      </c>
      <c r="BI42" s="6">
        <f t="shared" si="74"/>
        <v>0</v>
      </c>
      <c r="BJ42" s="6">
        <f t="shared" si="74"/>
        <v>0</v>
      </c>
      <c r="BK42" s="6">
        <f t="shared" si="74"/>
        <v>0</v>
      </c>
      <c r="BL42" s="6">
        <f t="shared" si="74"/>
        <v>0</v>
      </c>
      <c r="BM42" s="6">
        <f t="shared" si="74"/>
        <v>0</v>
      </c>
      <c r="BN42" s="6">
        <f t="shared" si="74"/>
        <v>0</v>
      </c>
      <c r="BO42" s="6">
        <f t="shared" si="74"/>
        <v>0</v>
      </c>
      <c r="BP42" s="6">
        <f t="shared" si="74"/>
        <v>0</v>
      </c>
      <c r="BQ42" s="6">
        <f t="shared" si="74"/>
        <v>0</v>
      </c>
      <c r="BR42" s="6">
        <f t="shared" ref="BR42:EC42" si="75">BR38*$C$42</f>
        <v>0</v>
      </c>
      <c r="BS42" s="6">
        <f t="shared" si="75"/>
        <v>0</v>
      </c>
      <c r="BT42" s="6">
        <f t="shared" si="75"/>
        <v>0</v>
      </c>
      <c r="BU42" s="6">
        <f t="shared" si="75"/>
        <v>0</v>
      </c>
      <c r="BV42" s="6">
        <f t="shared" si="75"/>
        <v>0</v>
      </c>
      <c r="BW42" s="6">
        <f t="shared" si="75"/>
        <v>0</v>
      </c>
      <c r="BX42" s="6">
        <f t="shared" si="75"/>
        <v>0</v>
      </c>
      <c r="BY42" s="6">
        <f t="shared" si="75"/>
        <v>0</v>
      </c>
      <c r="BZ42" s="6">
        <f t="shared" si="75"/>
        <v>0</v>
      </c>
      <c r="CA42" s="6">
        <f t="shared" si="75"/>
        <v>0</v>
      </c>
      <c r="CB42" s="6">
        <f t="shared" si="75"/>
        <v>0</v>
      </c>
      <c r="CC42" s="6">
        <f t="shared" si="75"/>
        <v>0</v>
      </c>
      <c r="CD42" s="6">
        <f t="shared" si="75"/>
        <v>0</v>
      </c>
      <c r="CE42" s="6">
        <f t="shared" si="75"/>
        <v>0</v>
      </c>
      <c r="CF42" s="6">
        <f t="shared" si="75"/>
        <v>0</v>
      </c>
      <c r="CG42" s="6">
        <f t="shared" si="75"/>
        <v>0</v>
      </c>
      <c r="CH42" s="6">
        <f t="shared" si="75"/>
        <v>0</v>
      </c>
      <c r="CI42" s="6">
        <f t="shared" si="75"/>
        <v>0</v>
      </c>
      <c r="CJ42" s="6">
        <f t="shared" si="75"/>
        <v>381.96035365585504</v>
      </c>
      <c r="CK42" s="6">
        <f t="shared" si="75"/>
        <v>996.88184700000022</v>
      </c>
      <c r="CL42" s="6">
        <f t="shared" si="75"/>
        <v>996.88184700000022</v>
      </c>
      <c r="CM42" s="6">
        <f t="shared" si="75"/>
        <v>996.88184700000022</v>
      </c>
      <c r="CN42" s="6">
        <f t="shared" si="75"/>
        <v>996.88184700000022</v>
      </c>
      <c r="CO42" s="6">
        <f t="shared" si="75"/>
        <v>996.88184700000022</v>
      </c>
      <c r="CP42" s="6">
        <f t="shared" si="75"/>
        <v>996.88184700000022</v>
      </c>
      <c r="CQ42" s="6">
        <f t="shared" si="75"/>
        <v>996.88184700000022</v>
      </c>
      <c r="CR42" s="6">
        <f t="shared" si="75"/>
        <v>996.88184700000022</v>
      </c>
      <c r="CS42" s="6">
        <f t="shared" si="75"/>
        <v>996.88184700000022</v>
      </c>
      <c r="CT42" s="6">
        <f t="shared" si="75"/>
        <v>996.88184700000022</v>
      </c>
      <c r="CU42" s="6">
        <f t="shared" si="75"/>
        <v>996.88184700000022</v>
      </c>
      <c r="CV42" s="6">
        <f t="shared" si="75"/>
        <v>996.88184700000022</v>
      </c>
      <c r="CW42" s="6">
        <f t="shared" si="75"/>
        <v>206.39642100000003</v>
      </c>
      <c r="CX42" s="6">
        <f t="shared" si="75"/>
        <v>71.382834000000017</v>
      </c>
      <c r="CY42" s="6">
        <f t="shared" si="75"/>
        <v>239.26763100000002</v>
      </c>
      <c r="CZ42" s="6">
        <f t="shared" si="75"/>
        <v>167.48841000000004</v>
      </c>
      <c r="DA42" s="6">
        <f t="shared" si="75"/>
        <v>209.62648800000002</v>
      </c>
      <c r="DB42" s="6">
        <f t="shared" si="75"/>
        <v>191.82723900000002</v>
      </c>
      <c r="DC42" s="6">
        <f t="shared" si="75"/>
        <v>193.53607500000004</v>
      </c>
      <c r="DD42" s="6">
        <f t="shared" si="75"/>
        <v>38.083380000000005</v>
      </c>
      <c r="DE42" s="6">
        <f t="shared" si="75"/>
        <v>1050.2928420000003</v>
      </c>
      <c r="DF42" s="6">
        <f t="shared" si="75"/>
        <v>1050.2928420000003</v>
      </c>
      <c r="DG42" s="6">
        <f t="shared" si="75"/>
        <v>1050.2928420000003</v>
      </c>
      <c r="DH42" s="6">
        <f t="shared" si="75"/>
        <v>1050.2928420000003</v>
      </c>
      <c r="DI42" s="6">
        <f t="shared" si="75"/>
        <v>1104.6476460000001</v>
      </c>
      <c r="DJ42" s="6">
        <f t="shared" si="75"/>
        <v>1104.6476460000001</v>
      </c>
      <c r="DK42" s="6">
        <f t="shared" si="75"/>
        <v>1104.6476460000001</v>
      </c>
      <c r="DL42" s="6">
        <f t="shared" si="75"/>
        <v>1104.6476460000001</v>
      </c>
      <c r="DM42" s="6">
        <f t="shared" si="75"/>
        <v>1104.6476460000001</v>
      </c>
      <c r="DN42" s="6">
        <f t="shared" si="75"/>
        <v>1104.6476460000001</v>
      </c>
      <c r="DO42" s="6">
        <f t="shared" si="75"/>
        <v>1104.6476460000001</v>
      </c>
      <c r="DP42" s="6">
        <f t="shared" si="75"/>
        <v>1104.6476460000001</v>
      </c>
      <c r="DQ42" s="6">
        <f t="shared" si="75"/>
        <v>1104.6476460000001</v>
      </c>
      <c r="DR42" s="6">
        <f t="shared" si="75"/>
        <v>1104.6476460000001</v>
      </c>
      <c r="DS42" s="6">
        <f t="shared" si="75"/>
        <v>1104.6476460000001</v>
      </c>
      <c r="DT42" s="6">
        <f t="shared" si="75"/>
        <v>1104.6476460000001</v>
      </c>
      <c r="DU42" s="6">
        <f t="shared" si="75"/>
        <v>1159.9416420000002</v>
      </c>
      <c r="DV42" s="6">
        <f t="shared" si="75"/>
        <v>1159.9416420000002</v>
      </c>
      <c r="DW42" s="6">
        <f t="shared" si="75"/>
        <v>1159.9416420000002</v>
      </c>
      <c r="DX42" s="6">
        <f t="shared" si="75"/>
        <v>1159.9416420000002</v>
      </c>
      <c r="DY42" s="6">
        <f t="shared" si="75"/>
        <v>1159.9416420000002</v>
      </c>
      <c r="DZ42" s="6">
        <f t="shared" si="75"/>
        <v>1159.9416420000002</v>
      </c>
      <c r="EA42" s="6">
        <f t="shared" si="75"/>
        <v>1159.9416420000002</v>
      </c>
      <c r="EB42" s="6">
        <f t="shared" si="75"/>
        <v>1159.9416420000002</v>
      </c>
      <c r="EC42" s="6">
        <f t="shared" si="75"/>
        <v>1159.9416420000002</v>
      </c>
      <c r="ED42" s="6">
        <f t="shared" ref="ED42:GO42" si="76">ED38*$C$42</f>
        <v>1159.9416420000002</v>
      </c>
      <c r="EE42" s="6">
        <f t="shared" si="76"/>
        <v>1159.9416420000002</v>
      </c>
      <c r="EF42" s="6">
        <f t="shared" si="76"/>
        <v>1159.9416420000002</v>
      </c>
      <c r="EG42" s="6">
        <f t="shared" si="76"/>
        <v>1216.168437</v>
      </c>
      <c r="EH42" s="6">
        <f t="shared" si="76"/>
        <v>1216.168437</v>
      </c>
      <c r="EI42" s="6">
        <f t="shared" si="76"/>
        <v>1216.168437</v>
      </c>
      <c r="EJ42" s="6">
        <f t="shared" si="76"/>
        <v>1216.168437</v>
      </c>
      <c r="EK42" s="6">
        <f t="shared" si="76"/>
        <v>1216.168437</v>
      </c>
      <c r="EL42" s="6">
        <f t="shared" si="76"/>
        <v>1216.168437</v>
      </c>
      <c r="EM42" s="6">
        <f t="shared" si="76"/>
        <v>1216.168437</v>
      </c>
      <c r="EN42" s="6">
        <f t="shared" si="76"/>
        <v>1216.168437</v>
      </c>
      <c r="EO42" s="6">
        <f t="shared" si="76"/>
        <v>1216.168437</v>
      </c>
      <c r="EP42" s="6">
        <f t="shared" si="76"/>
        <v>1216.168437</v>
      </c>
      <c r="EQ42" s="6">
        <f t="shared" si="76"/>
        <v>1216.168437</v>
      </c>
      <c r="ER42" s="6">
        <f t="shared" si="76"/>
        <v>1216.168437</v>
      </c>
      <c r="ES42" s="6">
        <f t="shared" si="76"/>
        <v>1273.3197150000001</v>
      </c>
      <c r="ET42" s="6">
        <f t="shared" si="76"/>
        <v>1273.3197150000001</v>
      </c>
      <c r="EU42" s="6">
        <f t="shared" si="76"/>
        <v>1273.3197150000001</v>
      </c>
      <c r="EV42" s="6">
        <f t="shared" si="76"/>
        <v>1273.3197150000001</v>
      </c>
      <c r="EW42" s="6">
        <f t="shared" si="76"/>
        <v>1273.3197150000001</v>
      </c>
      <c r="EX42" s="6">
        <f t="shared" si="76"/>
        <v>1273.3197150000001</v>
      </c>
      <c r="EY42" s="6">
        <f t="shared" si="76"/>
        <v>1273.3197150000001</v>
      </c>
      <c r="EZ42" s="6">
        <f t="shared" si="76"/>
        <v>1273.3197150000001</v>
      </c>
      <c r="FA42" s="6">
        <f t="shared" si="76"/>
        <v>1273.3197150000001</v>
      </c>
      <c r="FB42" s="6">
        <f t="shared" si="76"/>
        <v>1273.3197150000001</v>
      </c>
      <c r="FC42" s="6">
        <f t="shared" si="76"/>
        <v>1273.3197150000001</v>
      </c>
      <c r="FD42" s="6">
        <f t="shared" si="76"/>
        <v>1273.3197150000001</v>
      </c>
      <c r="FE42" s="6">
        <f t="shared" si="76"/>
        <v>346.94254500000005</v>
      </c>
      <c r="FF42" s="6">
        <f t="shared" si="76"/>
        <v>1271.4698010000002</v>
      </c>
      <c r="FG42" s="6">
        <f t="shared" si="76"/>
        <v>694.70707800000002</v>
      </c>
      <c r="FH42" s="6">
        <f t="shared" si="76"/>
        <v>869.32373100000018</v>
      </c>
      <c r="FI42" s="6">
        <f t="shared" si="76"/>
        <v>1345.5486540000002</v>
      </c>
      <c r="FJ42" s="6">
        <f t="shared" si="76"/>
        <v>296.63690400000002</v>
      </c>
      <c r="FK42" s="6">
        <f t="shared" si="76"/>
        <v>487.73920500000008</v>
      </c>
      <c r="FL42" s="6">
        <f t="shared" si="76"/>
        <v>1244.4856050000003</v>
      </c>
      <c r="FM42" s="6">
        <f t="shared" si="76"/>
        <v>1331.3850900000002</v>
      </c>
      <c r="FN42" s="6">
        <f t="shared" si="76"/>
        <v>1331.3850900000002</v>
      </c>
      <c r="FO42" s="6">
        <f t="shared" si="76"/>
        <v>1331.3850900000002</v>
      </c>
      <c r="FP42" s="6">
        <f t="shared" si="76"/>
        <v>1331.3850900000002</v>
      </c>
      <c r="FQ42" s="6">
        <f t="shared" si="76"/>
        <v>1390.3519680000002</v>
      </c>
      <c r="FR42" s="6">
        <f t="shared" si="76"/>
        <v>1390.3519680000002</v>
      </c>
      <c r="FS42" s="6">
        <f t="shared" si="76"/>
        <v>1390.3519680000002</v>
      </c>
      <c r="FT42" s="6">
        <f t="shared" si="76"/>
        <v>1390.3519680000002</v>
      </c>
      <c r="FU42" s="6">
        <f t="shared" si="76"/>
        <v>1390.3519680000002</v>
      </c>
      <c r="FV42" s="6">
        <f t="shared" si="76"/>
        <v>1390.3519680000002</v>
      </c>
      <c r="FW42" s="6">
        <f t="shared" si="76"/>
        <v>1390.3519680000002</v>
      </c>
      <c r="FX42" s="6">
        <f t="shared" si="76"/>
        <v>1390.3519680000002</v>
      </c>
      <c r="FY42" s="6">
        <f t="shared" si="76"/>
        <v>1390.3519680000002</v>
      </c>
      <c r="FZ42" s="6">
        <f t="shared" si="76"/>
        <v>1390.3519680000002</v>
      </c>
      <c r="GA42" s="6">
        <f t="shared" si="76"/>
        <v>1390.3519680000002</v>
      </c>
      <c r="GB42" s="6">
        <f t="shared" si="76"/>
        <v>1390.3519680000002</v>
      </c>
      <c r="GC42" s="6">
        <f t="shared" si="76"/>
        <v>1450.2053670000003</v>
      </c>
      <c r="GD42" s="6">
        <f t="shared" si="76"/>
        <v>1450.2053670000003</v>
      </c>
      <c r="GE42" s="6">
        <f t="shared" si="76"/>
        <v>1450.2053670000003</v>
      </c>
      <c r="GF42" s="6">
        <f t="shared" si="76"/>
        <v>1450.2053670000003</v>
      </c>
      <c r="GG42" s="6">
        <f t="shared" si="76"/>
        <v>1450.2053670000003</v>
      </c>
      <c r="GH42" s="6">
        <f t="shared" si="76"/>
        <v>1450.2053670000003</v>
      </c>
      <c r="GI42" s="6">
        <f t="shared" si="76"/>
        <v>1450.2053670000003</v>
      </c>
      <c r="GJ42" s="6">
        <f t="shared" si="76"/>
        <v>1450.2053670000003</v>
      </c>
      <c r="GK42" s="6">
        <f t="shared" si="76"/>
        <v>1450.2053670000003</v>
      </c>
      <c r="GL42" s="6">
        <f t="shared" si="76"/>
        <v>1450.2053670000003</v>
      </c>
      <c r="GM42" s="6">
        <f t="shared" si="76"/>
        <v>1450.2053670000003</v>
      </c>
      <c r="GN42" s="6">
        <f t="shared" si="76"/>
        <v>1450.2053670000003</v>
      </c>
      <c r="GO42" s="6">
        <f t="shared" si="76"/>
        <v>1510.9277610000001</v>
      </c>
      <c r="GP42" s="6">
        <f t="shared" ref="GP42:JA42" si="77">GP38*$C$42</f>
        <v>1510.9277610000001</v>
      </c>
      <c r="GQ42" s="6">
        <f t="shared" si="77"/>
        <v>1510.9277610000001</v>
      </c>
      <c r="GR42" s="6">
        <f t="shared" si="77"/>
        <v>1510.9277610000001</v>
      </c>
      <c r="GS42" s="6">
        <f t="shared" si="77"/>
        <v>1510.9277610000001</v>
      </c>
      <c r="GT42" s="6">
        <f t="shared" si="77"/>
        <v>1510.9277610000001</v>
      </c>
      <c r="GU42" s="6">
        <f t="shared" si="77"/>
        <v>1510.9277610000001</v>
      </c>
      <c r="GV42" s="6">
        <f t="shared" si="77"/>
        <v>1510.9277610000001</v>
      </c>
      <c r="GW42" s="6">
        <f t="shared" si="77"/>
        <v>1510.9277610000001</v>
      </c>
      <c r="GX42" s="6">
        <f t="shared" si="77"/>
        <v>1510.9277610000001</v>
      </c>
      <c r="GY42" s="6">
        <f t="shared" si="77"/>
        <v>1510.9277610000001</v>
      </c>
      <c r="GZ42" s="6">
        <f t="shared" si="77"/>
        <v>1510.9277610000001</v>
      </c>
      <c r="HA42" s="6">
        <f t="shared" si="77"/>
        <v>1572.4988880000001</v>
      </c>
      <c r="HB42" s="6">
        <f t="shared" si="77"/>
        <v>1572.4988880000001</v>
      </c>
      <c r="HC42" s="6">
        <f t="shared" si="77"/>
        <v>1572.4988880000001</v>
      </c>
      <c r="HD42" s="6">
        <f t="shared" si="77"/>
        <v>1572.4988880000001</v>
      </c>
      <c r="HE42" s="6">
        <f t="shared" si="77"/>
        <v>1572.4988880000001</v>
      </c>
      <c r="HF42" s="6">
        <f t="shared" si="77"/>
        <v>1572.4988880000001</v>
      </c>
      <c r="HG42" s="6">
        <f t="shared" si="77"/>
        <v>1572.4988880000001</v>
      </c>
      <c r="HH42" s="6">
        <f t="shared" si="77"/>
        <v>1572.4988880000001</v>
      </c>
      <c r="HI42" s="6">
        <f t="shared" si="77"/>
        <v>1572.4988880000001</v>
      </c>
      <c r="HJ42" s="6">
        <f t="shared" si="77"/>
        <v>1572.4988880000001</v>
      </c>
      <c r="HK42" s="6">
        <f t="shared" si="77"/>
        <v>1572.4988880000001</v>
      </c>
      <c r="HL42" s="6">
        <f t="shared" si="77"/>
        <v>1572.4988880000001</v>
      </c>
      <c r="HM42" s="6">
        <f t="shared" si="77"/>
        <v>498.69778200000007</v>
      </c>
      <c r="HN42" s="6">
        <f t="shared" si="77"/>
        <v>487.82897700000012</v>
      </c>
      <c r="HO42" s="6">
        <f t="shared" si="77"/>
        <v>671.94099600000004</v>
      </c>
      <c r="HP42" s="6">
        <f t="shared" si="77"/>
        <v>587.75223900000015</v>
      </c>
      <c r="HQ42" s="6">
        <f t="shared" si="77"/>
        <v>543.70505400000002</v>
      </c>
      <c r="HR42" s="6">
        <f t="shared" si="77"/>
        <v>432.68048700000008</v>
      </c>
      <c r="HS42" s="6">
        <f t="shared" si="77"/>
        <v>893.68899600000009</v>
      </c>
      <c r="HT42" s="6">
        <f t="shared" si="77"/>
        <v>1634.895561</v>
      </c>
      <c r="HU42" s="6">
        <f t="shared" si="77"/>
        <v>1634.895561</v>
      </c>
      <c r="HV42" s="6">
        <f t="shared" si="77"/>
        <v>1634.895561</v>
      </c>
      <c r="HW42" s="6">
        <f t="shared" si="77"/>
        <v>1634.895561</v>
      </c>
      <c r="HX42" s="6">
        <f t="shared" si="77"/>
        <v>1634.895561</v>
      </c>
      <c r="HY42" s="6">
        <f t="shared" si="77"/>
        <v>1698.0914730000002</v>
      </c>
      <c r="HZ42" s="6">
        <f t="shared" si="77"/>
        <v>1698.0914730000002</v>
      </c>
      <c r="IA42" s="6">
        <f t="shared" si="77"/>
        <v>1698.0914730000002</v>
      </c>
      <c r="IB42" s="6">
        <f t="shared" si="77"/>
        <v>1698.0914730000002</v>
      </c>
      <c r="IC42" s="6">
        <f t="shared" si="77"/>
        <v>1698.0914730000002</v>
      </c>
      <c r="ID42" s="6">
        <f t="shared" si="77"/>
        <v>1698.0914730000002</v>
      </c>
      <c r="IE42" s="6">
        <f t="shared" si="77"/>
        <v>1698.0914730000002</v>
      </c>
      <c r="IF42" s="6">
        <f t="shared" si="77"/>
        <v>1698.0914730000002</v>
      </c>
      <c r="IG42" s="6">
        <f t="shared" si="77"/>
        <v>1698.0914730000002</v>
      </c>
      <c r="IH42" s="6">
        <f t="shared" si="77"/>
        <v>1698.0914730000002</v>
      </c>
      <c r="II42" s="6">
        <f t="shared" si="77"/>
        <v>1698.0914730000002</v>
      </c>
      <c r="IJ42" s="6">
        <f t="shared" si="77"/>
        <v>1698.0914730000002</v>
      </c>
      <c r="IK42" s="6">
        <f t="shared" si="77"/>
        <v>1762.0569630000005</v>
      </c>
      <c r="IL42" s="6">
        <f t="shared" si="77"/>
        <v>1762.0569630000005</v>
      </c>
      <c r="IM42" s="6">
        <f t="shared" si="77"/>
        <v>1762.0569630000005</v>
      </c>
      <c r="IN42" s="6">
        <f t="shared" si="77"/>
        <v>1762.0569630000005</v>
      </c>
      <c r="IO42" s="6">
        <f t="shared" si="77"/>
        <v>1762.0569630000005</v>
      </c>
      <c r="IP42" s="6">
        <f t="shared" si="77"/>
        <v>1762.0569630000005</v>
      </c>
      <c r="IQ42" s="6">
        <f t="shared" si="77"/>
        <v>1762.0569630000005</v>
      </c>
      <c r="IR42" s="6">
        <f t="shared" si="77"/>
        <v>1762.0569630000005</v>
      </c>
      <c r="IS42" s="6">
        <f t="shared" si="77"/>
        <v>1762.0569630000005</v>
      </c>
      <c r="IT42" s="6">
        <f t="shared" si="77"/>
        <v>1762.0569630000005</v>
      </c>
      <c r="IU42" s="6">
        <f t="shared" si="77"/>
        <v>1762.0569630000005</v>
      </c>
      <c r="IV42" s="6">
        <f t="shared" si="77"/>
        <v>1762.0569630000005</v>
      </c>
      <c r="IW42" s="6">
        <f t="shared" si="77"/>
        <v>1826.7588060000003</v>
      </c>
      <c r="IX42" s="6">
        <f t="shared" si="77"/>
        <v>1826.7588060000003</v>
      </c>
      <c r="IY42" s="6">
        <f t="shared" si="77"/>
        <v>1826.7588060000003</v>
      </c>
      <c r="IZ42" s="6">
        <f t="shared" si="77"/>
        <v>1826.7588060000003</v>
      </c>
      <c r="JA42" s="6">
        <f t="shared" si="77"/>
        <v>1826.7588060000003</v>
      </c>
      <c r="JB42" s="6">
        <f t="shared" ref="JB42:KS42" si="78">JB38*$C$42</f>
        <v>1826.7588060000003</v>
      </c>
      <c r="JC42" s="6">
        <f t="shared" si="78"/>
        <v>1826.7588060000003</v>
      </c>
      <c r="JD42" s="6">
        <f t="shared" si="78"/>
        <v>1826.7588060000003</v>
      </c>
      <c r="JE42" s="6">
        <f t="shared" si="78"/>
        <v>1826.7588060000003</v>
      </c>
      <c r="JF42" s="6">
        <f t="shared" si="78"/>
        <v>1826.7588060000003</v>
      </c>
      <c r="JG42" s="6">
        <f t="shared" si="78"/>
        <v>1826.7588060000003</v>
      </c>
      <c r="JH42" s="6">
        <f t="shared" si="78"/>
        <v>1826.7588060000003</v>
      </c>
      <c r="JI42" s="6">
        <f t="shared" si="78"/>
        <v>1892.1599610000003</v>
      </c>
      <c r="JJ42" s="6">
        <f t="shared" si="78"/>
        <v>1892.1599610000003</v>
      </c>
      <c r="JK42" s="6">
        <f t="shared" si="78"/>
        <v>1892.1599610000003</v>
      </c>
      <c r="JL42" s="6">
        <f t="shared" si="78"/>
        <v>1892.1599610000003</v>
      </c>
      <c r="JM42" s="6">
        <f t="shared" si="78"/>
        <v>1892.1599610000003</v>
      </c>
      <c r="JN42" s="6">
        <f t="shared" si="78"/>
        <v>1892.1599610000003</v>
      </c>
      <c r="JO42" s="6">
        <f t="shared" si="78"/>
        <v>1892.1599610000003</v>
      </c>
      <c r="JP42" s="6">
        <f t="shared" si="78"/>
        <v>1892.1599610000003</v>
      </c>
      <c r="JQ42" s="6">
        <f t="shared" si="78"/>
        <v>1892.1599610000003</v>
      </c>
      <c r="JR42" s="6">
        <f t="shared" si="78"/>
        <v>1892.1599610000003</v>
      </c>
      <c r="JS42" s="6">
        <f t="shared" si="78"/>
        <v>1892.1599610000003</v>
      </c>
      <c r="JT42" s="6">
        <f t="shared" si="78"/>
        <v>1892.1599610000003</v>
      </c>
      <c r="JU42" s="6">
        <f t="shared" si="78"/>
        <v>660.35965800000008</v>
      </c>
      <c r="JV42" s="6">
        <f t="shared" si="78"/>
        <v>1958.2193190000003</v>
      </c>
      <c r="JW42" s="6">
        <f t="shared" si="78"/>
        <v>1958.2193190000003</v>
      </c>
      <c r="JX42" s="6">
        <f t="shared" si="78"/>
        <v>1958.2193190000003</v>
      </c>
      <c r="JY42" s="6">
        <f t="shared" si="78"/>
        <v>1958.2193190000003</v>
      </c>
      <c r="JZ42" s="6">
        <f t="shared" si="78"/>
        <v>1958.2193190000003</v>
      </c>
      <c r="KA42" s="6">
        <f t="shared" si="78"/>
        <v>1958.2193190000003</v>
      </c>
      <c r="KB42" s="6">
        <f t="shared" si="78"/>
        <v>1958.2193190000003</v>
      </c>
      <c r="KC42" s="6">
        <f t="shared" si="78"/>
        <v>1958.2193190000003</v>
      </c>
      <c r="KD42" s="6">
        <f t="shared" si="78"/>
        <v>1958.2193190000003</v>
      </c>
      <c r="KE42" s="6">
        <f t="shared" si="78"/>
        <v>1958.2193190000003</v>
      </c>
      <c r="KF42" s="6">
        <f t="shared" si="78"/>
        <v>1958.2193190000003</v>
      </c>
      <c r="KG42" s="6">
        <f t="shared" si="78"/>
        <v>2024.8914360000001</v>
      </c>
      <c r="KH42" s="6">
        <f t="shared" si="78"/>
        <v>2024.8914360000001</v>
      </c>
      <c r="KI42" s="6">
        <f t="shared" si="78"/>
        <v>2024.8914360000001</v>
      </c>
      <c r="KJ42" s="6">
        <f t="shared" si="78"/>
        <v>2024.8914360000001</v>
      </c>
      <c r="KK42" s="6">
        <f t="shared" si="78"/>
        <v>2024.8914360000001</v>
      </c>
      <c r="KL42" s="6">
        <f t="shared" si="78"/>
        <v>2024.8914360000001</v>
      </c>
      <c r="KM42" s="6">
        <f t="shared" si="78"/>
        <v>2024.8914360000001</v>
      </c>
      <c r="KN42" s="6">
        <f t="shared" si="78"/>
        <v>2024.8914360000001</v>
      </c>
      <c r="KO42" s="6">
        <f t="shared" si="78"/>
        <v>2024.8914360000001</v>
      </c>
      <c r="KP42" s="6">
        <f t="shared" si="78"/>
        <v>2024.8914360000001</v>
      </c>
      <c r="KQ42" s="6">
        <f t="shared" si="78"/>
        <v>2024.8914360000001</v>
      </c>
      <c r="KR42" s="6">
        <f t="shared" si="78"/>
        <v>2024.8914360000001</v>
      </c>
      <c r="KS42" s="6">
        <f t="shared" si="78"/>
        <v>2092.1262420000003</v>
      </c>
    </row>
    <row r="43" spans="2:16384">
      <c r="B43" s="30"/>
    </row>
    <row r="44" spans="2:16384">
      <c r="B44" s="30"/>
    </row>
    <row r="45" spans="2:16384" s="7" customFormat="1">
      <c r="B45" s="28" t="s">
        <v>35</v>
      </c>
      <c r="E45" s="7">
        <v>0</v>
      </c>
      <c r="F45" s="7">
        <f>IF(MONTH(F2)=MONTH(Inputs!$J$3),1,E45+1)</f>
        <v>1</v>
      </c>
      <c r="G45" s="7">
        <f>IF(MONTH(G2)=MONTH(Inputs!$J$3),1,F45+1)</f>
        <v>2</v>
      </c>
      <c r="H45" s="7">
        <f>IF(MONTH(H2)=MONTH(Inputs!$J$3),1,G45+1)</f>
        <v>3</v>
      </c>
      <c r="I45" s="7">
        <f>IF(MONTH(I2)=MONTH(Inputs!$J$3),1,H45+1)</f>
        <v>4</v>
      </c>
      <c r="J45" s="7">
        <f>IF(MONTH(J2)=MONTH(Inputs!$J$3),1,I45+1)</f>
        <v>5</v>
      </c>
      <c r="K45" s="7">
        <f>IF(MONTH(K2)=MONTH(Inputs!$J$3),1,J45+1)</f>
        <v>6</v>
      </c>
      <c r="L45" s="7">
        <f>IF(MONTH(L2)=MONTH(Inputs!$J$3),1,K45+1)</f>
        <v>7</v>
      </c>
      <c r="M45" s="7">
        <f>IF(MONTH(M2)=MONTH(Inputs!$J$3),1,L45+1)</f>
        <v>8</v>
      </c>
      <c r="N45" s="7">
        <f>IF(MONTH(N2)=MONTH(Inputs!$J$3),1,M45+1)</f>
        <v>9</v>
      </c>
      <c r="O45" s="7">
        <f>IF(MONTH(O2)=MONTH(Inputs!$J$3),1,N45+1)</f>
        <v>10</v>
      </c>
      <c r="P45" s="7">
        <f>IF(MONTH(P2)=MONTH(Inputs!$J$3),1,O45+1)</f>
        <v>11</v>
      </c>
      <c r="Q45" s="7">
        <f>IF(MONTH(Q2)=MONTH(Inputs!$J$3),1,P45+1)</f>
        <v>1</v>
      </c>
      <c r="R45" s="7">
        <f>IF(MONTH(R2)=MONTH(Inputs!$J$3),1,Q45+1)</f>
        <v>2</v>
      </c>
      <c r="S45" s="7">
        <f>IF(MONTH(S2)=MONTH(Inputs!$J$3),1,R45+1)</f>
        <v>3</v>
      </c>
      <c r="T45" s="7">
        <f>IF(MONTH(T2)=MONTH(Inputs!$J$3),1,S45+1)</f>
        <v>4</v>
      </c>
      <c r="U45" s="7">
        <f>IF(MONTH(U2)=MONTH(Inputs!$J$3),1,T45+1)</f>
        <v>5</v>
      </c>
      <c r="V45" s="7">
        <f>IF(MONTH(V2)=MONTH(Inputs!$J$3),1,U45+1)</f>
        <v>6</v>
      </c>
      <c r="W45" s="7">
        <f>IF(MONTH(W2)=MONTH(Inputs!$J$3),1,V45+1)</f>
        <v>7</v>
      </c>
      <c r="X45" s="7">
        <f>IF(MONTH(X2)=MONTH(Inputs!$J$3),1,W45+1)</f>
        <v>8</v>
      </c>
      <c r="Y45" s="7">
        <f>IF(MONTH(Y2)=MONTH(Inputs!$J$3),1,X45+1)</f>
        <v>9</v>
      </c>
      <c r="Z45" s="7">
        <f>IF(MONTH(Z2)=MONTH(Inputs!$J$3),1,Y45+1)</f>
        <v>10</v>
      </c>
      <c r="AA45" s="7">
        <f>IF(MONTH(AA2)=MONTH(Inputs!$J$3),1,Z45+1)</f>
        <v>11</v>
      </c>
      <c r="AB45" s="7">
        <f>IF(MONTH(AB2)=MONTH(Inputs!$J$3),1,AA45+1)</f>
        <v>12</v>
      </c>
      <c r="AC45" s="7">
        <f>IF(MONTH(AC2)=MONTH(Inputs!$J$3),1,AB45+1)</f>
        <v>1</v>
      </c>
      <c r="AD45" s="7">
        <f>IF(MONTH(AD2)=MONTH(Inputs!$J$3),1,AC45+1)</f>
        <v>2</v>
      </c>
      <c r="AE45" s="7">
        <f>IF(MONTH(AE2)=MONTH(Inputs!$J$3),1,AD45+1)</f>
        <v>3</v>
      </c>
      <c r="AF45" s="7">
        <f>IF(MONTH(AF2)=MONTH(Inputs!$J$3),1,AE45+1)</f>
        <v>4</v>
      </c>
      <c r="AG45" s="7">
        <f>IF(MONTH(AG2)=MONTH(Inputs!$J$3),1,AF45+1)</f>
        <v>5</v>
      </c>
      <c r="AH45" s="7">
        <f>IF(MONTH(AH2)=MONTH(Inputs!$J$3),1,AG45+1)</f>
        <v>6</v>
      </c>
      <c r="AI45" s="7">
        <f>IF(MONTH(AI2)=MONTH(Inputs!$J$3),1,AH45+1)</f>
        <v>7</v>
      </c>
      <c r="AJ45" s="7">
        <f>IF(MONTH(AJ2)=MONTH(Inputs!$J$3),1,AI45+1)</f>
        <v>8</v>
      </c>
      <c r="AK45" s="7">
        <f>IF(MONTH(AK2)=MONTH(Inputs!$J$3),1,AJ45+1)</f>
        <v>9</v>
      </c>
      <c r="AL45" s="7">
        <f>IF(MONTH(AL2)=MONTH(Inputs!$J$3),1,AK45+1)</f>
        <v>10</v>
      </c>
      <c r="AM45" s="7">
        <f>IF(MONTH(AM2)=MONTH(Inputs!$J$3),1,AL45+1)</f>
        <v>11</v>
      </c>
      <c r="AN45" s="7">
        <f>IF(MONTH(AN2)=MONTH(Inputs!$J$3),1,AM45+1)</f>
        <v>12</v>
      </c>
      <c r="AO45" s="7">
        <f>IF(MONTH(AO2)=MONTH(Inputs!$J$3),1,AN45+1)</f>
        <v>1</v>
      </c>
      <c r="AP45" s="7">
        <f>IF(MONTH(AP2)=MONTH(Inputs!$J$3),1,AO45+1)</f>
        <v>2</v>
      </c>
      <c r="AQ45" s="7">
        <f>IF(MONTH(AQ2)=MONTH(Inputs!$J$3),1,AP45+1)</f>
        <v>3</v>
      </c>
      <c r="AR45" s="7">
        <f>IF(MONTH(AR2)=MONTH(Inputs!$J$3),1,AQ45+1)</f>
        <v>4</v>
      </c>
      <c r="AS45" s="7">
        <f>IF(MONTH(AS2)=MONTH(Inputs!$J$3),1,AR45+1)</f>
        <v>5</v>
      </c>
      <c r="AT45" s="7">
        <f>IF(MONTH(AT2)=MONTH(Inputs!$J$3),1,AS45+1)</f>
        <v>6</v>
      </c>
      <c r="AU45" s="7">
        <f>IF(MONTH(AU2)=MONTH(Inputs!$J$3),1,AT45+1)</f>
        <v>7</v>
      </c>
      <c r="AV45" s="7">
        <f>IF(MONTH(AV2)=MONTH(Inputs!$J$3),1,AU45+1)</f>
        <v>8</v>
      </c>
      <c r="AW45" s="7">
        <f>IF(MONTH(AW2)=MONTH(Inputs!$J$3),1,AV45+1)</f>
        <v>9</v>
      </c>
      <c r="AX45" s="7">
        <f>IF(MONTH(AX2)=MONTH(Inputs!$J$3),1,AW45+1)</f>
        <v>10</v>
      </c>
      <c r="AY45" s="7">
        <f>IF(MONTH(AY2)=MONTH(Inputs!$J$3),1,AX45+1)</f>
        <v>11</v>
      </c>
      <c r="AZ45" s="7">
        <f>IF(MONTH(AZ2)=MONTH(Inputs!$J$3),1,AY45+1)</f>
        <v>12</v>
      </c>
      <c r="BA45" s="7">
        <f>IF(MONTH(BA2)=MONTH(Inputs!$J$3),1,AZ45+1)</f>
        <v>1</v>
      </c>
      <c r="BB45" s="7">
        <f>IF(MONTH(BB2)=MONTH(Inputs!$J$3),1,BA45+1)</f>
        <v>2</v>
      </c>
      <c r="BC45" s="7">
        <f>IF(MONTH(BC2)=MONTH(Inputs!$J$3),1,BB45+1)</f>
        <v>3</v>
      </c>
      <c r="BD45" s="7">
        <f>IF(MONTH(BD2)=MONTH(Inputs!$J$3),1,BC45+1)</f>
        <v>4</v>
      </c>
      <c r="BE45" s="7">
        <f>IF(MONTH(BE2)=MONTH(Inputs!$J$3),1,BD45+1)</f>
        <v>5</v>
      </c>
      <c r="BF45" s="7">
        <f>IF(MONTH(BF2)=MONTH(Inputs!$J$3),1,BE45+1)</f>
        <v>6</v>
      </c>
      <c r="BG45" s="7">
        <f>IF(MONTH(BG2)=MONTH(Inputs!$J$3),1,BF45+1)</f>
        <v>7</v>
      </c>
      <c r="BH45" s="7">
        <f>IF(MONTH(BH2)=MONTH(Inputs!$J$3),1,BG45+1)</f>
        <v>8</v>
      </c>
      <c r="BI45" s="7">
        <f>IF(MONTH(BI2)=MONTH(Inputs!$J$3),1,BH45+1)</f>
        <v>9</v>
      </c>
      <c r="BJ45" s="7">
        <f>IF(MONTH(BJ2)=MONTH(Inputs!$J$3),1,BI45+1)</f>
        <v>10</v>
      </c>
      <c r="BK45" s="7">
        <f>IF(MONTH(BK2)=MONTH(Inputs!$J$3),1,BJ45+1)</f>
        <v>11</v>
      </c>
      <c r="BL45" s="7">
        <f>IF(MONTH(BL2)=MONTH(Inputs!$J$3),1,BK45+1)</f>
        <v>12</v>
      </c>
      <c r="BM45" s="7">
        <f>IF(MONTH(BM2)=MONTH(Inputs!$J$3),1,BL45+1)</f>
        <v>1</v>
      </c>
      <c r="BN45" s="7">
        <f>IF(MONTH(BN2)=MONTH(Inputs!$J$3),1,BM45+1)</f>
        <v>2</v>
      </c>
      <c r="BO45" s="7">
        <f>IF(MONTH(BO2)=MONTH(Inputs!$J$3),1,BN45+1)</f>
        <v>3</v>
      </c>
      <c r="BP45" s="7">
        <f>IF(MONTH(BP2)=MONTH(Inputs!$J$3),1,BO45+1)</f>
        <v>4</v>
      </c>
      <c r="BQ45" s="7">
        <f>IF(MONTH(BQ2)=MONTH(Inputs!$J$3),1,BP45+1)</f>
        <v>5</v>
      </c>
      <c r="BR45" s="7">
        <f>IF(MONTH(BR2)=MONTH(Inputs!$J$3),1,BQ45+1)</f>
        <v>6</v>
      </c>
      <c r="BS45" s="7">
        <f>IF(MONTH(BS2)=MONTH(Inputs!$J$3),1,BR45+1)</f>
        <v>7</v>
      </c>
      <c r="BT45" s="7">
        <f>IF(MONTH(BT2)=MONTH(Inputs!$J$3),1,BS45+1)</f>
        <v>8</v>
      </c>
      <c r="BU45" s="7">
        <f>IF(MONTH(BU2)=MONTH(Inputs!$J$3),1,BT45+1)</f>
        <v>9</v>
      </c>
      <c r="BV45" s="7">
        <f>IF(MONTH(BV2)=MONTH(Inputs!$J$3),1,BU45+1)</f>
        <v>10</v>
      </c>
      <c r="BW45" s="7">
        <f>IF(MONTH(BW2)=MONTH(Inputs!$J$3),1,BV45+1)</f>
        <v>11</v>
      </c>
      <c r="BX45" s="7">
        <f>IF(MONTH(BX2)=MONTH(Inputs!$J$3),1,BW45+1)</f>
        <v>12</v>
      </c>
      <c r="BY45" s="7">
        <f>IF(MONTH(BY2)=MONTH(Inputs!$J$3),1,BX45+1)</f>
        <v>1</v>
      </c>
      <c r="BZ45" s="7">
        <f>IF(MONTH(BZ2)=MONTH(Inputs!$J$3),1,BY45+1)</f>
        <v>2</v>
      </c>
      <c r="CA45" s="7">
        <f>IF(MONTH(CA2)=MONTH(Inputs!$J$3),1,BZ45+1)</f>
        <v>3</v>
      </c>
      <c r="CB45" s="7">
        <f>IF(MONTH(CB2)=MONTH(Inputs!$J$3),1,CA45+1)</f>
        <v>4</v>
      </c>
      <c r="CC45" s="7">
        <f>IF(MONTH(CC2)=MONTH(Inputs!$J$3),1,CB45+1)</f>
        <v>5</v>
      </c>
      <c r="CD45" s="7">
        <f>IF(MONTH(CD2)=MONTH(Inputs!$J$3),1,CC45+1)</f>
        <v>6</v>
      </c>
      <c r="CE45" s="7">
        <f>IF(MONTH(CE2)=MONTH(Inputs!$J$3),1,CD45+1)</f>
        <v>7</v>
      </c>
      <c r="CF45" s="7">
        <f>IF(MONTH(CF2)=MONTH(Inputs!$J$3),1,CE45+1)</f>
        <v>8</v>
      </c>
      <c r="CG45" s="7">
        <f>IF(MONTH(CG2)=MONTH(Inputs!$J$3),1,CF45+1)</f>
        <v>9</v>
      </c>
      <c r="CH45" s="7">
        <f>IF(MONTH(CH2)=MONTH(Inputs!$J$3),1,CG45+1)</f>
        <v>10</v>
      </c>
      <c r="CI45" s="7">
        <f>IF(MONTH(CI2)=MONTH(Inputs!$J$3),1,CH45+1)</f>
        <v>11</v>
      </c>
      <c r="CJ45" s="7">
        <f>IF(MONTH(CJ2)=MONTH(Inputs!$J$3),1,CI45+1)</f>
        <v>12</v>
      </c>
      <c r="CK45" s="7">
        <f>IF(MONTH(CK2)=MONTH(Inputs!$J$3),1,CJ45+1)</f>
        <v>1</v>
      </c>
      <c r="CL45" s="7">
        <f>IF(MONTH(CL2)=MONTH(Inputs!$J$3),1,CK45+1)</f>
        <v>2</v>
      </c>
      <c r="CM45" s="7">
        <f>IF(MONTH(CM2)=MONTH(Inputs!$J$3),1,CL45+1)</f>
        <v>3</v>
      </c>
      <c r="CN45" s="7">
        <f>IF(MONTH(CN2)=MONTH(Inputs!$J$3),1,CM45+1)</f>
        <v>4</v>
      </c>
      <c r="CO45" s="7">
        <f>IF(MONTH(CO2)=MONTH(Inputs!$J$3),1,CN45+1)</f>
        <v>5</v>
      </c>
      <c r="CP45" s="7">
        <f>IF(MONTH(CP2)=MONTH(Inputs!$J$3),1,CO45+1)</f>
        <v>6</v>
      </c>
      <c r="CQ45" s="7">
        <f>IF(MONTH(CQ2)=MONTH(Inputs!$J$3),1,CP45+1)</f>
        <v>7</v>
      </c>
      <c r="CR45" s="7">
        <f>IF(MONTH(CR2)=MONTH(Inputs!$J$3),1,CQ45+1)</f>
        <v>8</v>
      </c>
      <c r="CS45" s="7">
        <f>IF(MONTH(CS2)=MONTH(Inputs!$J$3),1,CR45+1)</f>
        <v>9</v>
      </c>
      <c r="CT45" s="7">
        <f>IF(MONTH(CT2)=MONTH(Inputs!$J$3),1,CS45+1)</f>
        <v>10</v>
      </c>
      <c r="CU45" s="7">
        <f>IF(MONTH(CU2)=MONTH(Inputs!$J$3),1,CT45+1)</f>
        <v>11</v>
      </c>
      <c r="CV45" s="7">
        <f>IF(MONTH(CV2)=MONTH(Inputs!$J$3),1,CU45+1)</f>
        <v>12</v>
      </c>
      <c r="CW45" s="7">
        <f>IF(MONTH(CW2)=MONTH(Inputs!$J$3),1,CV45+1)</f>
        <v>1</v>
      </c>
      <c r="CX45" s="7">
        <f>IF(MONTH(CX2)=MONTH(Inputs!$J$3),1,CW45+1)</f>
        <v>2</v>
      </c>
      <c r="CY45" s="7">
        <f>IF(MONTH(CY2)=MONTH(Inputs!$J$3),1,CX45+1)</f>
        <v>3</v>
      </c>
      <c r="CZ45" s="7">
        <f>IF(MONTH(CZ2)=MONTH(Inputs!$J$3),1,CY45+1)</f>
        <v>4</v>
      </c>
      <c r="DA45" s="7">
        <f>IF(MONTH(DA2)=MONTH(Inputs!$J$3),1,CZ45+1)</f>
        <v>5</v>
      </c>
      <c r="DB45" s="7">
        <f>IF(MONTH(DB2)=MONTH(Inputs!$J$3),1,DA45+1)</f>
        <v>6</v>
      </c>
      <c r="DC45" s="7">
        <f>IF(MONTH(DC2)=MONTH(Inputs!$J$3),1,DB45+1)</f>
        <v>7</v>
      </c>
      <c r="DD45" s="7">
        <f>IF(MONTH(DD2)=MONTH(Inputs!$J$3),1,DC45+1)</f>
        <v>8</v>
      </c>
      <c r="DE45" s="7">
        <f>IF(MONTH(DE2)=MONTH(Inputs!$J$3),1,DD45+1)</f>
        <v>9</v>
      </c>
      <c r="DF45" s="7">
        <f>IF(MONTH(DF2)=MONTH(Inputs!$J$3),1,DE45+1)</f>
        <v>10</v>
      </c>
      <c r="DG45" s="7">
        <f>IF(MONTH(DG2)=MONTH(Inputs!$J$3),1,DF45+1)</f>
        <v>11</v>
      </c>
      <c r="DH45" s="7">
        <f>IF(MONTH(DH2)=MONTH(Inputs!$J$3),1,DG45+1)</f>
        <v>12</v>
      </c>
      <c r="DI45" s="7">
        <f>IF(MONTH(DI2)=MONTH(Inputs!$J$3),1,DH45+1)</f>
        <v>1</v>
      </c>
      <c r="DJ45" s="7">
        <f>IF(MONTH(DJ2)=MONTH(Inputs!$J$3),1,DI45+1)</f>
        <v>2</v>
      </c>
      <c r="DK45" s="7">
        <f>IF(MONTH(DK2)=MONTH(Inputs!$J$3),1,DJ45+1)</f>
        <v>3</v>
      </c>
      <c r="DL45" s="7">
        <f>IF(MONTH(DL2)=MONTH(Inputs!$J$3),1,DK45+1)</f>
        <v>4</v>
      </c>
      <c r="DM45" s="7">
        <f>IF(MONTH(DM2)=MONTH(Inputs!$J$3),1,DL45+1)</f>
        <v>5</v>
      </c>
      <c r="DN45" s="7">
        <f>IF(MONTH(DN2)=MONTH(Inputs!$J$3),1,DM45+1)</f>
        <v>6</v>
      </c>
      <c r="DO45" s="7">
        <f>IF(MONTH(DO2)=MONTH(Inputs!$J$3),1,DN45+1)</f>
        <v>7</v>
      </c>
      <c r="DP45" s="7">
        <f>IF(MONTH(DP2)=MONTH(Inputs!$J$3),1,DO45+1)</f>
        <v>8</v>
      </c>
      <c r="DQ45" s="7">
        <f>IF(MONTH(DQ2)=MONTH(Inputs!$J$3),1,DP45+1)</f>
        <v>9</v>
      </c>
      <c r="DR45" s="7">
        <f>IF(MONTH(DR2)=MONTH(Inputs!$J$3),1,DQ45+1)</f>
        <v>10</v>
      </c>
      <c r="DS45" s="7">
        <f>IF(MONTH(DS2)=MONTH(Inputs!$J$3),1,DR45+1)</f>
        <v>11</v>
      </c>
      <c r="DT45" s="7">
        <f>IF(MONTH(DT2)=MONTH(Inputs!$J$3),1,DS45+1)</f>
        <v>12</v>
      </c>
      <c r="DU45" s="7">
        <f>IF(MONTH(DU2)=MONTH(Inputs!$J$3),1,DT45+1)</f>
        <v>1</v>
      </c>
      <c r="DV45" s="7">
        <f>IF(MONTH(DV2)=MONTH(Inputs!$J$3),1,DU45+1)</f>
        <v>2</v>
      </c>
      <c r="DW45" s="7">
        <f>IF(MONTH(DW2)=MONTH(Inputs!$J$3),1,DV45+1)</f>
        <v>3</v>
      </c>
      <c r="DX45" s="7">
        <f>IF(MONTH(DX2)=MONTH(Inputs!$J$3),1,DW45+1)</f>
        <v>4</v>
      </c>
      <c r="DY45" s="7">
        <f>IF(MONTH(DY2)=MONTH(Inputs!$J$3),1,DX45+1)</f>
        <v>5</v>
      </c>
      <c r="DZ45" s="7">
        <f>IF(MONTH(DZ2)=MONTH(Inputs!$J$3),1,DY45+1)</f>
        <v>6</v>
      </c>
      <c r="EA45" s="7">
        <f>IF(MONTH(EA2)=MONTH(Inputs!$J$3),1,DZ45+1)</f>
        <v>7</v>
      </c>
      <c r="EB45" s="7">
        <f>IF(MONTH(EB2)=MONTH(Inputs!$J$3),1,EA45+1)</f>
        <v>8</v>
      </c>
      <c r="EC45" s="7">
        <f>IF(MONTH(EC2)=MONTH(Inputs!$J$3),1,EB45+1)</f>
        <v>9</v>
      </c>
      <c r="ED45" s="7">
        <f>IF(MONTH(ED2)=MONTH(Inputs!$J$3),1,EC45+1)</f>
        <v>10</v>
      </c>
      <c r="EE45" s="7">
        <f>IF(MONTH(EE2)=MONTH(Inputs!$J$3),1,ED45+1)</f>
        <v>11</v>
      </c>
      <c r="EF45" s="7">
        <f>IF(MONTH(EF2)=MONTH(Inputs!$J$3),1,EE45+1)</f>
        <v>12</v>
      </c>
      <c r="EG45" s="7">
        <f>IF(MONTH(EG2)=MONTH(Inputs!$J$3),1,EF45+1)</f>
        <v>1</v>
      </c>
      <c r="EH45" s="7">
        <f>IF(MONTH(EH2)=MONTH(Inputs!$J$3),1,EG45+1)</f>
        <v>2</v>
      </c>
      <c r="EI45" s="7">
        <f>IF(MONTH(EI2)=MONTH(Inputs!$J$3),1,EH45+1)</f>
        <v>3</v>
      </c>
      <c r="EJ45" s="7">
        <f>IF(MONTH(EJ2)=MONTH(Inputs!$J$3),1,EI45+1)</f>
        <v>4</v>
      </c>
      <c r="EK45" s="7">
        <f>IF(MONTH(EK2)=MONTH(Inputs!$J$3),1,EJ45+1)</f>
        <v>5</v>
      </c>
      <c r="EL45" s="7">
        <f>IF(MONTH(EL2)=MONTH(Inputs!$J$3),1,EK45+1)</f>
        <v>6</v>
      </c>
      <c r="EM45" s="7">
        <f>IF(MONTH(EM2)=MONTH(Inputs!$J$3),1,EL45+1)</f>
        <v>7</v>
      </c>
      <c r="EN45" s="7">
        <f>IF(MONTH(EN2)=MONTH(Inputs!$J$3),1,EM45+1)</f>
        <v>8</v>
      </c>
      <c r="EO45" s="7">
        <f>IF(MONTH(EO2)=MONTH(Inputs!$J$3),1,EN45+1)</f>
        <v>9</v>
      </c>
      <c r="EP45" s="7">
        <f>IF(MONTH(EP2)=MONTH(Inputs!$J$3),1,EO45+1)</f>
        <v>10</v>
      </c>
      <c r="EQ45" s="7">
        <f>IF(MONTH(EQ2)=MONTH(Inputs!$J$3),1,EP45+1)</f>
        <v>11</v>
      </c>
      <c r="ER45" s="7">
        <f>IF(MONTH(ER2)=MONTH(Inputs!$J$3),1,EQ45+1)</f>
        <v>12</v>
      </c>
      <c r="ES45" s="7">
        <f>IF(MONTH(ES2)=MONTH(Inputs!$J$3),1,ER45+1)</f>
        <v>1</v>
      </c>
      <c r="ET45" s="7">
        <f>IF(MONTH(ET2)=MONTH(Inputs!$J$3),1,ES45+1)</f>
        <v>2</v>
      </c>
      <c r="EU45" s="7">
        <f>IF(MONTH(EU2)=MONTH(Inputs!$J$3),1,ET45+1)</f>
        <v>3</v>
      </c>
      <c r="EV45" s="7">
        <f>IF(MONTH(EV2)=MONTH(Inputs!$J$3),1,EU45+1)</f>
        <v>4</v>
      </c>
      <c r="EW45" s="7">
        <f>IF(MONTH(EW2)=MONTH(Inputs!$J$3),1,EV45+1)</f>
        <v>5</v>
      </c>
      <c r="EX45" s="7">
        <f>IF(MONTH(EX2)=MONTH(Inputs!$J$3),1,EW45+1)</f>
        <v>6</v>
      </c>
      <c r="EY45" s="7">
        <f>IF(MONTH(EY2)=MONTH(Inputs!$J$3),1,EX45+1)</f>
        <v>7</v>
      </c>
      <c r="EZ45" s="7">
        <f>IF(MONTH(EZ2)=MONTH(Inputs!$J$3),1,EY45+1)</f>
        <v>8</v>
      </c>
      <c r="FA45" s="7">
        <f>IF(MONTH(FA2)=MONTH(Inputs!$J$3),1,EZ45+1)</f>
        <v>9</v>
      </c>
      <c r="FB45" s="7">
        <f>IF(MONTH(FB2)=MONTH(Inputs!$J$3),1,FA45+1)</f>
        <v>10</v>
      </c>
      <c r="FC45" s="7">
        <f>IF(MONTH(FC2)=MONTH(Inputs!$J$3),1,FB45+1)</f>
        <v>11</v>
      </c>
      <c r="FD45" s="7">
        <f>IF(MONTH(FD2)=MONTH(Inputs!$J$3),1,FC45+1)</f>
        <v>12</v>
      </c>
      <c r="FE45" s="7">
        <f>IF(MONTH(FE2)=MONTH(Inputs!$J$3),1,FD45+1)</f>
        <v>1</v>
      </c>
      <c r="FF45" s="7">
        <f>IF(MONTH(FF2)=MONTH(Inputs!$J$3),1,FE45+1)</f>
        <v>2</v>
      </c>
      <c r="FG45" s="7">
        <f>IF(MONTH(FG2)=MONTH(Inputs!$J$3),1,FF45+1)</f>
        <v>3</v>
      </c>
      <c r="FH45" s="7">
        <f>IF(MONTH(FH2)=MONTH(Inputs!$J$3),1,FG45+1)</f>
        <v>4</v>
      </c>
      <c r="FI45" s="7">
        <f>IF(MONTH(FI2)=MONTH(Inputs!$J$3),1,FH45+1)</f>
        <v>5</v>
      </c>
      <c r="FJ45" s="7">
        <f>IF(MONTH(FJ2)=MONTH(Inputs!$J$3),1,FI45+1)</f>
        <v>6</v>
      </c>
      <c r="FK45" s="7">
        <f>IF(MONTH(FK2)=MONTH(Inputs!$J$3),1,FJ45+1)</f>
        <v>7</v>
      </c>
      <c r="FL45" s="7">
        <f>IF(MONTH(FL2)=MONTH(Inputs!$J$3),1,FK45+1)</f>
        <v>8</v>
      </c>
      <c r="FM45" s="7">
        <f>IF(MONTH(FM2)=MONTH(Inputs!$J$3),1,FL45+1)</f>
        <v>9</v>
      </c>
      <c r="FN45" s="7">
        <f>IF(MONTH(FN2)=MONTH(Inputs!$J$3),1,FM45+1)</f>
        <v>10</v>
      </c>
      <c r="FO45" s="7">
        <f>IF(MONTH(FO2)=MONTH(Inputs!$J$3),1,FN45+1)</f>
        <v>11</v>
      </c>
      <c r="FP45" s="7">
        <f>IF(MONTH(FP2)=MONTH(Inputs!$J$3),1,FO45+1)</f>
        <v>12</v>
      </c>
      <c r="FQ45" s="7">
        <f>IF(MONTH(FQ2)=MONTH(Inputs!$J$3),1,FP45+1)</f>
        <v>1</v>
      </c>
      <c r="FR45" s="7">
        <f>IF(MONTH(FR2)=MONTH(Inputs!$J$3),1,FQ45+1)</f>
        <v>2</v>
      </c>
      <c r="FS45" s="7">
        <f>IF(MONTH(FS2)=MONTH(Inputs!$J$3),1,FR45+1)</f>
        <v>3</v>
      </c>
      <c r="FT45" s="7">
        <f>IF(MONTH(FT2)=MONTH(Inputs!$J$3),1,FS45+1)</f>
        <v>4</v>
      </c>
      <c r="FU45" s="7">
        <f>IF(MONTH(FU2)=MONTH(Inputs!$J$3),1,FT45+1)</f>
        <v>5</v>
      </c>
      <c r="FV45" s="7">
        <f>IF(MONTH(FV2)=MONTH(Inputs!$J$3),1,FU45+1)</f>
        <v>6</v>
      </c>
      <c r="FW45" s="7">
        <f>IF(MONTH(FW2)=MONTH(Inputs!$J$3),1,FV45+1)</f>
        <v>7</v>
      </c>
      <c r="FX45" s="7">
        <f>IF(MONTH(FX2)=MONTH(Inputs!$J$3),1,FW45+1)</f>
        <v>8</v>
      </c>
      <c r="FY45" s="7">
        <f>IF(MONTH(FY2)=MONTH(Inputs!$J$3),1,FX45+1)</f>
        <v>9</v>
      </c>
      <c r="FZ45" s="7">
        <f>IF(MONTH(FZ2)=MONTH(Inputs!$J$3),1,FY45+1)</f>
        <v>10</v>
      </c>
      <c r="GA45" s="7">
        <f>IF(MONTH(GA2)=MONTH(Inputs!$J$3),1,FZ45+1)</f>
        <v>11</v>
      </c>
      <c r="GB45" s="7">
        <f>IF(MONTH(GB2)=MONTH(Inputs!$J$3),1,GA45+1)</f>
        <v>12</v>
      </c>
      <c r="GC45" s="7">
        <f>IF(MONTH(GC2)=MONTH(Inputs!$J$3),1,GB45+1)</f>
        <v>1</v>
      </c>
      <c r="GD45" s="7">
        <f>IF(MONTH(GD2)=MONTH(Inputs!$J$3),1,GC45+1)</f>
        <v>2</v>
      </c>
      <c r="GE45" s="7">
        <f>IF(MONTH(GE2)=MONTH(Inputs!$J$3),1,GD45+1)</f>
        <v>3</v>
      </c>
      <c r="GF45" s="7">
        <f>IF(MONTH(GF2)=MONTH(Inputs!$J$3),1,GE45+1)</f>
        <v>4</v>
      </c>
      <c r="GG45" s="7">
        <f>IF(MONTH(GG2)=MONTH(Inputs!$J$3),1,GF45+1)</f>
        <v>5</v>
      </c>
      <c r="GH45" s="7">
        <f>IF(MONTH(GH2)=MONTH(Inputs!$J$3),1,GG45+1)</f>
        <v>6</v>
      </c>
      <c r="GI45" s="7">
        <f>IF(MONTH(GI2)=MONTH(Inputs!$J$3),1,GH45+1)</f>
        <v>7</v>
      </c>
      <c r="GJ45" s="7">
        <f>IF(MONTH(GJ2)=MONTH(Inputs!$J$3),1,GI45+1)</f>
        <v>8</v>
      </c>
      <c r="GK45" s="7">
        <f>IF(MONTH(GK2)=MONTH(Inputs!$J$3),1,GJ45+1)</f>
        <v>9</v>
      </c>
      <c r="GL45" s="7">
        <f>IF(MONTH(GL2)=MONTH(Inputs!$J$3),1,GK45+1)</f>
        <v>10</v>
      </c>
      <c r="GM45" s="7">
        <f>IF(MONTH(GM2)=MONTH(Inputs!$J$3),1,GL45+1)</f>
        <v>11</v>
      </c>
      <c r="GN45" s="7">
        <f>IF(MONTH(GN2)=MONTH(Inputs!$J$3),1,GM45+1)</f>
        <v>12</v>
      </c>
      <c r="GO45" s="7">
        <f>IF(MONTH(GO2)=MONTH(Inputs!$J$3),1,GN45+1)</f>
        <v>1</v>
      </c>
      <c r="GP45" s="7">
        <f>IF(MONTH(GP2)=MONTH(Inputs!$J$3),1,GO45+1)</f>
        <v>2</v>
      </c>
      <c r="GQ45" s="7">
        <f>IF(MONTH(GQ2)=MONTH(Inputs!$J$3),1,GP45+1)</f>
        <v>3</v>
      </c>
      <c r="GR45" s="7">
        <f>IF(MONTH(GR2)=MONTH(Inputs!$J$3),1,GQ45+1)</f>
        <v>4</v>
      </c>
      <c r="GS45" s="7">
        <f>IF(MONTH(GS2)=MONTH(Inputs!$J$3),1,GR45+1)</f>
        <v>5</v>
      </c>
      <c r="GT45" s="7">
        <f>IF(MONTH(GT2)=MONTH(Inputs!$J$3),1,GS45+1)</f>
        <v>6</v>
      </c>
      <c r="GU45" s="7">
        <f>IF(MONTH(GU2)=MONTH(Inputs!$J$3),1,GT45+1)</f>
        <v>7</v>
      </c>
      <c r="GV45" s="7">
        <f>IF(MONTH(GV2)=MONTH(Inputs!$J$3),1,GU45+1)</f>
        <v>8</v>
      </c>
      <c r="GW45" s="7">
        <f>IF(MONTH(GW2)=MONTH(Inputs!$J$3),1,GV45+1)</f>
        <v>9</v>
      </c>
      <c r="GX45" s="7">
        <f>IF(MONTH(GX2)=MONTH(Inputs!$J$3),1,GW45+1)</f>
        <v>10</v>
      </c>
      <c r="GY45" s="7">
        <f>IF(MONTH(GY2)=MONTH(Inputs!$J$3),1,GX45+1)</f>
        <v>11</v>
      </c>
      <c r="GZ45" s="7">
        <f>IF(MONTH(GZ2)=MONTH(Inputs!$J$3),1,GY45+1)</f>
        <v>12</v>
      </c>
      <c r="HA45" s="7">
        <f>IF(MONTH(HA2)=MONTH(Inputs!$J$3),1,GZ45+1)</f>
        <v>1</v>
      </c>
      <c r="HB45" s="7">
        <f>IF(MONTH(HB2)=MONTH(Inputs!$J$3),1,HA45+1)</f>
        <v>2</v>
      </c>
      <c r="HC45" s="7">
        <f>IF(MONTH(HC2)=MONTH(Inputs!$J$3),1,HB45+1)</f>
        <v>3</v>
      </c>
      <c r="HD45" s="7">
        <f>IF(MONTH(HD2)=MONTH(Inputs!$J$3),1,HC45+1)</f>
        <v>4</v>
      </c>
      <c r="HE45" s="7">
        <f>IF(MONTH(HE2)=MONTH(Inputs!$J$3),1,HD45+1)</f>
        <v>5</v>
      </c>
      <c r="HF45" s="7">
        <f>IF(MONTH(HF2)=MONTH(Inputs!$J$3),1,HE45+1)</f>
        <v>6</v>
      </c>
      <c r="HG45" s="7">
        <f>IF(MONTH(HG2)=MONTH(Inputs!$J$3),1,HF45+1)</f>
        <v>7</v>
      </c>
      <c r="HH45" s="7">
        <f>IF(MONTH(HH2)=MONTH(Inputs!$J$3),1,HG45+1)</f>
        <v>8</v>
      </c>
      <c r="HI45" s="7">
        <f>IF(MONTH(HI2)=MONTH(Inputs!$J$3),1,HH45+1)</f>
        <v>9</v>
      </c>
      <c r="HJ45" s="7">
        <f>IF(MONTH(HJ2)=MONTH(Inputs!$J$3),1,HI45+1)</f>
        <v>10</v>
      </c>
      <c r="HK45" s="7">
        <f>IF(MONTH(HK2)=MONTH(Inputs!$J$3),1,HJ45+1)</f>
        <v>11</v>
      </c>
      <c r="HL45" s="7">
        <f>IF(MONTH(HL2)=MONTH(Inputs!$J$3),1,HK45+1)</f>
        <v>12</v>
      </c>
      <c r="HM45" s="7">
        <f>IF(MONTH(HM2)=MONTH(Inputs!$J$3),1,HL45+1)</f>
        <v>1</v>
      </c>
      <c r="HN45" s="7">
        <f>IF(MONTH(HN2)=MONTH(Inputs!$J$3),1,HM45+1)</f>
        <v>2</v>
      </c>
      <c r="HO45" s="7">
        <f>IF(MONTH(HO2)=MONTH(Inputs!$J$3),1,HN45+1)</f>
        <v>3</v>
      </c>
      <c r="HP45" s="7">
        <f>IF(MONTH(HP2)=MONTH(Inputs!$J$3),1,HO45+1)</f>
        <v>4</v>
      </c>
      <c r="HQ45" s="7">
        <f>IF(MONTH(HQ2)=MONTH(Inputs!$J$3),1,HP45+1)</f>
        <v>5</v>
      </c>
      <c r="HR45" s="7">
        <f>IF(MONTH(HR2)=MONTH(Inputs!$J$3),1,HQ45+1)</f>
        <v>6</v>
      </c>
      <c r="HS45" s="7">
        <f>IF(MONTH(HS2)=MONTH(Inputs!$J$3),1,HR45+1)</f>
        <v>7</v>
      </c>
      <c r="HT45" s="7">
        <f>IF(MONTH(HT2)=MONTH(Inputs!$J$3),1,HS45+1)</f>
        <v>8</v>
      </c>
      <c r="HU45" s="7">
        <f>IF(MONTH(HU2)=MONTH(Inputs!$J$3),1,HT45+1)</f>
        <v>9</v>
      </c>
      <c r="HV45" s="7">
        <f>IF(MONTH(HV2)=MONTH(Inputs!$J$3),1,HU45+1)</f>
        <v>10</v>
      </c>
      <c r="HW45" s="7">
        <f>IF(MONTH(HW2)=MONTH(Inputs!$J$3),1,HV45+1)</f>
        <v>11</v>
      </c>
      <c r="HX45" s="7">
        <f>IF(MONTH(HX2)=MONTH(Inputs!$J$3),1,HW45+1)</f>
        <v>12</v>
      </c>
      <c r="HY45" s="7">
        <f>IF(MONTH(HY2)=MONTH(Inputs!$J$3),1,HX45+1)</f>
        <v>1</v>
      </c>
      <c r="HZ45" s="7">
        <f>IF(MONTH(HZ2)=MONTH(Inputs!$J$3),1,HY45+1)</f>
        <v>2</v>
      </c>
      <c r="IA45" s="7">
        <f>IF(MONTH(IA2)=MONTH(Inputs!$J$3),1,HZ45+1)</f>
        <v>3</v>
      </c>
      <c r="IB45" s="7">
        <f>IF(MONTH(IB2)=MONTH(Inputs!$J$3),1,IA45+1)</f>
        <v>4</v>
      </c>
      <c r="IC45" s="7">
        <f>IF(MONTH(IC2)=MONTH(Inputs!$J$3),1,IB45+1)</f>
        <v>5</v>
      </c>
      <c r="ID45" s="7">
        <f>IF(MONTH(ID2)=MONTH(Inputs!$J$3),1,IC45+1)</f>
        <v>6</v>
      </c>
      <c r="IE45" s="7">
        <f>IF(MONTH(IE2)=MONTH(Inputs!$J$3),1,ID45+1)</f>
        <v>7</v>
      </c>
      <c r="IF45" s="7">
        <f>IF(MONTH(IF2)=MONTH(Inputs!$J$3),1,IE45+1)</f>
        <v>8</v>
      </c>
      <c r="IG45" s="7">
        <f>IF(MONTH(IG2)=MONTH(Inputs!$J$3),1,IF45+1)</f>
        <v>9</v>
      </c>
      <c r="IH45" s="7">
        <f>IF(MONTH(IH2)=MONTH(Inputs!$J$3),1,IG45+1)</f>
        <v>10</v>
      </c>
      <c r="II45" s="7">
        <f>IF(MONTH(II2)=MONTH(Inputs!$J$3),1,IH45+1)</f>
        <v>11</v>
      </c>
      <c r="IJ45" s="7">
        <f>IF(MONTH(IJ2)=MONTH(Inputs!$J$3),1,II45+1)</f>
        <v>12</v>
      </c>
      <c r="IK45" s="7">
        <f>IF(MONTH(IK2)=MONTH(Inputs!$J$3),1,IJ45+1)</f>
        <v>1</v>
      </c>
      <c r="IL45" s="7">
        <f>IF(MONTH(IL2)=MONTH(Inputs!$J$3),1,IK45+1)</f>
        <v>2</v>
      </c>
      <c r="IM45" s="7">
        <f>IF(MONTH(IM2)=MONTH(Inputs!$J$3),1,IL45+1)</f>
        <v>3</v>
      </c>
      <c r="IN45" s="7">
        <f>IF(MONTH(IN2)=MONTH(Inputs!$J$3),1,IM45+1)</f>
        <v>4</v>
      </c>
      <c r="IO45" s="7">
        <f>IF(MONTH(IO2)=MONTH(Inputs!$J$3),1,IN45+1)</f>
        <v>5</v>
      </c>
      <c r="IP45" s="7">
        <f>IF(MONTH(IP2)=MONTH(Inputs!$J$3),1,IO45+1)</f>
        <v>6</v>
      </c>
      <c r="IQ45" s="7">
        <f>IF(MONTH(IQ2)=MONTH(Inputs!$J$3),1,IP45+1)</f>
        <v>7</v>
      </c>
      <c r="IR45" s="7">
        <f>IF(MONTH(IR2)=MONTH(Inputs!$J$3),1,IQ45+1)</f>
        <v>8</v>
      </c>
      <c r="IS45" s="7">
        <f>IF(MONTH(IS2)=MONTH(Inputs!$J$3),1,IR45+1)</f>
        <v>9</v>
      </c>
      <c r="IT45" s="7">
        <f>IF(MONTH(IT2)=MONTH(Inputs!$J$3),1,IS45+1)</f>
        <v>10</v>
      </c>
      <c r="IU45" s="7">
        <f>IF(MONTH(IU2)=MONTH(Inputs!$J$3),1,IT45+1)</f>
        <v>11</v>
      </c>
      <c r="IV45" s="7">
        <f>IF(MONTH(IV2)=MONTH(Inputs!$J$3),1,IU45+1)</f>
        <v>12</v>
      </c>
      <c r="IW45" s="7">
        <f>IF(MONTH(IW2)=MONTH(Inputs!$J$3),1,IV45+1)</f>
        <v>1</v>
      </c>
      <c r="IX45" s="7">
        <f>IF(MONTH(IX2)=MONTH(Inputs!$J$3),1,IW45+1)</f>
        <v>2</v>
      </c>
      <c r="IY45" s="7">
        <f>IF(MONTH(IY2)=MONTH(Inputs!$J$3),1,IX45+1)</f>
        <v>3</v>
      </c>
      <c r="IZ45" s="7">
        <f>IF(MONTH(IZ2)=MONTH(Inputs!$J$3),1,IY45+1)</f>
        <v>4</v>
      </c>
      <c r="JA45" s="7">
        <f>IF(MONTH(JA2)=MONTH(Inputs!$J$3),1,IZ45+1)</f>
        <v>5</v>
      </c>
      <c r="JB45" s="7">
        <f>IF(MONTH(JB2)=MONTH(Inputs!$J$3),1,JA45+1)</f>
        <v>6</v>
      </c>
      <c r="JC45" s="7">
        <f>IF(MONTH(JC2)=MONTH(Inputs!$J$3),1,JB45+1)</f>
        <v>7</v>
      </c>
      <c r="JD45" s="7">
        <f>IF(MONTH(JD2)=MONTH(Inputs!$J$3),1,JC45+1)</f>
        <v>8</v>
      </c>
      <c r="JE45" s="7">
        <f>IF(MONTH(JE2)=MONTH(Inputs!$J$3),1,JD45+1)</f>
        <v>9</v>
      </c>
      <c r="JF45" s="7">
        <f>IF(MONTH(JF2)=MONTH(Inputs!$J$3),1,JE45+1)</f>
        <v>10</v>
      </c>
      <c r="JG45" s="7">
        <f>IF(MONTH(JG2)=MONTH(Inputs!$J$3),1,JF45+1)</f>
        <v>11</v>
      </c>
      <c r="JH45" s="7">
        <f>IF(MONTH(JH2)=MONTH(Inputs!$J$3),1,JG45+1)</f>
        <v>12</v>
      </c>
      <c r="JI45" s="7">
        <f>IF(MONTH(JI2)=MONTH(Inputs!$J$3),1,JH45+1)</f>
        <v>1</v>
      </c>
      <c r="JJ45" s="7">
        <f>IF(MONTH(JJ2)=MONTH(Inputs!$J$3),1,JI45+1)</f>
        <v>2</v>
      </c>
      <c r="JK45" s="7">
        <f>IF(MONTH(JK2)=MONTH(Inputs!$J$3),1,JJ45+1)</f>
        <v>3</v>
      </c>
      <c r="JL45" s="7">
        <f>IF(MONTH(JL2)=MONTH(Inputs!$J$3),1,JK45+1)</f>
        <v>4</v>
      </c>
      <c r="JM45" s="7">
        <f>IF(MONTH(JM2)=MONTH(Inputs!$J$3),1,JL45+1)</f>
        <v>5</v>
      </c>
      <c r="JN45" s="7">
        <f>IF(MONTH(JN2)=MONTH(Inputs!$J$3),1,JM45+1)</f>
        <v>6</v>
      </c>
      <c r="JO45" s="7">
        <f>IF(MONTH(JO2)=MONTH(Inputs!$J$3),1,JN45+1)</f>
        <v>7</v>
      </c>
      <c r="JP45" s="7">
        <f>IF(MONTH(JP2)=MONTH(Inputs!$J$3),1,JO45+1)</f>
        <v>8</v>
      </c>
      <c r="JQ45" s="7">
        <f>IF(MONTH(JQ2)=MONTH(Inputs!$J$3),1,JP45+1)</f>
        <v>9</v>
      </c>
      <c r="JR45" s="7">
        <f>IF(MONTH(JR2)=MONTH(Inputs!$J$3),1,JQ45+1)</f>
        <v>10</v>
      </c>
      <c r="JS45" s="7">
        <f>IF(MONTH(JS2)=MONTH(Inputs!$J$3),1,JR45+1)</f>
        <v>11</v>
      </c>
      <c r="JT45" s="7">
        <f>IF(MONTH(JT2)=MONTH(Inputs!$J$3),1,JS45+1)</f>
        <v>12</v>
      </c>
      <c r="JU45" s="7">
        <f>IF(MONTH(JU2)=MONTH(Inputs!$J$3),1,JT45+1)</f>
        <v>1</v>
      </c>
      <c r="JV45" s="7">
        <f>IF(MONTH(JV2)=MONTH(Inputs!$J$3),1,JU45+1)</f>
        <v>2</v>
      </c>
      <c r="JW45" s="7">
        <f>IF(MONTH(JW2)=MONTH(Inputs!$J$3),1,JV45+1)</f>
        <v>3</v>
      </c>
      <c r="JX45" s="7">
        <f>IF(MONTH(JX2)=MONTH(Inputs!$J$3),1,JW45+1)</f>
        <v>4</v>
      </c>
      <c r="JY45" s="7">
        <f>IF(MONTH(JY2)=MONTH(Inputs!$J$3),1,JX45+1)</f>
        <v>5</v>
      </c>
      <c r="JZ45" s="7">
        <f>IF(MONTH(JZ2)=MONTH(Inputs!$J$3),1,JY45+1)</f>
        <v>6</v>
      </c>
      <c r="KA45" s="7">
        <f>IF(MONTH(KA2)=MONTH(Inputs!$J$3),1,JZ45+1)</f>
        <v>7</v>
      </c>
      <c r="KB45" s="7">
        <f>IF(MONTH(KB2)=MONTH(Inputs!$J$3),1,KA45+1)</f>
        <v>8</v>
      </c>
      <c r="KC45" s="7">
        <f>IF(MONTH(KC2)=MONTH(Inputs!$J$3),1,KB45+1)</f>
        <v>9</v>
      </c>
      <c r="KD45" s="7">
        <f>IF(MONTH(KD2)=MONTH(Inputs!$J$3),1,KC45+1)</f>
        <v>10</v>
      </c>
      <c r="KE45" s="7">
        <f>IF(MONTH(KE2)=MONTH(Inputs!$J$3),1,KD45+1)</f>
        <v>11</v>
      </c>
      <c r="KF45" s="7">
        <f>IF(MONTH(KF2)=MONTH(Inputs!$J$3),1,KE45+1)</f>
        <v>12</v>
      </c>
      <c r="KG45" s="7">
        <f>IF(MONTH(KG2)=MONTH(Inputs!$J$3),1,KF45+1)</f>
        <v>1</v>
      </c>
      <c r="KH45" s="7">
        <f>IF(MONTH(KH2)=MONTH(Inputs!$J$3),1,KG45+1)</f>
        <v>2</v>
      </c>
      <c r="KI45" s="7">
        <f>IF(MONTH(KI2)=MONTH(Inputs!$J$3),1,KH45+1)</f>
        <v>3</v>
      </c>
      <c r="KJ45" s="7">
        <f>IF(MONTH(KJ2)=MONTH(Inputs!$J$3),1,KI45+1)</f>
        <v>4</v>
      </c>
      <c r="KK45" s="7">
        <f>IF(MONTH(KK2)=MONTH(Inputs!$J$3),1,KJ45+1)</f>
        <v>5</v>
      </c>
      <c r="KL45" s="7">
        <f>IF(MONTH(KL2)=MONTH(Inputs!$J$3),1,KK45+1)</f>
        <v>6</v>
      </c>
      <c r="KM45" s="7">
        <f>IF(MONTH(KM2)=MONTH(Inputs!$J$3),1,KL45+1)</f>
        <v>7</v>
      </c>
      <c r="KN45" s="7">
        <f>IF(MONTH(KN2)=MONTH(Inputs!$J$3),1,KM45+1)</f>
        <v>8</v>
      </c>
      <c r="KO45" s="7">
        <f>IF(MONTH(KO2)=MONTH(Inputs!$J$3),1,KN45+1)</f>
        <v>9</v>
      </c>
      <c r="KP45" s="7">
        <f>IF(MONTH(KP2)=MONTH(Inputs!$J$3),1,KO45+1)</f>
        <v>10</v>
      </c>
      <c r="KQ45" s="7">
        <f>IF(MONTH(KQ2)=MONTH(Inputs!$J$3),1,KP45+1)</f>
        <v>11</v>
      </c>
      <c r="KR45" s="7">
        <f>IF(MONTH(KR2)=MONTH(Inputs!$J$3),1,KQ45+1)</f>
        <v>12</v>
      </c>
      <c r="KS45" s="7">
        <f>IF(MONTH(KS2)=MONTH(Inputs!$J$3),1,KR45+1)</f>
        <v>1</v>
      </c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2:16384">
      <c r="B46" s="24" t="str">
        <f>Inputs!G11</f>
        <v>2. Yield Waterfall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</row>
    <row r="48" spans="2:16384">
      <c r="B48" t="s">
        <v>36</v>
      </c>
    </row>
    <row r="49" spans="2:305">
      <c r="B49" t="s">
        <v>25</v>
      </c>
      <c r="E49" s="6">
        <f>D52</f>
        <v>0</v>
      </c>
      <c r="F49" s="6">
        <f t="shared" ref="F49:BQ49" si="79">E52</f>
        <v>0</v>
      </c>
      <c r="G49" s="6">
        <f t="shared" si="79"/>
        <v>0</v>
      </c>
      <c r="H49" s="6">
        <f t="shared" si="79"/>
        <v>0</v>
      </c>
      <c r="I49" s="6">
        <f t="shared" si="79"/>
        <v>0</v>
      </c>
      <c r="J49" s="6">
        <f t="shared" si="79"/>
        <v>0</v>
      </c>
      <c r="K49" s="6">
        <f t="shared" si="79"/>
        <v>0</v>
      </c>
      <c r="L49" s="6">
        <f t="shared" si="79"/>
        <v>0</v>
      </c>
      <c r="M49" s="6">
        <f t="shared" si="79"/>
        <v>0</v>
      </c>
      <c r="N49" s="6">
        <f t="shared" si="79"/>
        <v>0</v>
      </c>
      <c r="O49" s="6">
        <f t="shared" si="79"/>
        <v>0</v>
      </c>
      <c r="P49" s="6">
        <f t="shared" si="79"/>
        <v>0</v>
      </c>
      <c r="Q49" s="6">
        <f t="shared" si="79"/>
        <v>0</v>
      </c>
      <c r="R49" s="6">
        <f t="shared" si="79"/>
        <v>0</v>
      </c>
      <c r="S49" s="6">
        <f t="shared" si="79"/>
        <v>0</v>
      </c>
      <c r="T49" s="6">
        <f t="shared" si="79"/>
        <v>0</v>
      </c>
      <c r="U49" s="6">
        <f t="shared" si="79"/>
        <v>0</v>
      </c>
      <c r="V49" s="6">
        <f t="shared" si="79"/>
        <v>0</v>
      </c>
      <c r="W49" s="6">
        <f t="shared" si="79"/>
        <v>0</v>
      </c>
      <c r="X49" s="6">
        <f t="shared" si="79"/>
        <v>0</v>
      </c>
      <c r="Y49" s="6">
        <f t="shared" si="79"/>
        <v>0</v>
      </c>
      <c r="Z49" s="6">
        <f t="shared" si="79"/>
        <v>0</v>
      </c>
      <c r="AA49" s="6">
        <f t="shared" si="79"/>
        <v>0</v>
      </c>
      <c r="AB49" s="6">
        <f t="shared" si="79"/>
        <v>0</v>
      </c>
      <c r="AC49" s="6">
        <f t="shared" si="79"/>
        <v>0</v>
      </c>
      <c r="AD49" s="6">
        <f t="shared" si="79"/>
        <v>0</v>
      </c>
      <c r="AE49" s="6">
        <f t="shared" si="79"/>
        <v>0</v>
      </c>
      <c r="AF49" s="6">
        <f t="shared" si="79"/>
        <v>0</v>
      </c>
      <c r="AG49" s="6">
        <f t="shared" si="79"/>
        <v>0</v>
      </c>
      <c r="AH49" s="6">
        <f t="shared" si="79"/>
        <v>0</v>
      </c>
      <c r="AI49" s="6">
        <f t="shared" si="79"/>
        <v>0</v>
      </c>
      <c r="AJ49" s="6">
        <f t="shared" si="79"/>
        <v>0</v>
      </c>
      <c r="AK49" s="6">
        <f t="shared" si="79"/>
        <v>0</v>
      </c>
      <c r="AL49" s="6">
        <f t="shared" si="79"/>
        <v>0</v>
      </c>
      <c r="AM49" s="6">
        <f t="shared" si="79"/>
        <v>0</v>
      </c>
      <c r="AN49" s="6">
        <f t="shared" si="79"/>
        <v>0</v>
      </c>
      <c r="AO49" s="6">
        <f t="shared" si="79"/>
        <v>0</v>
      </c>
      <c r="AP49" s="6">
        <f t="shared" si="79"/>
        <v>0</v>
      </c>
      <c r="AQ49" s="6">
        <f t="shared" si="79"/>
        <v>0</v>
      </c>
      <c r="AR49" s="6">
        <f t="shared" si="79"/>
        <v>0</v>
      </c>
      <c r="AS49" s="6">
        <f t="shared" si="79"/>
        <v>0</v>
      </c>
      <c r="AT49" s="6">
        <f t="shared" si="79"/>
        <v>0</v>
      </c>
      <c r="AU49" s="6">
        <f t="shared" si="79"/>
        <v>0</v>
      </c>
      <c r="AV49" s="6">
        <f t="shared" si="79"/>
        <v>0</v>
      </c>
      <c r="AW49" s="6">
        <f t="shared" si="79"/>
        <v>0</v>
      </c>
      <c r="AX49" s="6">
        <f t="shared" si="79"/>
        <v>0</v>
      </c>
      <c r="AY49" s="6">
        <f t="shared" si="79"/>
        <v>0</v>
      </c>
      <c r="AZ49" s="6">
        <f t="shared" si="79"/>
        <v>0</v>
      </c>
      <c r="BA49" s="6">
        <f t="shared" si="79"/>
        <v>0</v>
      </c>
      <c r="BB49" s="6">
        <f t="shared" si="79"/>
        <v>0</v>
      </c>
      <c r="BC49" s="6">
        <f t="shared" si="79"/>
        <v>0</v>
      </c>
      <c r="BD49" s="6">
        <f t="shared" si="79"/>
        <v>0</v>
      </c>
      <c r="BE49" s="6">
        <f t="shared" si="79"/>
        <v>0</v>
      </c>
      <c r="BF49" s="6">
        <f t="shared" si="79"/>
        <v>0</v>
      </c>
      <c r="BG49" s="6">
        <f t="shared" si="79"/>
        <v>0</v>
      </c>
      <c r="BH49" s="6">
        <f t="shared" si="79"/>
        <v>0</v>
      </c>
      <c r="BI49" s="6">
        <f t="shared" si="79"/>
        <v>0</v>
      </c>
      <c r="BJ49" s="6">
        <f t="shared" si="79"/>
        <v>0</v>
      </c>
      <c r="BK49" s="6">
        <f t="shared" si="79"/>
        <v>0</v>
      </c>
      <c r="BL49" s="6">
        <f t="shared" si="79"/>
        <v>0</v>
      </c>
      <c r="BM49" s="6">
        <f t="shared" si="79"/>
        <v>0</v>
      </c>
      <c r="BN49" s="6">
        <f t="shared" si="79"/>
        <v>0</v>
      </c>
      <c r="BO49" s="6">
        <f t="shared" si="79"/>
        <v>0</v>
      </c>
      <c r="BP49" s="6">
        <f t="shared" si="79"/>
        <v>0</v>
      </c>
      <c r="BQ49" s="6">
        <f t="shared" si="79"/>
        <v>0</v>
      </c>
      <c r="BR49" s="6">
        <f t="shared" ref="BR49:EC49" si="80">BQ52</f>
        <v>0</v>
      </c>
      <c r="BS49" s="6">
        <f t="shared" si="80"/>
        <v>0</v>
      </c>
      <c r="BT49" s="6">
        <f t="shared" si="80"/>
        <v>0</v>
      </c>
      <c r="BU49" s="6">
        <f t="shared" si="80"/>
        <v>0</v>
      </c>
      <c r="BV49" s="6">
        <f t="shared" si="80"/>
        <v>0</v>
      </c>
      <c r="BW49" s="6">
        <f t="shared" si="80"/>
        <v>0</v>
      </c>
      <c r="BX49" s="6">
        <f t="shared" si="80"/>
        <v>0</v>
      </c>
      <c r="BY49" s="6">
        <f t="shared" si="80"/>
        <v>0</v>
      </c>
      <c r="BZ49" s="6">
        <f t="shared" si="80"/>
        <v>0</v>
      </c>
      <c r="CA49" s="6">
        <f t="shared" si="80"/>
        <v>0</v>
      </c>
      <c r="CB49" s="6">
        <f t="shared" si="80"/>
        <v>0</v>
      </c>
      <c r="CC49" s="6">
        <f t="shared" si="80"/>
        <v>0</v>
      </c>
      <c r="CD49" s="6">
        <f t="shared" si="80"/>
        <v>0</v>
      </c>
      <c r="CE49" s="6">
        <f t="shared" si="80"/>
        <v>0</v>
      </c>
      <c r="CF49" s="6">
        <f t="shared" si="80"/>
        <v>0</v>
      </c>
      <c r="CG49" s="6">
        <f t="shared" si="80"/>
        <v>0</v>
      </c>
      <c r="CH49" s="6">
        <f t="shared" si="80"/>
        <v>0</v>
      </c>
      <c r="CI49" s="6">
        <f t="shared" si="80"/>
        <v>0</v>
      </c>
      <c r="CJ49" s="6">
        <f t="shared" si="80"/>
        <v>0</v>
      </c>
      <c r="CK49" s="6">
        <f t="shared" si="80"/>
        <v>0</v>
      </c>
      <c r="CL49" s="6">
        <f t="shared" si="80"/>
        <v>0</v>
      </c>
      <c r="CM49" s="6">
        <f t="shared" si="80"/>
        <v>0</v>
      </c>
      <c r="CN49" s="6">
        <f t="shared" si="80"/>
        <v>0</v>
      </c>
      <c r="CO49" s="6">
        <f t="shared" si="80"/>
        <v>0</v>
      </c>
      <c r="CP49" s="6">
        <f t="shared" si="80"/>
        <v>0</v>
      </c>
      <c r="CQ49" s="6">
        <f t="shared" si="80"/>
        <v>0</v>
      </c>
      <c r="CR49" s="6">
        <f t="shared" si="80"/>
        <v>0</v>
      </c>
      <c r="CS49" s="6">
        <f t="shared" si="80"/>
        <v>0</v>
      </c>
      <c r="CT49" s="6">
        <f t="shared" si="80"/>
        <v>0</v>
      </c>
      <c r="CU49" s="6">
        <f t="shared" si="80"/>
        <v>0</v>
      </c>
      <c r="CV49" s="6">
        <f t="shared" si="80"/>
        <v>0</v>
      </c>
      <c r="CW49" s="6">
        <f t="shared" si="80"/>
        <v>0</v>
      </c>
      <c r="CX49" s="6">
        <f t="shared" si="80"/>
        <v>0</v>
      </c>
      <c r="CY49" s="6">
        <f t="shared" si="80"/>
        <v>0</v>
      </c>
      <c r="CZ49" s="6">
        <f t="shared" si="80"/>
        <v>0</v>
      </c>
      <c r="DA49" s="6">
        <f t="shared" si="80"/>
        <v>0</v>
      </c>
      <c r="DB49" s="6">
        <f t="shared" si="80"/>
        <v>0</v>
      </c>
      <c r="DC49" s="6">
        <f t="shared" si="80"/>
        <v>0</v>
      </c>
      <c r="DD49" s="6">
        <f t="shared" si="80"/>
        <v>0</v>
      </c>
      <c r="DE49" s="6">
        <f t="shared" si="80"/>
        <v>0</v>
      </c>
      <c r="DF49" s="6">
        <f t="shared" si="80"/>
        <v>0</v>
      </c>
      <c r="DG49" s="6">
        <f t="shared" si="80"/>
        <v>0</v>
      </c>
      <c r="DH49" s="6">
        <f t="shared" si="80"/>
        <v>0</v>
      </c>
      <c r="DI49" s="6">
        <f t="shared" si="80"/>
        <v>0</v>
      </c>
      <c r="DJ49" s="6">
        <f t="shared" si="80"/>
        <v>0</v>
      </c>
      <c r="DK49" s="6">
        <f t="shared" si="80"/>
        <v>0</v>
      </c>
      <c r="DL49" s="6">
        <f t="shared" si="80"/>
        <v>0</v>
      </c>
      <c r="DM49" s="6">
        <f t="shared" si="80"/>
        <v>0</v>
      </c>
      <c r="DN49" s="6">
        <f t="shared" si="80"/>
        <v>0</v>
      </c>
      <c r="DO49" s="6">
        <f t="shared" si="80"/>
        <v>0</v>
      </c>
      <c r="DP49" s="6">
        <f t="shared" si="80"/>
        <v>0</v>
      </c>
      <c r="DQ49" s="6">
        <f t="shared" si="80"/>
        <v>0</v>
      </c>
      <c r="DR49" s="6">
        <f t="shared" si="80"/>
        <v>0</v>
      </c>
      <c r="DS49" s="6">
        <f t="shared" si="80"/>
        <v>0</v>
      </c>
      <c r="DT49" s="6">
        <f t="shared" si="80"/>
        <v>0</v>
      </c>
      <c r="DU49" s="6">
        <f t="shared" si="80"/>
        <v>0</v>
      </c>
      <c r="DV49" s="6">
        <f t="shared" si="80"/>
        <v>0</v>
      </c>
      <c r="DW49" s="6">
        <f t="shared" si="80"/>
        <v>0</v>
      </c>
      <c r="DX49" s="6">
        <f t="shared" si="80"/>
        <v>0</v>
      </c>
      <c r="DY49" s="6">
        <f t="shared" si="80"/>
        <v>0</v>
      </c>
      <c r="DZ49" s="6">
        <f t="shared" si="80"/>
        <v>0</v>
      </c>
      <c r="EA49" s="6">
        <f t="shared" si="80"/>
        <v>0</v>
      </c>
      <c r="EB49" s="6">
        <f t="shared" si="80"/>
        <v>0</v>
      </c>
      <c r="EC49" s="6">
        <f t="shared" si="80"/>
        <v>0</v>
      </c>
      <c r="ED49" s="6">
        <f t="shared" ref="ED49:GO49" si="81">EC52</f>
        <v>0</v>
      </c>
      <c r="EE49" s="6">
        <f t="shared" si="81"/>
        <v>0</v>
      </c>
      <c r="EF49" s="6">
        <f t="shared" si="81"/>
        <v>0</v>
      </c>
      <c r="EG49" s="6">
        <f t="shared" si="81"/>
        <v>0</v>
      </c>
      <c r="EH49" s="6">
        <f t="shared" si="81"/>
        <v>0</v>
      </c>
      <c r="EI49" s="6">
        <f t="shared" si="81"/>
        <v>0</v>
      </c>
      <c r="EJ49" s="6">
        <f t="shared" si="81"/>
        <v>0</v>
      </c>
      <c r="EK49" s="6">
        <f t="shared" si="81"/>
        <v>0</v>
      </c>
      <c r="EL49" s="6">
        <f t="shared" si="81"/>
        <v>0</v>
      </c>
      <c r="EM49" s="6">
        <f t="shared" si="81"/>
        <v>0</v>
      </c>
      <c r="EN49" s="6">
        <f t="shared" si="81"/>
        <v>0</v>
      </c>
      <c r="EO49" s="6">
        <f t="shared" si="81"/>
        <v>0</v>
      </c>
      <c r="EP49" s="6">
        <f t="shared" si="81"/>
        <v>0</v>
      </c>
      <c r="EQ49" s="6">
        <f t="shared" si="81"/>
        <v>0</v>
      </c>
      <c r="ER49" s="6">
        <f t="shared" si="81"/>
        <v>0</v>
      </c>
      <c r="ES49" s="6">
        <f t="shared" si="81"/>
        <v>0</v>
      </c>
      <c r="ET49" s="6">
        <f t="shared" si="81"/>
        <v>0</v>
      </c>
      <c r="EU49" s="6">
        <f t="shared" si="81"/>
        <v>0</v>
      </c>
      <c r="EV49" s="6">
        <f t="shared" si="81"/>
        <v>0</v>
      </c>
      <c r="EW49" s="6">
        <f t="shared" si="81"/>
        <v>0</v>
      </c>
      <c r="EX49" s="6">
        <f t="shared" si="81"/>
        <v>0</v>
      </c>
      <c r="EY49" s="6">
        <f t="shared" si="81"/>
        <v>0</v>
      </c>
      <c r="EZ49" s="6">
        <f t="shared" si="81"/>
        <v>0</v>
      </c>
      <c r="FA49" s="6">
        <f t="shared" si="81"/>
        <v>0</v>
      </c>
      <c r="FB49" s="6">
        <f t="shared" si="81"/>
        <v>0</v>
      </c>
      <c r="FC49" s="6">
        <f t="shared" si="81"/>
        <v>0</v>
      </c>
      <c r="FD49" s="6">
        <f t="shared" si="81"/>
        <v>0</v>
      </c>
      <c r="FE49" s="6">
        <f t="shared" si="81"/>
        <v>0</v>
      </c>
      <c r="FF49" s="6">
        <f t="shared" si="81"/>
        <v>0</v>
      </c>
      <c r="FG49" s="6">
        <f t="shared" si="81"/>
        <v>0</v>
      </c>
      <c r="FH49" s="6">
        <f t="shared" si="81"/>
        <v>0</v>
      </c>
      <c r="FI49" s="6">
        <f t="shared" si="81"/>
        <v>0</v>
      </c>
      <c r="FJ49" s="6">
        <f t="shared" si="81"/>
        <v>0</v>
      </c>
      <c r="FK49" s="6">
        <f t="shared" si="81"/>
        <v>0</v>
      </c>
      <c r="FL49" s="6">
        <f t="shared" si="81"/>
        <v>0</v>
      </c>
      <c r="FM49" s="6">
        <f t="shared" si="81"/>
        <v>0</v>
      </c>
      <c r="FN49" s="6">
        <f t="shared" si="81"/>
        <v>0</v>
      </c>
      <c r="FO49" s="6">
        <f t="shared" si="81"/>
        <v>0</v>
      </c>
      <c r="FP49" s="6">
        <f t="shared" si="81"/>
        <v>0</v>
      </c>
      <c r="FQ49" s="6">
        <f t="shared" si="81"/>
        <v>0</v>
      </c>
      <c r="FR49" s="6">
        <f t="shared" si="81"/>
        <v>0</v>
      </c>
      <c r="FS49" s="6">
        <f t="shared" si="81"/>
        <v>0</v>
      </c>
      <c r="FT49" s="6">
        <f t="shared" si="81"/>
        <v>0</v>
      </c>
      <c r="FU49" s="6">
        <f t="shared" si="81"/>
        <v>0</v>
      </c>
      <c r="FV49" s="6">
        <f t="shared" si="81"/>
        <v>0</v>
      </c>
      <c r="FW49" s="6">
        <f t="shared" si="81"/>
        <v>0</v>
      </c>
      <c r="FX49" s="6">
        <f t="shared" si="81"/>
        <v>0</v>
      </c>
      <c r="FY49" s="6">
        <f t="shared" si="81"/>
        <v>0</v>
      </c>
      <c r="FZ49" s="6">
        <f t="shared" si="81"/>
        <v>0</v>
      </c>
      <c r="GA49" s="6">
        <f t="shared" si="81"/>
        <v>0</v>
      </c>
      <c r="GB49" s="6">
        <f t="shared" si="81"/>
        <v>0</v>
      </c>
      <c r="GC49" s="6">
        <f t="shared" si="81"/>
        <v>0</v>
      </c>
      <c r="GD49" s="6">
        <f t="shared" si="81"/>
        <v>0</v>
      </c>
      <c r="GE49" s="6">
        <f t="shared" si="81"/>
        <v>0</v>
      </c>
      <c r="GF49" s="6">
        <f t="shared" si="81"/>
        <v>0</v>
      </c>
      <c r="GG49" s="6">
        <f t="shared" si="81"/>
        <v>0</v>
      </c>
      <c r="GH49" s="6">
        <f t="shared" si="81"/>
        <v>0</v>
      </c>
      <c r="GI49" s="6">
        <f t="shared" si="81"/>
        <v>0</v>
      </c>
      <c r="GJ49" s="6">
        <f t="shared" si="81"/>
        <v>0</v>
      </c>
      <c r="GK49" s="6">
        <f t="shared" si="81"/>
        <v>0</v>
      </c>
      <c r="GL49" s="6">
        <f t="shared" si="81"/>
        <v>0</v>
      </c>
      <c r="GM49" s="6">
        <f t="shared" si="81"/>
        <v>0</v>
      </c>
      <c r="GN49" s="6">
        <f t="shared" si="81"/>
        <v>0</v>
      </c>
      <c r="GO49" s="6">
        <f t="shared" si="81"/>
        <v>0</v>
      </c>
      <c r="GP49" s="6">
        <f t="shared" ref="GP49:JA49" si="82">GO52</f>
        <v>0</v>
      </c>
      <c r="GQ49" s="6">
        <f t="shared" si="82"/>
        <v>0</v>
      </c>
      <c r="GR49" s="6">
        <f t="shared" si="82"/>
        <v>0</v>
      </c>
      <c r="GS49" s="6">
        <f t="shared" si="82"/>
        <v>0</v>
      </c>
      <c r="GT49" s="6">
        <f t="shared" si="82"/>
        <v>0</v>
      </c>
      <c r="GU49" s="6">
        <f t="shared" si="82"/>
        <v>0</v>
      </c>
      <c r="GV49" s="6">
        <f t="shared" si="82"/>
        <v>0</v>
      </c>
      <c r="GW49" s="6">
        <f t="shared" si="82"/>
        <v>0</v>
      </c>
      <c r="GX49" s="6">
        <f t="shared" si="82"/>
        <v>0</v>
      </c>
      <c r="GY49" s="6">
        <f t="shared" si="82"/>
        <v>0</v>
      </c>
      <c r="GZ49" s="6">
        <f t="shared" si="82"/>
        <v>0</v>
      </c>
      <c r="HA49" s="6">
        <f t="shared" si="82"/>
        <v>0</v>
      </c>
      <c r="HB49" s="6">
        <f t="shared" si="82"/>
        <v>0</v>
      </c>
      <c r="HC49" s="6">
        <f t="shared" si="82"/>
        <v>0</v>
      </c>
      <c r="HD49" s="6">
        <f t="shared" si="82"/>
        <v>0</v>
      </c>
      <c r="HE49" s="6">
        <f t="shared" si="82"/>
        <v>0</v>
      </c>
      <c r="HF49" s="6">
        <f t="shared" si="82"/>
        <v>0</v>
      </c>
      <c r="HG49" s="6">
        <f t="shared" si="82"/>
        <v>0</v>
      </c>
      <c r="HH49" s="6">
        <f t="shared" si="82"/>
        <v>0</v>
      </c>
      <c r="HI49" s="6">
        <f t="shared" si="82"/>
        <v>0</v>
      </c>
      <c r="HJ49" s="6">
        <f t="shared" si="82"/>
        <v>0</v>
      </c>
      <c r="HK49" s="6">
        <f t="shared" si="82"/>
        <v>0</v>
      </c>
      <c r="HL49" s="6">
        <f t="shared" si="82"/>
        <v>0</v>
      </c>
      <c r="HM49" s="6">
        <f t="shared" si="82"/>
        <v>0</v>
      </c>
      <c r="HN49" s="6">
        <f t="shared" si="82"/>
        <v>0</v>
      </c>
      <c r="HO49" s="6">
        <f t="shared" si="82"/>
        <v>0</v>
      </c>
      <c r="HP49" s="6">
        <f t="shared" si="82"/>
        <v>0</v>
      </c>
      <c r="HQ49" s="6">
        <f t="shared" si="82"/>
        <v>0</v>
      </c>
      <c r="HR49" s="6">
        <f t="shared" si="82"/>
        <v>0</v>
      </c>
      <c r="HS49" s="6">
        <f t="shared" si="82"/>
        <v>0</v>
      </c>
      <c r="HT49" s="6">
        <f t="shared" si="82"/>
        <v>0</v>
      </c>
      <c r="HU49" s="6">
        <f t="shared" si="82"/>
        <v>0</v>
      </c>
      <c r="HV49" s="6">
        <f t="shared" si="82"/>
        <v>0</v>
      </c>
      <c r="HW49" s="6">
        <f t="shared" si="82"/>
        <v>0</v>
      </c>
      <c r="HX49" s="6">
        <f t="shared" si="82"/>
        <v>0</v>
      </c>
      <c r="HY49" s="6">
        <f t="shared" si="82"/>
        <v>0</v>
      </c>
      <c r="HZ49" s="6">
        <f t="shared" si="82"/>
        <v>0</v>
      </c>
      <c r="IA49" s="6">
        <f t="shared" si="82"/>
        <v>0</v>
      </c>
      <c r="IB49" s="6">
        <f t="shared" si="82"/>
        <v>0</v>
      </c>
      <c r="IC49" s="6">
        <f t="shared" si="82"/>
        <v>0</v>
      </c>
      <c r="ID49" s="6">
        <f t="shared" si="82"/>
        <v>0</v>
      </c>
      <c r="IE49" s="6">
        <f t="shared" si="82"/>
        <v>0</v>
      </c>
      <c r="IF49" s="6">
        <f t="shared" si="82"/>
        <v>0</v>
      </c>
      <c r="IG49" s="6">
        <f t="shared" si="82"/>
        <v>0</v>
      </c>
      <c r="IH49" s="6">
        <f t="shared" si="82"/>
        <v>0</v>
      </c>
      <c r="II49" s="6">
        <f t="shared" si="82"/>
        <v>0</v>
      </c>
      <c r="IJ49" s="6">
        <f t="shared" si="82"/>
        <v>0</v>
      </c>
      <c r="IK49" s="6">
        <f t="shared" si="82"/>
        <v>0</v>
      </c>
      <c r="IL49" s="6">
        <f t="shared" si="82"/>
        <v>0</v>
      </c>
      <c r="IM49" s="6">
        <f t="shared" si="82"/>
        <v>0</v>
      </c>
      <c r="IN49" s="6">
        <f t="shared" si="82"/>
        <v>0</v>
      </c>
      <c r="IO49" s="6">
        <f t="shared" si="82"/>
        <v>0</v>
      </c>
      <c r="IP49" s="6">
        <f t="shared" si="82"/>
        <v>0</v>
      </c>
      <c r="IQ49" s="6">
        <f t="shared" si="82"/>
        <v>0</v>
      </c>
      <c r="IR49" s="6">
        <f t="shared" si="82"/>
        <v>0</v>
      </c>
      <c r="IS49" s="6">
        <f t="shared" si="82"/>
        <v>0</v>
      </c>
      <c r="IT49" s="6">
        <f t="shared" si="82"/>
        <v>0</v>
      </c>
      <c r="IU49" s="6">
        <f t="shared" si="82"/>
        <v>0</v>
      </c>
      <c r="IV49" s="6">
        <f t="shared" si="82"/>
        <v>0</v>
      </c>
      <c r="IW49" s="6">
        <f t="shared" si="82"/>
        <v>0</v>
      </c>
      <c r="IX49" s="6">
        <f t="shared" si="82"/>
        <v>0</v>
      </c>
      <c r="IY49" s="6">
        <f t="shared" si="82"/>
        <v>0</v>
      </c>
      <c r="IZ49" s="6">
        <f t="shared" si="82"/>
        <v>0</v>
      </c>
      <c r="JA49" s="6">
        <f t="shared" si="82"/>
        <v>0</v>
      </c>
      <c r="JB49" s="6">
        <f t="shared" ref="JB49:KS49" si="83">JA52</f>
        <v>0</v>
      </c>
      <c r="JC49" s="6">
        <f t="shared" si="83"/>
        <v>0</v>
      </c>
      <c r="JD49" s="6">
        <f t="shared" si="83"/>
        <v>0</v>
      </c>
      <c r="JE49" s="6">
        <f t="shared" si="83"/>
        <v>0</v>
      </c>
      <c r="JF49" s="6">
        <f t="shared" si="83"/>
        <v>0</v>
      </c>
      <c r="JG49" s="6">
        <f t="shared" si="83"/>
        <v>0</v>
      </c>
      <c r="JH49" s="6">
        <f t="shared" si="83"/>
        <v>0</v>
      </c>
      <c r="JI49" s="6">
        <f t="shared" si="83"/>
        <v>0</v>
      </c>
      <c r="JJ49" s="6">
        <f t="shared" si="83"/>
        <v>0</v>
      </c>
      <c r="JK49" s="6">
        <f t="shared" si="83"/>
        <v>0</v>
      </c>
      <c r="JL49" s="6">
        <f t="shared" si="83"/>
        <v>0</v>
      </c>
      <c r="JM49" s="6">
        <f t="shared" si="83"/>
        <v>0</v>
      </c>
      <c r="JN49" s="6">
        <f t="shared" si="83"/>
        <v>0</v>
      </c>
      <c r="JO49" s="6">
        <f t="shared" si="83"/>
        <v>0</v>
      </c>
      <c r="JP49" s="6">
        <f t="shared" si="83"/>
        <v>0</v>
      </c>
      <c r="JQ49" s="6">
        <f t="shared" si="83"/>
        <v>0</v>
      </c>
      <c r="JR49" s="6">
        <f t="shared" si="83"/>
        <v>0</v>
      </c>
      <c r="JS49" s="6">
        <f t="shared" si="83"/>
        <v>0</v>
      </c>
      <c r="JT49" s="6">
        <f t="shared" si="83"/>
        <v>0</v>
      </c>
      <c r="JU49" s="6">
        <f t="shared" si="83"/>
        <v>0</v>
      </c>
      <c r="JV49" s="6">
        <f t="shared" si="83"/>
        <v>0</v>
      </c>
      <c r="JW49" s="6">
        <f t="shared" si="83"/>
        <v>0</v>
      </c>
      <c r="JX49" s="6">
        <f t="shared" si="83"/>
        <v>0</v>
      </c>
      <c r="JY49" s="6">
        <f t="shared" si="83"/>
        <v>0</v>
      </c>
      <c r="JZ49" s="6">
        <f t="shared" si="83"/>
        <v>0</v>
      </c>
      <c r="KA49" s="6">
        <f t="shared" si="83"/>
        <v>0</v>
      </c>
      <c r="KB49" s="6">
        <f t="shared" si="83"/>
        <v>0</v>
      </c>
      <c r="KC49" s="6">
        <f t="shared" si="83"/>
        <v>0</v>
      </c>
      <c r="KD49" s="6">
        <f t="shared" si="83"/>
        <v>0</v>
      </c>
      <c r="KE49" s="6">
        <f t="shared" si="83"/>
        <v>0</v>
      </c>
      <c r="KF49" s="6">
        <f t="shared" si="83"/>
        <v>0</v>
      </c>
      <c r="KG49" s="6">
        <f t="shared" si="83"/>
        <v>0</v>
      </c>
      <c r="KH49" s="6">
        <f t="shared" si="83"/>
        <v>0</v>
      </c>
      <c r="KI49" s="6">
        <f t="shared" si="83"/>
        <v>0</v>
      </c>
      <c r="KJ49" s="6">
        <f t="shared" si="83"/>
        <v>0</v>
      </c>
      <c r="KK49" s="6">
        <f t="shared" si="83"/>
        <v>0</v>
      </c>
      <c r="KL49" s="6">
        <f t="shared" si="83"/>
        <v>0</v>
      </c>
      <c r="KM49" s="6">
        <f t="shared" si="83"/>
        <v>0</v>
      </c>
      <c r="KN49" s="6">
        <f t="shared" si="83"/>
        <v>0</v>
      </c>
      <c r="KO49" s="6">
        <f t="shared" si="83"/>
        <v>0</v>
      </c>
      <c r="KP49" s="6">
        <f t="shared" si="83"/>
        <v>0</v>
      </c>
      <c r="KQ49" s="6">
        <f t="shared" si="83"/>
        <v>0</v>
      </c>
      <c r="KR49" s="6">
        <f t="shared" si="83"/>
        <v>0</v>
      </c>
      <c r="KS49" s="6">
        <f t="shared" si="83"/>
        <v>0</v>
      </c>
    </row>
    <row r="50" spans="2:305">
      <c r="B50" t="s">
        <v>37</v>
      </c>
      <c r="C50" s="22">
        <f>IF(Inputs!$E$8=2,Inputs!J13,0)</f>
        <v>0</v>
      </c>
      <c r="E50" s="6" cm="1">
        <f t="array" ref="E50">IF(E45=1,SUM(-$E$4:E4)*$C$50*Inputs!$E$3,0)</f>
        <v>0</v>
      </c>
      <c r="F50" s="6" cm="1">
        <f t="array" ref="F50">IF(F45=1,SUM(-$E$4:F4)*$C$50*Inputs!$E$3,0)</f>
        <v>0</v>
      </c>
      <c r="G50" s="6" cm="1">
        <f t="array" ref="G50">IF(G45=1,SUM(-$E$4:G4)*$C$50*Inputs!$E$3,0)</f>
        <v>0</v>
      </c>
      <c r="H50" s="6" cm="1">
        <f t="array" ref="H50">IF(H45=1,SUM(-$E$4:H4)*$C$50*Inputs!$E$3,0)</f>
        <v>0</v>
      </c>
      <c r="I50" s="6" cm="1">
        <f t="array" ref="I50">IF(I45=1,SUM(-$E$4:I4)*$C$50*Inputs!$E$3,0)</f>
        <v>0</v>
      </c>
      <c r="J50" s="6" cm="1">
        <f t="array" ref="J50">IF(J45=1,SUM(-$E$4:J4)*$C$50*Inputs!$E$3,0)</f>
        <v>0</v>
      </c>
      <c r="K50" s="6" cm="1">
        <f t="array" ref="K50">IF(K45=1,SUM(-$E$4:K4)*$C$50*Inputs!$E$3,0)</f>
        <v>0</v>
      </c>
      <c r="L50" s="6" cm="1">
        <f t="array" ref="L50">IF(L45=1,SUM(-$E$4:L4)*$C$50*Inputs!$E$3,0)</f>
        <v>0</v>
      </c>
      <c r="M50" s="6" cm="1">
        <f t="array" ref="M50">IF(M45=1,SUM(-$E$4:M4)*$C$50*Inputs!$E$3,0)</f>
        <v>0</v>
      </c>
      <c r="N50" s="6" cm="1">
        <f t="array" ref="N50">IF(N45=1,SUM(-$E$4:N4)*$C$50*Inputs!$E$3,0)</f>
        <v>0</v>
      </c>
      <c r="O50" s="6" cm="1">
        <f t="array" ref="O50">IF(O45=1,SUM(-$E$4:O4)*$C$50*Inputs!$E$3,0)</f>
        <v>0</v>
      </c>
      <c r="P50" s="6" cm="1">
        <f t="array" ref="P50">IF(P45=1,SUM(-$E$4:P4)*$C$50*Inputs!$E$3,0)</f>
        <v>0</v>
      </c>
      <c r="Q50" s="6" cm="1">
        <f t="array" ref="Q50">IF(Q45=1,SUM(-$E$4:Q4)*$C$50*Inputs!$E$3,0)</f>
        <v>0</v>
      </c>
      <c r="R50" s="6" cm="1">
        <f t="array" ref="R50">IF(R45=1,SUM(-$E$4:R4)*$C$50*Inputs!$E$3,0)</f>
        <v>0</v>
      </c>
      <c r="S50" s="6" cm="1">
        <f t="array" ref="S50">IF(S45=1,SUM(-$E$4:S4)*$C$50*Inputs!$E$3,0)</f>
        <v>0</v>
      </c>
      <c r="T50" s="6" cm="1">
        <f t="array" ref="T50">IF(T45=1,SUM(-$E$4:T4)*$C$50*Inputs!$E$3,0)</f>
        <v>0</v>
      </c>
      <c r="U50" s="6" cm="1">
        <f t="array" ref="U50">IF(U45=1,SUM(-$E$4:U4)*$C$50*Inputs!$E$3,0)</f>
        <v>0</v>
      </c>
      <c r="V50" s="6" cm="1">
        <f t="array" ref="V50">IF(V45=1,SUM(-$E$4:V4)*$C$50*Inputs!$E$3,0)</f>
        <v>0</v>
      </c>
      <c r="W50" s="6" cm="1">
        <f t="array" ref="W50">IF(W45=1,SUM(-$E$4:W4)*$C$50*Inputs!$E$3,0)</f>
        <v>0</v>
      </c>
      <c r="X50" s="6" cm="1">
        <f t="array" ref="X50">IF(X45=1,SUM(-$E$4:X4)*$C$50*Inputs!$E$3,0)</f>
        <v>0</v>
      </c>
      <c r="Y50" s="6" cm="1">
        <f t="array" ref="Y50">IF(Y45=1,SUM(-$E$4:Y4)*$C$50*Inputs!$E$3,0)</f>
        <v>0</v>
      </c>
      <c r="Z50" s="6" cm="1">
        <f t="array" ref="Z50">IF(Z45=1,SUM(-$E$4:Z4)*$C$50*Inputs!$E$3,0)</f>
        <v>0</v>
      </c>
      <c r="AA50" s="6" cm="1">
        <f t="array" ref="AA50">IF(AA45=1,SUM(-$E$4:AA4)*$C$50*Inputs!$E$3,0)</f>
        <v>0</v>
      </c>
      <c r="AB50" s="6" cm="1">
        <f t="array" ref="AB50">IF(AB45=1,SUM(-$E$4:AB4)*$C$50*Inputs!$E$3,0)</f>
        <v>0</v>
      </c>
      <c r="AC50" s="6" cm="1">
        <f t="array" ref="AC50">IF(AC45=1,SUM(-$E$4:AC4)*$C$50*Inputs!$E$3,0)</f>
        <v>0</v>
      </c>
      <c r="AD50" s="6" cm="1">
        <f t="array" ref="AD50">IF(AD45=1,SUM(-$E$4:AD4)*$C$50*Inputs!$E$3,0)</f>
        <v>0</v>
      </c>
      <c r="AE50" s="6" cm="1">
        <f t="array" ref="AE50">IF(AE45=1,SUM(-$E$4:AE4)*$C$50*Inputs!$E$3,0)</f>
        <v>0</v>
      </c>
      <c r="AF50" s="6" cm="1">
        <f t="array" ref="AF50">IF(AF45=1,SUM(-$E$4:AF4)*$C$50*Inputs!$E$3,0)</f>
        <v>0</v>
      </c>
      <c r="AG50" s="6" cm="1">
        <f t="array" ref="AG50">IF(AG45=1,SUM(-$E$4:AG4)*$C$50*Inputs!$E$3,0)</f>
        <v>0</v>
      </c>
      <c r="AH50" s="6" cm="1">
        <f t="array" ref="AH50">IF(AH45=1,SUM(-$E$4:AH4)*$C$50*Inputs!$E$3,0)</f>
        <v>0</v>
      </c>
      <c r="AI50" s="6" cm="1">
        <f t="array" ref="AI50">IF(AI45=1,SUM(-$E$4:AI4)*$C$50*Inputs!$E$3,0)</f>
        <v>0</v>
      </c>
      <c r="AJ50" s="6" cm="1">
        <f t="array" ref="AJ50">IF(AJ45=1,SUM(-$E$4:AJ4)*$C$50*Inputs!$E$3,0)</f>
        <v>0</v>
      </c>
      <c r="AK50" s="6" cm="1">
        <f t="array" ref="AK50">IF(AK45=1,SUM(-$E$4:AK4)*$C$50*Inputs!$E$3,0)</f>
        <v>0</v>
      </c>
      <c r="AL50" s="6" cm="1">
        <f t="array" ref="AL50">IF(AL45=1,SUM(-$E$4:AL4)*$C$50*Inputs!$E$3,0)</f>
        <v>0</v>
      </c>
      <c r="AM50" s="6" cm="1">
        <f t="array" ref="AM50">IF(AM45=1,SUM(-$E$4:AM4)*$C$50*Inputs!$E$3,0)</f>
        <v>0</v>
      </c>
      <c r="AN50" s="6" cm="1">
        <f t="array" ref="AN50">IF(AN45=1,SUM(-$E$4:AN4)*$C$50*Inputs!$E$3,0)</f>
        <v>0</v>
      </c>
      <c r="AO50" s="6" cm="1">
        <f t="array" ref="AO50">IF(AO45=1,SUM(-$E$4:AO4)*$C$50*Inputs!$E$3,0)</f>
        <v>0</v>
      </c>
      <c r="AP50" s="6" cm="1">
        <f t="array" ref="AP50">IF(AP45=1,SUM(-$E$4:AP4)*$C$50*Inputs!$E$3,0)</f>
        <v>0</v>
      </c>
      <c r="AQ50" s="6" cm="1">
        <f t="array" ref="AQ50">IF(AQ45=1,SUM(-$E$4:AQ4)*$C$50*Inputs!$E$3,0)</f>
        <v>0</v>
      </c>
      <c r="AR50" s="6" cm="1">
        <f t="array" ref="AR50">IF(AR45=1,SUM(-$E$4:AR4)*$C$50*Inputs!$E$3,0)</f>
        <v>0</v>
      </c>
      <c r="AS50" s="6" cm="1">
        <f t="array" ref="AS50">IF(AS45=1,SUM(-$E$4:AS4)*$C$50*Inputs!$E$3,0)</f>
        <v>0</v>
      </c>
      <c r="AT50" s="6" cm="1">
        <f t="array" ref="AT50">IF(AT45=1,SUM(-$E$4:AT4)*$C$50*Inputs!$E$3,0)</f>
        <v>0</v>
      </c>
      <c r="AU50" s="6" cm="1">
        <f t="array" ref="AU50">IF(AU45=1,SUM(-$E$4:AU4)*$C$50*Inputs!$E$3,0)</f>
        <v>0</v>
      </c>
      <c r="AV50" s="6" cm="1">
        <f t="array" ref="AV50">IF(AV45=1,SUM(-$E$4:AV4)*$C$50*Inputs!$E$3,0)</f>
        <v>0</v>
      </c>
      <c r="AW50" s="6" cm="1">
        <f t="array" ref="AW50">IF(AW45=1,SUM(-$E$4:AW4)*$C$50*Inputs!$E$3,0)</f>
        <v>0</v>
      </c>
      <c r="AX50" s="6" cm="1">
        <f t="array" ref="AX50">IF(AX45=1,SUM(-$E$4:AX4)*$C$50*Inputs!$E$3,0)</f>
        <v>0</v>
      </c>
      <c r="AY50" s="6" cm="1">
        <f t="array" ref="AY50">IF(AY45=1,SUM(-$E$4:AY4)*$C$50*Inputs!$E$3,0)</f>
        <v>0</v>
      </c>
      <c r="AZ50" s="6" cm="1">
        <f t="array" ref="AZ50">IF(AZ45=1,SUM(-$E$4:AZ4)*$C$50*Inputs!$E$3,0)</f>
        <v>0</v>
      </c>
      <c r="BA50" s="6" cm="1">
        <f t="array" ref="BA50">IF(BA45=1,SUM(-$E$4:BA4)*$C$50*Inputs!$E$3,0)</f>
        <v>0</v>
      </c>
      <c r="BB50" s="6" cm="1">
        <f t="array" ref="BB50">IF(BB45=1,SUM(-$E$4:BB4)*$C$50*Inputs!$E$3,0)</f>
        <v>0</v>
      </c>
      <c r="BC50" s="6" cm="1">
        <f t="array" ref="BC50">IF(BC45=1,SUM(-$E$4:BC4)*$C$50*Inputs!$E$3,0)</f>
        <v>0</v>
      </c>
      <c r="BD50" s="6" cm="1">
        <f t="array" ref="BD50">IF(BD45=1,SUM(-$E$4:BD4)*$C$50*Inputs!$E$3,0)</f>
        <v>0</v>
      </c>
      <c r="BE50" s="6" cm="1">
        <f t="array" ref="BE50">IF(BE45=1,SUM(-$E$4:BE4)*$C$50*Inputs!$E$3,0)</f>
        <v>0</v>
      </c>
      <c r="BF50" s="6" cm="1">
        <f t="array" ref="BF50">IF(BF45=1,SUM(-$E$4:BF4)*$C$50*Inputs!$E$3,0)</f>
        <v>0</v>
      </c>
      <c r="BG50" s="6" cm="1">
        <f t="array" ref="BG50">IF(BG45=1,SUM(-$E$4:BG4)*$C$50*Inputs!$E$3,0)</f>
        <v>0</v>
      </c>
      <c r="BH50" s="6" cm="1">
        <f t="array" ref="BH50">IF(BH45=1,SUM(-$E$4:BH4)*$C$50*Inputs!$E$3,0)</f>
        <v>0</v>
      </c>
      <c r="BI50" s="6" cm="1">
        <f t="array" ref="BI50">IF(BI45=1,SUM(-$E$4:BI4)*$C$50*Inputs!$E$3,0)</f>
        <v>0</v>
      </c>
      <c r="BJ50" s="6" cm="1">
        <f t="array" ref="BJ50">IF(BJ45=1,SUM(-$E$4:BJ4)*$C$50*Inputs!$E$3,0)</f>
        <v>0</v>
      </c>
      <c r="BK50" s="6" cm="1">
        <f t="array" ref="BK50">IF(BK45=1,SUM(-$E$4:BK4)*$C$50*Inputs!$E$3,0)</f>
        <v>0</v>
      </c>
      <c r="BL50" s="6" cm="1">
        <f t="array" ref="BL50">IF(BL45=1,SUM(-$E$4:BL4)*$C$50*Inputs!$E$3,0)</f>
        <v>0</v>
      </c>
      <c r="BM50" s="6" cm="1">
        <f t="array" ref="BM50">IF(BM45=1,SUM(-$E$4:BM4)*$C$50*Inputs!$E$3,0)</f>
        <v>0</v>
      </c>
      <c r="BN50" s="6" cm="1">
        <f t="array" ref="BN50">IF(BN45=1,SUM(-$E$4:BN4)*$C$50*Inputs!$E$3,0)</f>
        <v>0</v>
      </c>
      <c r="BO50" s="6" cm="1">
        <f t="array" ref="BO50">IF(BO45=1,SUM(-$E$4:BO4)*$C$50*Inputs!$E$3,0)</f>
        <v>0</v>
      </c>
      <c r="BP50" s="6" cm="1">
        <f t="array" ref="BP50">IF(BP45=1,SUM(-$E$4:BP4)*$C$50*Inputs!$E$3,0)</f>
        <v>0</v>
      </c>
      <c r="BQ50" s="6" cm="1">
        <f t="array" ref="BQ50">IF(BQ45=1,SUM(-$E$4:BQ4)*$C$50*Inputs!$E$3,0)</f>
        <v>0</v>
      </c>
      <c r="BR50" s="6" cm="1">
        <f t="array" ref="BR50">IF(BR45=1,SUM(-$E$4:BR4)*$C$50*Inputs!$E$3,0)</f>
        <v>0</v>
      </c>
      <c r="BS50" s="6" cm="1">
        <f t="array" ref="BS50">IF(BS45=1,SUM(-$E$4:BS4)*$C$50*Inputs!$E$3,0)</f>
        <v>0</v>
      </c>
      <c r="BT50" s="6" cm="1">
        <f t="array" ref="BT50">IF(BT45=1,SUM(-$E$4:BT4)*$C$50*Inputs!$E$3,0)</f>
        <v>0</v>
      </c>
      <c r="BU50" s="6" cm="1">
        <f t="array" ref="BU50">IF(BU45=1,SUM(-$E$4:BU4)*$C$50*Inputs!$E$3,0)</f>
        <v>0</v>
      </c>
      <c r="BV50" s="6" cm="1">
        <f t="array" ref="BV50">IF(BV45=1,SUM(-$E$4:BV4)*$C$50*Inputs!$E$3,0)</f>
        <v>0</v>
      </c>
      <c r="BW50" s="6" cm="1">
        <f t="array" ref="BW50">IF(BW45=1,SUM(-$E$4:BW4)*$C$50*Inputs!$E$3,0)</f>
        <v>0</v>
      </c>
      <c r="BX50" s="6" cm="1">
        <f t="array" ref="BX50">IF(BX45=1,SUM(-$E$4:BX4)*$C$50*Inputs!$E$3,0)</f>
        <v>0</v>
      </c>
      <c r="BY50" s="6" cm="1">
        <f t="array" ref="BY50">IF(BY45=1,SUM(-$E$4:BY4)*$C$50*Inputs!$E$3,0)</f>
        <v>0</v>
      </c>
      <c r="BZ50" s="6" cm="1">
        <f t="array" ref="BZ50">IF(BZ45=1,SUM(-$E$4:BZ4)*$C$50*Inputs!$E$3,0)</f>
        <v>0</v>
      </c>
      <c r="CA50" s="6" cm="1">
        <f t="array" ref="CA50">IF(CA45=1,SUM(-$E$4:CA4)*$C$50*Inputs!$E$3,0)</f>
        <v>0</v>
      </c>
      <c r="CB50" s="6" cm="1">
        <f t="array" ref="CB50">IF(CB45=1,SUM(-$E$4:CB4)*$C$50*Inputs!$E$3,0)</f>
        <v>0</v>
      </c>
      <c r="CC50" s="6" cm="1">
        <f t="array" ref="CC50">IF(CC45=1,SUM(-$E$4:CC4)*$C$50*Inputs!$E$3,0)</f>
        <v>0</v>
      </c>
      <c r="CD50" s="6" cm="1">
        <f t="array" ref="CD50">IF(CD45=1,SUM(-$E$4:CD4)*$C$50*Inputs!$E$3,0)</f>
        <v>0</v>
      </c>
      <c r="CE50" s="6" cm="1">
        <f t="array" ref="CE50">IF(CE45=1,SUM(-$E$4:CE4)*$C$50*Inputs!$E$3,0)</f>
        <v>0</v>
      </c>
      <c r="CF50" s="6" cm="1">
        <f t="array" ref="CF50">IF(CF45=1,SUM(-$E$4:CF4)*$C$50*Inputs!$E$3,0)</f>
        <v>0</v>
      </c>
      <c r="CG50" s="6" cm="1">
        <f t="array" ref="CG50">IF(CG45=1,SUM(-$E$4:CG4)*$C$50*Inputs!$E$3,0)</f>
        <v>0</v>
      </c>
      <c r="CH50" s="6" cm="1">
        <f t="array" ref="CH50">IF(CH45=1,SUM(-$E$4:CH4)*$C$50*Inputs!$E$3,0)</f>
        <v>0</v>
      </c>
      <c r="CI50" s="6" cm="1">
        <f t="array" ref="CI50">IF(CI45=1,SUM(-$E$4:CI4)*$C$50*Inputs!$E$3,0)</f>
        <v>0</v>
      </c>
      <c r="CJ50" s="6" cm="1">
        <f t="array" ref="CJ50">IF(CJ45=1,SUM(-$E$4:CJ4)*$C$50*Inputs!$E$3,0)</f>
        <v>0</v>
      </c>
      <c r="CK50" s="6" cm="1">
        <f t="array" ref="CK50">IF(CK45=1,SUM(-$E$4:CK4)*$C$50*Inputs!$E$3,0)</f>
        <v>0</v>
      </c>
      <c r="CL50" s="6" cm="1">
        <f t="array" ref="CL50">IF(CL45=1,SUM(-$E$4:CL4)*$C$50*Inputs!$E$3,0)</f>
        <v>0</v>
      </c>
      <c r="CM50" s="6" cm="1">
        <f t="array" ref="CM50">IF(CM45=1,SUM(-$E$4:CM4)*$C$50*Inputs!$E$3,0)</f>
        <v>0</v>
      </c>
      <c r="CN50" s="6" cm="1">
        <f t="array" ref="CN50">IF(CN45=1,SUM(-$E$4:CN4)*$C$50*Inputs!$E$3,0)</f>
        <v>0</v>
      </c>
      <c r="CO50" s="6" cm="1">
        <f t="array" ref="CO50">IF(CO45=1,SUM(-$E$4:CO4)*$C$50*Inputs!$E$3,0)</f>
        <v>0</v>
      </c>
      <c r="CP50" s="6" cm="1">
        <f t="array" ref="CP50">IF(CP45=1,SUM(-$E$4:CP4)*$C$50*Inputs!$E$3,0)</f>
        <v>0</v>
      </c>
      <c r="CQ50" s="6" cm="1">
        <f t="array" ref="CQ50">IF(CQ45=1,SUM(-$E$4:CQ4)*$C$50*Inputs!$E$3,0)</f>
        <v>0</v>
      </c>
      <c r="CR50" s="6" cm="1">
        <f t="array" ref="CR50">IF(CR45=1,SUM(-$E$4:CR4)*$C$50*Inputs!$E$3,0)</f>
        <v>0</v>
      </c>
      <c r="CS50" s="6" cm="1">
        <f t="array" ref="CS50">IF(CS45=1,SUM(-$E$4:CS4)*$C$50*Inputs!$E$3,0)</f>
        <v>0</v>
      </c>
      <c r="CT50" s="6" cm="1">
        <f t="array" ref="CT50">IF(CT45=1,SUM(-$E$4:CT4)*$C$50*Inputs!$E$3,0)</f>
        <v>0</v>
      </c>
      <c r="CU50" s="6" cm="1">
        <f t="array" ref="CU50">IF(CU45=1,SUM(-$E$4:CU4)*$C$50*Inputs!$E$3,0)</f>
        <v>0</v>
      </c>
      <c r="CV50" s="6" cm="1">
        <f t="array" ref="CV50">IF(CV45=1,SUM(-$E$4:CV4)*$C$50*Inputs!$E$3,0)</f>
        <v>0</v>
      </c>
      <c r="CW50" s="6" cm="1">
        <f t="array" ref="CW50">IF(CW45=1,SUM(-$E$4:CW4)*$C$50*Inputs!$E$3,0)</f>
        <v>0</v>
      </c>
      <c r="CX50" s="6" cm="1">
        <f t="array" ref="CX50">IF(CX45=1,SUM(-$E$4:CX4)*$C$50*Inputs!$E$3,0)</f>
        <v>0</v>
      </c>
      <c r="CY50" s="6" cm="1">
        <f t="array" ref="CY50">IF(CY45=1,SUM(-$E$4:CY4)*$C$50*Inputs!$E$3,0)</f>
        <v>0</v>
      </c>
      <c r="CZ50" s="6" cm="1">
        <f t="array" ref="CZ50">IF(CZ45=1,SUM(-$E$4:CZ4)*$C$50*Inputs!$E$3,0)</f>
        <v>0</v>
      </c>
      <c r="DA50" s="6" cm="1">
        <f t="array" ref="DA50">IF(DA45=1,SUM(-$E$4:DA4)*$C$50*Inputs!$E$3,0)</f>
        <v>0</v>
      </c>
      <c r="DB50" s="6" cm="1">
        <f t="array" ref="DB50">IF(DB45=1,SUM(-$E$4:DB4)*$C$50*Inputs!$E$3,0)</f>
        <v>0</v>
      </c>
      <c r="DC50" s="6" cm="1">
        <f t="array" ref="DC50">IF(DC45=1,SUM(-$E$4:DC4)*$C$50*Inputs!$E$3,0)</f>
        <v>0</v>
      </c>
      <c r="DD50" s="6" cm="1">
        <f t="array" ref="DD50">IF(DD45=1,SUM(-$E$4:DD4)*$C$50*Inputs!$E$3,0)</f>
        <v>0</v>
      </c>
      <c r="DE50" s="6" cm="1">
        <f t="array" ref="DE50">IF(DE45=1,SUM(-$E$4:DE4)*$C$50*Inputs!$E$3,0)</f>
        <v>0</v>
      </c>
      <c r="DF50" s="6" cm="1">
        <f t="array" ref="DF50">IF(DF45=1,SUM(-$E$4:DF4)*$C$50*Inputs!$E$3,0)</f>
        <v>0</v>
      </c>
      <c r="DG50" s="6" cm="1">
        <f t="array" ref="DG50">IF(DG45=1,SUM(-$E$4:DG4)*$C$50*Inputs!$E$3,0)</f>
        <v>0</v>
      </c>
      <c r="DH50" s="6" cm="1">
        <f t="array" ref="DH50">IF(DH45=1,SUM(-$E$4:DH4)*$C$50*Inputs!$E$3,0)</f>
        <v>0</v>
      </c>
      <c r="DI50" s="6" cm="1">
        <f t="array" ref="DI50">IF(DI45=1,SUM(-$E$4:DI4)*$C$50*Inputs!$E$3,0)</f>
        <v>0</v>
      </c>
      <c r="DJ50" s="6" cm="1">
        <f t="array" ref="DJ50">IF(DJ45=1,SUM(-$E$4:DJ4)*$C$50*Inputs!$E$3,0)</f>
        <v>0</v>
      </c>
      <c r="DK50" s="6" cm="1">
        <f t="array" ref="DK50">IF(DK45=1,SUM(-$E$4:DK4)*$C$50*Inputs!$E$3,0)</f>
        <v>0</v>
      </c>
      <c r="DL50" s="6" cm="1">
        <f t="array" ref="DL50">IF(DL45=1,SUM(-$E$4:DL4)*$C$50*Inputs!$E$3,0)</f>
        <v>0</v>
      </c>
      <c r="DM50" s="6" cm="1">
        <f t="array" ref="DM50">IF(DM45=1,SUM(-$E$4:DM4)*$C$50*Inputs!$E$3,0)</f>
        <v>0</v>
      </c>
      <c r="DN50" s="6" cm="1">
        <f t="array" ref="DN50">IF(DN45=1,SUM(-$E$4:DN4)*$C$50*Inputs!$E$3,0)</f>
        <v>0</v>
      </c>
      <c r="DO50" s="6" cm="1">
        <f t="array" ref="DO50">IF(DO45=1,SUM(-$E$4:DO4)*$C$50*Inputs!$E$3,0)</f>
        <v>0</v>
      </c>
      <c r="DP50" s="6" cm="1">
        <f t="array" ref="DP50">IF(DP45=1,SUM(-$E$4:DP4)*$C$50*Inputs!$E$3,0)</f>
        <v>0</v>
      </c>
      <c r="DQ50" s="6" cm="1">
        <f t="array" ref="DQ50">IF(DQ45=1,SUM(-$E$4:DQ4)*$C$50*Inputs!$E$3,0)</f>
        <v>0</v>
      </c>
      <c r="DR50" s="6" cm="1">
        <f t="array" ref="DR50">IF(DR45=1,SUM(-$E$4:DR4)*$C$50*Inputs!$E$3,0)</f>
        <v>0</v>
      </c>
      <c r="DS50" s="6" cm="1">
        <f t="array" ref="DS50">IF(DS45=1,SUM(-$E$4:DS4)*$C$50*Inputs!$E$3,0)</f>
        <v>0</v>
      </c>
      <c r="DT50" s="6" cm="1">
        <f t="array" ref="DT50">IF(DT45=1,SUM(-$E$4:DT4)*$C$50*Inputs!$E$3,0)</f>
        <v>0</v>
      </c>
      <c r="DU50" s="6" cm="1">
        <f t="array" ref="DU50">IF(DU45=1,SUM(-$E$4:DU4)*$C$50*Inputs!$E$3,0)</f>
        <v>0</v>
      </c>
      <c r="DV50" s="6" cm="1">
        <f t="array" ref="DV50">IF(DV45=1,SUM(-$E$4:DV4)*$C$50*Inputs!$E$3,0)</f>
        <v>0</v>
      </c>
      <c r="DW50" s="6" cm="1">
        <f t="array" ref="DW50">IF(DW45=1,SUM(-$E$4:DW4)*$C$50*Inputs!$E$3,0)</f>
        <v>0</v>
      </c>
      <c r="DX50" s="6" cm="1">
        <f t="array" ref="DX50">IF(DX45=1,SUM(-$E$4:DX4)*$C$50*Inputs!$E$3,0)</f>
        <v>0</v>
      </c>
      <c r="DY50" s="6" cm="1">
        <f t="array" ref="DY50">IF(DY45=1,SUM(-$E$4:DY4)*$C$50*Inputs!$E$3,0)</f>
        <v>0</v>
      </c>
      <c r="DZ50" s="6" cm="1">
        <f t="array" ref="DZ50">IF(DZ45=1,SUM(-$E$4:DZ4)*$C$50*Inputs!$E$3,0)</f>
        <v>0</v>
      </c>
      <c r="EA50" s="6" cm="1">
        <f t="array" ref="EA50">IF(EA45=1,SUM(-$E$4:EA4)*$C$50*Inputs!$E$3,0)</f>
        <v>0</v>
      </c>
      <c r="EB50" s="6" cm="1">
        <f t="array" ref="EB50">IF(EB45=1,SUM(-$E$4:EB4)*$C$50*Inputs!$E$3,0)</f>
        <v>0</v>
      </c>
      <c r="EC50" s="6" cm="1">
        <f t="array" ref="EC50">IF(EC45=1,SUM(-$E$4:EC4)*$C$50*Inputs!$E$3,0)</f>
        <v>0</v>
      </c>
      <c r="ED50" s="6" cm="1">
        <f t="array" ref="ED50">IF(ED45=1,SUM(-$E$4:ED4)*$C$50*Inputs!$E$3,0)</f>
        <v>0</v>
      </c>
      <c r="EE50" s="6" cm="1">
        <f t="array" ref="EE50">IF(EE45=1,SUM(-$E$4:EE4)*$C$50*Inputs!$E$3,0)</f>
        <v>0</v>
      </c>
      <c r="EF50" s="6" cm="1">
        <f t="array" ref="EF50">IF(EF45=1,SUM(-$E$4:EF4)*$C$50*Inputs!$E$3,0)</f>
        <v>0</v>
      </c>
      <c r="EG50" s="6" cm="1">
        <f t="array" ref="EG50">IF(EG45=1,SUM(-$E$4:EG4)*$C$50*Inputs!$E$3,0)</f>
        <v>0</v>
      </c>
      <c r="EH50" s="6" cm="1">
        <f t="array" ref="EH50">IF(EH45=1,SUM(-$E$4:EH4)*$C$50*Inputs!$E$3,0)</f>
        <v>0</v>
      </c>
      <c r="EI50" s="6" cm="1">
        <f t="array" ref="EI50">IF(EI45=1,SUM(-$E$4:EI4)*$C$50*Inputs!$E$3,0)</f>
        <v>0</v>
      </c>
      <c r="EJ50" s="6" cm="1">
        <f t="array" ref="EJ50">IF(EJ45=1,SUM(-$E$4:EJ4)*$C$50*Inputs!$E$3,0)</f>
        <v>0</v>
      </c>
      <c r="EK50" s="6" cm="1">
        <f t="array" ref="EK50">IF(EK45=1,SUM(-$E$4:EK4)*$C$50*Inputs!$E$3,0)</f>
        <v>0</v>
      </c>
      <c r="EL50" s="6" cm="1">
        <f t="array" ref="EL50">IF(EL45=1,SUM(-$E$4:EL4)*$C$50*Inputs!$E$3,0)</f>
        <v>0</v>
      </c>
      <c r="EM50" s="6" cm="1">
        <f t="array" ref="EM50">IF(EM45=1,SUM(-$E$4:EM4)*$C$50*Inputs!$E$3,0)</f>
        <v>0</v>
      </c>
      <c r="EN50" s="6" cm="1">
        <f t="array" ref="EN50">IF(EN45=1,SUM(-$E$4:EN4)*$C$50*Inputs!$E$3,0)</f>
        <v>0</v>
      </c>
      <c r="EO50" s="6" cm="1">
        <f t="array" ref="EO50">IF(EO45=1,SUM(-$E$4:EO4)*$C$50*Inputs!$E$3,0)</f>
        <v>0</v>
      </c>
      <c r="EP50" s="6" cm="1">
        <f t="array" ref="EP50">IF(EP45=1,SUM(-$E$4:EP4)*$C$50*Inputs!$E$3,0)</f>
        <v>0</v>
      </c>
      <c r="EQ50" s="6" cm="1">
        <f t="array" ref="EQ50">IF(EQ45=1,SUM(-$E$4:EQ4)*$C$50*Inputs!$E$3,0)</f>
        <v>0</v>
      </c>
      <c r="ER50" s="6" cm="1">
        <f t="array" ref="ER50">IF(ER45=1,SUM(-$E$4:ER4)*$C$50*Inputs!$E$3,0)</f>
        <v>0</v>
      </c>
      <c r="ES50" s="6" cm="1">
        <f t="array" ref="ES50">IF(ES45=1,SUM(-$E$4:ES4)*$C$50*Inputs!$E$3,0)</f>
        <v>0</v>
      </c>
      <c r="ET50" s="6" cm="1">
        <f t="array" ref="ET50">IF(ET45=1,SUM(-$E$4:ET4)*$C$50*Inputs!$E$3,0)</f>
        <v>0</v>
      </c>
      <c r="EU50" s="6" cm="1">
        <f t="array" ref="EU50">IF(EU45=1,SUM(-$E$4:EU4)*$C$50*Inputs!$E$3,0)</f>
        <v>0</v>
      </c>
      <c r="EV50" s="6" cm="1">
        <f t="array" ref="EV50">IF(EV45=1,SUM(-$E$4:EV4)*$C$50*Inputs!$E$3,0)</f>
        <v>0</v>
      </c>
      <c r="EW50" s="6" cm="1">
        <f t="array" ref="EW50">IF(EW45=1,SUM(-$E$4:EW4)*$C$50*Inputs!$E$3,0)</f>
        <v>0</v>
      </c>
      <c r="EX50" s="6" cm="1">
        <f t="array" ref="EX50">IF(EX45=1,SUM(-$E$4:EX4)*$C$50*Inputs!$E$3,0)</f>
        <v>0</v>
      </c>
      <c r="EY50" s="6" cm="1">
        <f t="array" ref="EY50">IF(EY45=1,SUM(-$E$4:EY4)*$C$50*Inputs!$E$3,0)</f>
        <v>0</v>
      </c>
      <c r="EZ50" s="6" cm="1">
        <f t="array" ref="EZ50">IF(EZ45=1,SUM(-$E$4:EZ4)*$C$50*Inputs!$E$3,0)</f>
        <v>0</v>
      </c>
      <c r="FA50" s="6" cm="1">
        <f t="array" ref="FA50">IF(FA45=1,SUM(-$E$4:FA4)*$C$50*Inputs!$E$3,0)</f>
        <v>0</v>
      </c>
      <c r="FB50" s="6" cm="1">
        <f t="array" ref="FB50">IF(FB45=1,SUM(-$E$4:FB4)*$C$50*Inputs!$E$3,0)</f>
        <v>0</v>
      </c>
      <c r="FC50" s="6" cm="1">
        <f t="array" ref="FC50">IF(FC45=1,SUM(-$E$4:FC4)*$C$50*Inputs!$E$3,0)</f>
        <v>0</v>
      </c>
      <c r="FD50" s="6" cm="1">
        <f t="array" ref="FD50">IF(FD45=1,SUM(-$E$4:FD4)*$C$50*Inputs!$E$3,0)</f>
        <v>0</v>
      </c>
      <c r="FE50" s="6" cm="1">
        <f t="array" ref="FE50">IF(FE45=1,SUM(-$E$4:FE4)*$C$50*Inputs!$E$3,0)</f>
        <v>0</v>
      </c>
      <c r="FF50" s="6" cm="1">
        <f t="array" ref="FF50">IF(FF45=1,SUM(-$E$4:FF4)*$C$50*Inputs!$E$3,0)</f>
        <v>0</v>
      </c>
      <c r="FG50" s="6" cm="1">
        <f t="array" ref="FG50">IF(FG45=1,SUM(-$E$4:FG4)*$C$50*Inputs!$E$3,0)</f>
        <v>0</v>
      </c>
      <c r="FH50" s="6" cm="1">
        <f t="array" ref="FH50">IF(FH45=1,SUM(-$E$4:FH4)*$C$50*Inputs!$E$3,0)</f>
        <v>0</v>
      </c>
      <c r="FI50" s="6" cm="1">
        <f t="array" ref="FI50">IF(FI45=1,SUM(-$E$4:FI4)*$C$50*Inputs!$E$3,0)</f>
        <v>0</v>
      </c>
      <c r="FJ50" s="6" cm="1">
        <f t="array" ref="FJ50">IF(FJ45=1,SUM(-$E$4:FJ4)*$C$50*Inputs!$E$3,0)</f>
        <v>0</v>
      </c>
      <c r="FK50" s="6" cm="1">
        <f t="array" ref="FK50">IF(FK45=1,SUM(-$E$4:FK4)*$C$50*Inputs!$E$3,0)</f>
        <v>0</v>
      </c>
      <c r="FL50" s="6" cm="1">
        <f t="array" ref="FL50">IF(FL45=1,SUM(-$E$4:FL4)*$C$50*Inputs!$E$3,0)</f>
        <v>0</v>
      </c>
      <c r="FM50" s="6" cm="1">
        <f t="array" ref="FM50">IF(FM45=1,SUM(-$E$4:FM4)*$C$50*Inputs!$E$3,0)</f>
        <v>0</v>
      </c>
      <c r="FN50" s="6" cm="1">
        <f t="array" ref="FN50">IF(FN45=1,SUM(-$E$4:FN4)*$C$50*Inputs!$E$3,0)</f>
        <v>0</v>
      </c>
      <c r="FO50" s="6" cm="1">
        <f t="array" ref="FO50">IF(FO45=1,SUM(-$E$4:FO4)*$C$50*Inputs!$E$3,0)</f>
        <v>0</v>
      </c>
      <c r="FP50" s="6" cm="1">
        <f t="array" ref="FP50">IF(FP45=1,SUM(-$E$4:FP4)*$C$50*Inputs!$E$3,0)</f>
        <v>0</v>
      </c>
      <c r="FQ50" s="6" cm="1">
        <f t="array" ref="FQ50">IF(FQ45=1,SUM(-$E$4:FQ4)*$C$50*Inputs!$E$3,0)</f>
        <v>0</v>
      </c>
      <c r="FR50" s="6" cm="1">
        <f t="array" ref="FR50">IF(FR45=1,SUM(-$E$4:FR4)*$C$50*Inputs!$E$3,0)</f>
        <v>0</v>
      </c>
      <c r="FS50" s="6" cm="1">
        <f t="array" ref="FS50">IF(FS45=1,SUM(-$E$4:FS4)*$C$50*Inputs!$E$3,0)</f>
        <v>0</v>
      </c>
      <c r="FT50" s="6" cm="1">
        <f t="array" ref="FT50">IF(FT45=1,SUM(-$E$4:FT4)*$C$50*Inputs!$E$3,0)</f>
        <v>0</v>
      </c>
      <c r="FU50" s="6" cm="1">
        <f t="array" ref="FU50">IF(FU45=1,SUM(-$E$4:FU4)*$C$50*Inputs!$E$3,0)</f>
        <v>0</v>
      </c>
      <c r="FV50" s="6" cm="1">
        <f t="array" ref="FV50">IF(FV45=1,SUM(-$E$4:FV4)*$C$50*Inputs!$E$3,0)</f>
        <v>0</v>
      </c>
      <c r="FW50" s="6" cm="1">
        <f t="array" ref="FW50">IF(FW45=1,SUM(-$E$4:FW4)*$C$50*Inputs!$E$3,0)</f>
        <v>0</v>
      </c>
      <c r="FX50" s="6" cm="1">
        <f t="array" ref="FX50">IF(FX45=1,SUM(-$E$4:FX4)*$C$50*Inputs!$E$3,0)</f>
        <v>0</v>
      </c>
      <c r="FY50" s="6" cm="1">
        <f t="array" ref="FY50">IF(FY45=1,SUM(-$E$4:FY4)*$C$50*Inputs!$E$3,0)</f>
        <v>0</v>
      </c>
      <c r="FZ50" s="6" cm="1">
        <f t="array" ref="FZ50">IF(FZ45=1,SUM(-$E$4:FZ4)*$C$50*Inputs!$E$3,0)</f>
        <v>0</v>
      </c>
      <c r="GA50" s="6" cm="1">
        <f t="array" ref="GA50">IF(GA45=1,SUM(-$E$4:GA4)*$C$50*Inputs!$E$3,0)</f>
        <v>0</v>
      </c>
      <c r="GB50" s="6" cm="1">
        <f t="array" ref="GB50">IF(GB45=1,SUM(-$E$4:GB4)*$C$50*Inputs!$E$3,0)</f>
        <v>0</v>
      </c>
      <c r="GC50" s="6" cm="1">
        <f t="array" ref="GC50">IF(GC45=1,SUM(-$E$4:GC4)*$C$50*Inputs!$E$3,0)</f>
        <v>0</v>
      </c>
      <c r="GD50" s="6" cm="1">
        <f t="array" ref="GD50">IF(GD45=1,SUM(-$E$4:GD4)*$C$50*Inputs!$E$3,0)</f>
        <v>0</v>
      </c>
      <c r="GE50" s="6" cm="1">
        <f t="array" ref="GE50">IF(GE45=1,SUM(-$E$4:GE4)*$C$50*Inputs!$E$3,0)</f>
        <v>0</v>
      </c>
      <c r="GF50" s="6" cm="1">
        <f t="array" ref="GF50">IF(GF45=1,SUM(-$E$4:GF4)*$C$50*Inputs!$E$3,0)</f>
        <v>0</v>
      </c>
      <c r="GG50" s="6" cm="1">
        <f t="array" ref="GG50">IF(GG45=1,SUM(-$E$4:GG4)*$C$50*Inputs!$E$3,0)</f>
        <v>0</v>
      </c>
      <c r="GH50" s="6" cm="1">
        <f t="array" ref="GH50">IF(GH45=1,SUM(-$E$4:GH4)*$C$50*Inputs!$E$3,0)</f>
        <v>0</v>
      </c>
      <c r="GI50" s="6" cm="1">
        <f t="array" ref="GI50">IF(GI45=1,SUM(-$E$4:GI4)*$C$50*Inputs!$E$3,0)</f>
        <v>0</v>
      </c>
      <c r="GJ50" s="6" cm="1">
        <f t="array" ref="GJ50">IF(GJ45=1,SUM(-$E$4:GJ4)*$C$50*Inputs!$E$3,0)</f>
        <v>0</v>
      </c>
      <c r="GK50" s="6" cm="1">
        <f t="array" ref="GK50">IF(GK45=1,SUM(-$E$4:GK4)*$C$50*Inputs!$E$3,0)</f>
        <v>0</v>
      </c>
      <c r="GL50" s="6" cm="1">
        <f t="array" ref="GL50">IF(GL45=1,SUM(-$E$4:GL4)*$C$50*Inputs!$E$3,0)</f>
        <v>0</v>
      </c>
      <c r="GM50" s="6" cm="1">
        <f t="array" ref="GM50">IF(GM45=1,SUM(-$E$4:GM4)*$C$50*Inputs!$E$3,0)</f>
        <v>0</v>
      </c>
      <c r="GN50" s="6" cm="1">
        <f t="array" ref="GN50">IF(GN45=1,SUM(-$E$4:GN4)*$C$50*Inputs!$E$3,0)</f>
        <v>0</v>
      </c>
      <c r="GO50" s="6" cm="1">
        <f t="array" ref="GO50">IF(GO45=1,SUM(-$E$4:GO4)*$C$50*Inputs!$E$3,0)</f>
        <v>0</v>
      </c>
      <c r="GP50" s="6" cm="1">
        <f t="array" ref="GP50">IF(GP45=1,SUM(-$E$4:GP4)*$C$50*Inputs!$E$3,0)</f>
        <v>0</v>
      </c>
      <c r="GQ50" s="6" cm="1">
        <f t="array" ref="GQ50">IF(GQ45=1,SUM(-$E$4:GQ4)*$C$50*Inputs!$E$3,0)</f>
        <v>0</v>
      </c>
      <c r="GR50" s="6" cm="1">
        <f t="array" ref="GR50">IF(GR45=1,SUM(-$E$4:GR4)*$C$50*Inputs!$E$3,0)</f>
        <v>0</v>
      </c>
      <c r="GS50" s="6" cm="1">
        <f t="array" ref="GS50">IF(GS45=1,SUM(-$E$4:GS4)*$C$50*Inputs!$E$3,0)</f>
        <v>0</v>
      </c>
      <c r="GT50" s="6" cm="1">
        <f t="array" ref="GT50">IF(GT45=1,SUM(-$E$4:GT4)*$C$50*Inputs!$E$3,0)</f>
        <v>0</v>
      </c>
      <c r="GU50" s="6" cm="1">
        <f t="array" ref="GU50">IF(GU45=1,SUM(-$E$4:GU4)*$C$50*Inputs!$E$3,0)</f>
        <v>0</v>
      </c>
      <c r="GV50" s="6" cm="1">
        <f t="array" ref="GV50">IF(GV45=1,SUM(-$E$4:GV4)*$C$50*Inputs!$E$3,0)</f>
        <v>0</v>
      </c>
      <c r="GW50" s="6" cm="1">
        <f t="array" ref="GW50">IF(GW45=1,SUM(-$E$4:GW4)*$C$50*Inputs!$E$3,0)</f>
        <v>0</v>
      </c>
      <c r="GX50" s="6" cm="1">
        <f t="array" ref="GX50">IF(GX45=1,SUM(-$E$4:GX4)*$C$50*Inputs!$E$3,0)</f>
        <v>0</v>
      </c>
      <c r="GY50" s="6" cm="1">
        <f t="array" ref="GY50">IF(GY45=1,SUM(-$E$4:GY4)*$C$50*Inputs!$E$3,0)</f>
        <v>0</v>
      </c>
      <c r="GZ50" s="6" cm="1">
        <f t="array" ref="GZ50">IF(GZ45=1,SUM(-$E$4:GZ4)*$C$50*Inputs!$E$3,0)</f>
        <v>0</v>
      </c>
      <c r="HA50" s="6" cm="1">
        <f t="array" ref="HA50">IF(HA45=1,SUM(-$E$4:HA4)*$C$50*Inputs!$E$3,0)</f>
        <v>0</v>
      </c>
      <c r="HB50" s="6" cm="1">
        <f t="array" ref="HB50">IF(HB45=1,SUM(-$E$4:HB4)*$C$50*Inputs!$E$3,0)</f>
        <v>0</v>
      </c>
      <c r="HC50" s="6" cm="1">
        <f t="array" ref="HC50">IF(HC45=1,SUM(-$E$4:HC4)*$C$50*Inputs!$E$3,0)</f>
        <v>0</v>
      </c>
      <c r="HD50" s="6" cm="1">
        <f t="array" ref="HD50">IF(HD45=1,SUM(-$E$4:HD4)*$C$50*Inputs!$E$3,0)</f>
        <v>0</v>
      </c>
      <c r="HE50" s="6" cm="1">
        <f t="array" ref="HE50">IF(HE45=1,SUM(-$E$4:HE4)*$C$50*Inputs!$E$3,0)</f>
        <v>0</v>
      </c>
      <c r="HF50" s="6" cm="1">
        <f t="array" ref="HF50">IF(HF45=1,SUM(-$E$4:HF4)*$C$50*Inputs!$E$3,0)</f>
        <v>0</v>
      </c>
      <c r="HG50" s="6" cm="1">
        <f t="array" ref="HG50">IF(HG45=1,SUM(-$E$4:HG4)*$C$50*Inputs!$E$3,0)</f>
        <v>0</v>
      </c>
      <c r="HH50" s="6" cm="1">
        <f t="array" ref="HH50">IF(HH45=1,SUM(-$E$4:HH4)*$C$50*Inputs!$E$3,0)</f>
        <v>0</v>
      </c>
      <c r="HI50" s="6" cm="1">
        <f t="array" ref="HI50">IF(HI45=1,SUM(-$E$4:HI4)*$C$50*Inputs!$E$3,0)</f>
        <v>0</v>
      </c>
      <c r="HJ50" s="6" cm="1">
        <f t="array" ref="HJ50">IF(HJ45=1,SUM(-$E$4:HJ4)*$C$50*Inputs!$E$3,0)</f>
        <v>0</v>
      </c>
      <c r="HK50" s="6" cm="1">
        <f t="array" ref="HK50">IF(HK45=1,SUM(-$E$4:HK4)*$C$50*Inputs!$E$3,0)</f>
        <v>0</v>
      </c>
      <c r="HL50" s="6" cm="1">
        <f t="array" ref="HL50">IF(HL45=1,SUM(-$E$4:HL4)*$C$50*Inputs!$E$3,0)</f>
        <v>0</v>
      </c>
      <c r="HM50" s="6" cm="1">
        <f t="array" ref="HM50">IF(HM45=1,SUM(-$E$4:HM4)*$C$50*Inputs!$E$3,0)</f>
        <v>0</v>
      </c>
      <c r="HN50" s="6" cm="1">
        <f t="array" ref="HN50">IF(HN45=1,SUM(-$E$4:HN4)*$C$50*Inputs!$E$3,0)</f>
        <v>0</v>
      </c>
      <c r="HO50" s="6" cm="1">
        <f t="array" ref="HO50">IF(HO45=1,SUM(-$E$4:HO4)*$C$50*Inputs!$E$3,0)</f>
        <v>0</v>
      </c>
      <c r="HP50" s="6" cm="1">
        <f t="array" ref="HP50">IF(HP45=1,SUM(-$E$4:HP4)*$C$50*Inputs!$E$3,0)</f>
        <v>0</v>
      </c>
      <c r="HQ50" s="6" cm="1">
        <f t="array" ref="HQ50">IF(HQ45=1,SUM(-$E$4:HQ4)*$C$50*Inputs!$E$3,0)</f>
        <v>0</v>
      </c>
      <c r="HR50" s="6" cm="1">
        <f t="array" ref="HR50">IF(HR45=1,SUM(-$E$4:HR4)*$C$50*Inputs!$E$3,0)</f>
        <v>0</v>
      </c>
      <c r="HS50" s="6" cm="1">
        <f t="array" ref="HS50">IF(HS45=1,SUM(-$E$4:HS4)*$C$50*Inputs!$E$3,0)</f>
        <v>0</v>
      </c>
      <c r="HT50" s="6" cm="1">
        <f t="array" ref="HT50">IF(HT45=1,SUM(-$E$4:HT4)*$C$50*Inputs!$E$3,0)</f>
        <v>0</v>
      </c>
      <c r="HU50" s="6" cm="1">
        <f t="array" ref="HU50">IF(HU45=1,SUM(-$E$4:HU4)*$C$50*Inputs!$E$3,0)</f>
        <v>0</v>
      </c>
      <c r="HV50" s="6" cm="1">
        <f t="array" ref="HV50">IF(HV45=1,SUM(-$E$4:HV4)*$C$50*Inputs!$E$3,0)</f>
        <v>0</v>
      </c>
      <c r="HW50" s="6" cm="1">
        <f t="array" ref="HW50">IF(HW45=1,SUM(-$E$4:HW4)*$C$50*Inputs!$E$3,0)</f>
        <v>0</v>
      </c>
      <c r="HX50" s="6" cm="1">
        <f t="array" ref="HX50">IF(HX45=1,SUM(-$E$4:HX4)*$C$50*Inputs!$E$3,0)</f>
        <v>0</v>
      </c>
      <c r="HY50" s="6" cm="1">
        <f t="array" ref="HY50">IF(HY45=1,SUM(-$E$4:HY4)*$C$50*Inputs!$E$3,0)</f>
        <v>0</v>
      </c>
      <c r="HZ50" s="6" cm="1">
        <f t="array" ref="HZ50">IF(HZ45=1,SUM(-$E$4:HZ4)*$C$50*Inputs!$E$3,0)</f>
        <v>0</v>
      </c>
      <c r="IA50" s="6" cm="1">
        <f t="array" ref="IA50">IF(IA45=1,SUM(-$E$4:IA4)*$C$50*Inputs!$E$3,0)</f>
        <v>0</v>
      </c>
      <c r="IB50" s="6" cm="1">
        <f t="array" ref="IB50">IF(IB45=1,SUM(-$E$4:IB4)*$C$50*Inputs!$E$3,0)</f>
        <v>0</v>
      </c>
      <c r="IC50" s="6" cm="1">
        <f t="array" ref="IC50">IF(IC45=1,SUM(-$E$4:IC4)*$C$50*Inputs!$E$3,0)</f>
        <v>0</v>
      </c>
      <c r="ID50" s="6" cm="1">
        <f t="array" ref="ID50">IF(ID45=1,SUM(-$E$4:ID4)*$C$50*Inputs!$E$3,0)</f>
        <v>0</v>
      </c>
      <c r="IE50" s="6" cm="1">
        <f t="array" ref="IE50">IF(IE45=1,SUM(-$E$4:IE4)*$C$50*Inputs!$E$3,0)</f>
        <v>0</v>
      </c>
      <c r="IF50" s="6" cm="1">
        <f t="array" ref="IF50">IF(IF45=1,SUM(-$E$4:IF4)*$C$50*Inputs!$E$3,0)</f>
        <v>0</v>
      </c>
      <c r="IG50" s="6" cm="1">
        <f t="array" ref="IG50">IF(IG45=1,SUM(-$E$4:IG4)*$C$50*Inputs!$E$3,0)</f>
        <v>0</v>
      </c>
      <c r="IH50" s="6" cm="1">
        <f t="array" ref="IH50">IF(IH45=1,SUM(-$E$4:IH4)*$C$50*Inputs!$E$3,0)</f>
        <v>0</v>
      </c>
      <c r="II50" s="6" cm="1">
        <f t="array" ref="II50">IF(II45=1,SUM(-$E$4:II4)*$C$50*Inputs!$E$3,0)</f>
        <v>0</v>
      </c>
      <c r="IJ50" s="6" cm="1">
        <f t="array" ref="IJ50">IF(IJ45=1,SUM(-$E$4:IJ4)*$C$50*Inputs!$E$3,0)</f>
        <v>0</v>
      </c>
      <c r="IK50" s="6" cm="1">
        <f t="array" ref="IK50">IF(IK45=1,SUM(-$E$4:IK4)*$C$50*Inputs!$E$3,0)</f>
        <v>0</v>
      </c>
      <c r="IL50" s="6" cm="1">
        <f t="array" ref="IL50">IF(IL45=1,SUM(-$E$4:IL4)*$C$50*Inputs!$E$3,0)</f>
        <v>0</v>
      </c>
      <c r="IM50" s="6" cm="1">
        <f t="array" ref="IM50">IF(IM45=1,SUM(-$E$4:IM4)*$C$50*Inputs!$E$3,0)</f>
        <v>0</v>
      </c>
      <c r="IN50" s="6" cm="1">
        <f t="array" ref="IN50">IF(IN45=1,SUM(-$E$4:IN4)*$C$50*Inputs!$E$3,0)</f>
        <v>0</v>
      </c>
      <c r="IO50" s="6" cm="1">
        <f t="array" ref="IO50">IF(IO45=1,SUM(-$E$4:IO4)*$C$50*Inputs!$E$3,0)</f>
        <v>0</v>
      </c>
      <c r="IP50" s="6" cm="1">
        <f t="array" ref="IP50">IF(IP45=1,SUM(-$E$4:IP4)*$C$50*Inputs!$E$3,0)</f>
        <v>0</v>
      </c>
      <c r="IQ50" s="6" cm="1">
        <f t="array" ref="IQ50">IF(IQ45=1,SUM(-$E$4:IQ4)*$C$50*Inputs!$E$3,0)</f>
        <v>0</v>
      </c>
      <c r="IR50" s="6" cm="1">
        <f t="array" ref="IR50">IF(IR45=1,SUM(-$E$4:IR4)*$C$50*Inputs!$E$3,0)</f>
        <v>0</v>
      </c>
      <c r="IS50" s="6" cm="1">
        <f t="array" ref="IS50">IF(IS45=1,SUM(-$E$4:IS4)*$C$50*Inputs!$E$3,0)</f>
        <v>0</v>
      </c>
      <c r="IT50" s="6" cm="1">
        <f t="array" ref="IT50">IF(IT45=1,SUM(-$E$4:IT4)*$C$50*Inputs!$E$3,0)</f>
        <v>0</v>
      </c>
      <c r="IU50" s="6" cm="1">
        <f t="array" ref="IU50">IF(IU45=1,SUM(-$E$4:IU4)*$C$50*Inputs!$E$3,0)</f>
        <v>0</v>
      </c>
      <c r="IV50" s="6" cm="1">
        <f t="array" ref="IV50">IF(IV45=1,SUM(-$E$4:IV4)*$C$50*Inputs!$E$3,0)</f>
        <v>0</v>
      </c>
      <c r="IW50" s="6" cm="1">
        <f t="array" ref="IW50">IF(IW45=1,SUM(-$E$4:IW4)*$C$50*Inputs!$E$3,0)</f>
        <v>0</v>
      </c>
      <c r="IX50" s="6" cm="1">
        <f t="array" ref="IX50">IF(IX45=1,SUM(-$E$4:IX4)*$C$50*Inputs!$E$3,0)</f>
        <v>0</v>
      </c>
      <c r="IY50" s="6" cm="1">
        <f t="array" ref="IY50">IF(IY45=1,SUM(-$E$4:IY4)*$C$50*Inputs!$E$3,0)</f>
        <v>0</v>
      </c>
      <c r="IZ50" s="6" cm="1">
        <f t="array" ref="IZ50">IF(IZ45=1,SUM(-$E$4:IZ4)*$C$50*Inputs!$E$3,0)</f>
        <v>0</v>
      </c>
      <c r="JA50" s="6" cm="1">
        <f t="array" ref="JA50">IF(JA45=1,SUM(-$E$4:JA4)*$C$50*Inputs!$E$3,0)</f>
        <v>0</v>
      </c>
      <c r="JB50" s="6" cm="1">
        <f t="array" ref="JB50">IF(JB45=1,SUM(-$E$4:JB4)*$C$50*Inputs!$E$3,0)</f>
        <v>0</v>
      </c>
      <c r="JC50" s="6" cm="1">
        <f t="array" ref="JC50">IF(JC45=1,SUM(-$E$4:JC4)*$C$50*Inputs!$E$3,0)</f>
        <v>0</v>
      </c>
      <c r="JD50" s="6" cm="1">
        <f t="array" ref="JD50">IF(JD45=1,SUM(-$E$4:JD4)*$C$50*Inputs!$E$3,0)</f>
        <v>0</v>
      </c>
      <c r="JE50" s="6" cm="1">
        <f t="array" ref="JE50">IF(JE45=1,SUM(-$E$4:JE4)*$C$50*Inputs!$E$3,0)</f>
        <v>0</v>
      </c>
      <c r="JF50" s="6" cm="1">
        <f t="array" ref="JF50">IF(JF45=1,SUM(-$E$4:JF4)*$C$50*Inputs!$E$3,0)</f>
        <v>0</v>
      </c>
      <c r="JG50" s="6" cm="1">
        <f t="array" ref="JG50">IF(JG45=1,SUM(-$E$4:JG4)*$C$50*Inputs!$E$3,0)</f>
        <v>0</v>
      </c>
      <c r="JH50" s="6" cm="1">
        <f t="array" ref="JH50">IF(JH45=1,SUM(-$E$4:JH4)*$C$50*Inputs!$E$3,0)</f>
        <v>0</v>
      </c>
      <c r="JI50" s="6" cm="1">
        <f t="array" ref="JI50">IF(JI45=1,SUM(-$E$4:JI4)*$C$50*Inputs!$E$3,0)</f>
        <v>0</v>
      </c>
      <c r="JJ50" s="6" cm="1">
        <f t="array" ref="JJ50">IF(JJ45=1,SUM(-$E$4:JJ4)*$C$50*Inputs!$E$3,0)</f>
        <v>0</v>
      </c>
      <c r="JK50" s="6" cm="1">
        <f t="array" ref="JK50">IF(JK45=1,SUM(-$E$4:JK4)*$C$50*Inputs!$E$3,0)</f>
        <v>0</v>
      </c>
      <c r="JL50" s="6" cm="1">
        <f t="array" ref="JL50">IF(JL45=1,SUM(-$E$4:JL4)*$C$50*Inputs!$E$3,0)</f>
        <v>0</v>
      </c>
      <c r="JM50" s="6" cm="1">
        <f t="array" ref="JM50">IF(JM45=1,SUM(-$E$4:JM4)*$C$50*Inputs!$E$3,0)</f>
        <v>0</v>
      </c>
      <c r="JN50" s="6" cm="1">
        <f t="array" ref="JN50">IF(JN45=1,SUM(-$E$4:JN4)*$C$50*Inputs!$E$3,0)</f>
        <v>0</v>
      </c>
      <c r="JO50" s="6" cm="1">
        <f t="array" ref="JO50">IF(JO45=1,SUM(-$E$4:JO4)*$C$50*Inputs!$E$3,0)</f>
        <v>0</v>
      </c>
      <c r="JP50" s="6" cm="1">
        <f t="array" ref="JP50">IF(JP45=1,SUM(-$E$4:JP4)*$C$50*Inputs!$E$3,0)</f>
        <v>0</v>
      </c>
      <c r="JQ50" s="6" cm="1">
        <f t="array" ref="JQ50">IF(JQ45=1,SUM(-$E$4:JQ4)*$C$50*Inputs!$E$3,0)</f>
        <v>0</v>
      </c>
      <c r="JR50" s="6" cm="1">
        <f t="array" ref="JR50">IF(JR45=1,SUM(-$E$4:JR4)*$C$50*Inputs!$E$3,0)</f>
        <v>0</v>
      </c>
      <c r="JS50" s="6" cm="1">
        <f t="array" ref="JS50">IF(JS45=1,SUM(-$E$4:JS4)*$C$50*Inputs!$E$3,0)</f>
        <v>0</v>
      </c>
      <c r="JT50" s="6" cm="1">
        <f t="array" ref="JT50">IF(JT45=1,SUM(-$E$4:JT4)*$C$50*Inputs!$E$3,0)</f>
        <v>0</v>
      </c>
      <c r="JU50" s="6" cm="1">
        <f t="array" ref="JU50">IF(JU45=1,SUM(-$E$4:JU4)*$C$50*Inputs!$E$3,0)</f>
        <v>0</v>
      </c>
      <c r="JV50" s="6" cm="1">
        <f t="array" ref="JV50">IF(JV45=1,SUM(-$E$4:JV4)*$C$50*Inputs!$E$3,0)</f>
        <v>0</v>
      </c>
      <c r="JW50" s="6" cm="1">
        <f t="array" ref="JW50">IF(JW45=1,SUM(-$E$4:JW4)*$C$50*Inputs!$E$3,0)</f>
        <v>0</v>
      </c>
      <c r="JX50" s="6" cm="1">
        <f t="array" ref="JX50">IF(JX45=1,SUM(-$E$4:JX4)*$C$50*Inputs!$E$3,0)</f>
        <v>0</v>
      </c>
      <c r="JY50" s="6" cm="1">
        <f t="array" ref="JY50">IF(JY45=1,SUM(-$E$4:JY4)*$C$50*Inputs!$E$3,0)</f>
        <v>0</v>
      </c>
      <c r="JZ50" s="6" cm="1">
        <f t="array" ref="JZ50">IF(JZ45=1,SUM(-$E$4:JZ4)*$C$50*Inputs!$E$3,0)</f>
        <v>0</v>
      </c>
      <c r="KA50" s="6" cm="1">
        <f t="array" ref="KA50">IF(KA45=1,SUM(-$E$4:KA4)*$C$50*Inputs!$E$3,0)</f>
        <v>0</v>
      </c>
      <c r="KB50" s="6" cm="1">
        <f t="array" ref="KB50">IF(KB45=1,SUM(-$E$4:KB4)*$C$50*Inputs!$E$3,0)</f>
        <v>0</v>
      </c>
      <c r="KC50" s="6" cm="1">
        <f t="array" ref="KC50">IF(KC45=1,SUM(-$E$4:KC4)*$C$50*Inputs!$E$3,0)</f>
        <v>0</v>
      </c>
      <c r="KD50" s="6" cm="1">
        <f t="array" ref="KD50">IF(KD45=1,SUM(-$E$4:KD4)*$C$50*Inputs!$E$3,0)</f>
        <v>0</v>
      </c>
      <c r="KE50" s="6" cm="1">
        <f t="array" ref="KE50">IF(KE45=1,SUM(-$E$4:KE4)*$C$50*Inputs!$E$3,0)</f>
        <v>0</v>
      </c>
      <c r="KF50" s="6" cm="1">
        <f t="array" ref="KF50">IF(KF45=1,SUM(-$E$4:KF4)*$C$50*Inputs!$E$3,0)</f>
        <v>0</v>
      </c>
      <c r="KG50" s="6" cm="1">
        <f t="array" ref="KG50">IF(KG45=1,SUM(-$E$4:KG4)*$C$50*Inputs!$E$3,0)</f>
        <v>0</v>
      </c>
      <c r="KH50" s="6" cm="1">
        <f t="array" ref="KH50">IF(KH45=1,SUM(-$E$4:KH4)*$C$50*Inputs!$E$3,0)</f>
        <v>0</v>
      </c>
      <c r="KI50" s="6" cm="1">
        <f t="array" ref="KI50">IF(KI45=1,SUM(-$E$4:KI4)*$C$50*Inputs!$E$3,0)</f>
        <v>0</v>
      </c>
      <c r="KJ50" s="6" cm="1">
        <f t="array" ref="KJ50">IF(KJ45=1,SUM(-$E$4:KJ4)*$C$50*Inputs!$E$3,0)</f>
        <v>0</v>
      </c>
      <c r="KK50" s="6" cm="1">
        <f t="array" ref="KK50">IF(KK45=1,SUM(-$E$4:KK4)*$C$50*Inputs!$E$3,0)</f>
        <v>0</v>
      </c>
      <c r="KL50" s="6" cm="1">
        <f t="array" ref="KL50">IF(KL45=1,SUM(-$E$4:KL4)*$C$50*Inputs!$E$3,0)</f>
        <v>0</v>
      </c>
      <c r="KM50" s="6" cm="1">
        <f t="array" ref="KM50">IF(KM45=1,SUM(-$E$4:KM4)*$C$50*Inputs!$E$3,0)</f>
        <v>0</v>
      </c>
      <c r="KN50" s="6" cm="1">
        <f t="array" ref="KN50">IF(KN45=1,SUM(-$E$4:KN4)*$C$50*Inputs!$E$3,0)</f>
        <v>0</v>
      </c>
      <c r="KO50" s="6" cm="1">
        <f t="array" ref="KO50">IF(KO45=1,SUM(-$E$4:KO4)*$C$50*Inputs!$E$3,0)</f>
        <v>0</v>
      </c>
      <c r="KP50" s="6" cm="1">
        <f t="array" ref="KP50">IF(KP45=1,SUM(-$E$4:KP4)*$C$50*Inputs!$E$3,0)</f>
        <v>0</v>
      </c>
      <c r="KQ50" s="6" cm="1">
        <f t="array" ref="KQ50">IF(KQ45=1,SUM(-$E$4:KQ4)*$C$50*Inputs!$E$3,0)</f>
        <v>0</v>
      </c>
      <c r="KR50" s="6" cm="1">
        <f t="array" ref="KR50">IF(KR45=1,SUM(-$E$4:KR4)*$C$50*Inputs!$E$3,0)</f>
        <v>0</v>
      </c>
      <c r="KS50" s="6" cm="1">
        <f t="array" ref="KS50">IF(KS45=1,SUM(-$E$4:KS4)*$C$50*Inputs!$E$3,0)</f>
        <v>0</v>
      </c>
    </row>
    <row r="51" spans="2:305">
      <c r="B51" t="s">
        <v>38</v>
      </c>
      <c r="E51" s="6">
        <f>-MIN(E49+E50,E5)</f>
        <v>0</v>
      </c>
      <c r="F51" s="6">
        <f>-MIN(F49+F50,F5)</f>
        <v>0</v>
      </c>
      <c r="G51" s="6">
        <f>-MIN(G49+G50,G5)</f>
        <v>0</v>
      </c>
      <c r="H51" s="6">
        <f>-MIN(H49+H50,H5)</f>
        <v>0</v>
      </c>
      <c r="I51" s="6">
        <f>-MIN(I49+I50,I5)</f>
        <v>0</v>
      </c>
      <c r="J51" s="6">
        <f>-MIN(J49+J50,J5)</f>
        <v>0</v>
      </c>
      <c r="K51" s="6">
        <f>-MIN(K49+K50,K5)</f>
        <v>0</v>
      </c>
      <c r="L51" s="6">
        <f>-MIN(L49+L50,L5)</f>
        <v>0</v>
      </c>
      <c r="M51" s="6">
        <f>-MIN(M49+M50,M5)</f>
        <v>0</v>
      </c>
      <c r="N51" s="6">
        <f>-MIN(N49+N50,N5)</f>
        <v>0</v>
      </c>
      <c r="O51" s="6">
        <f>-MIN(O49+O50,O5)</f>
        <v>0</v>
      </c>
      <c r="P51" s="6">
        <f>-MIN(P49+P50,P5)</f>
        <v>0</v>
      </c>
      <c r="Q51" s="6">
        <f>-MIN(Q49+Q50,Q5)</f>
        <v>0</v>
      </c>
      <c r="R51" s="6">
        <f>-MIN(R49+R50,R5)</f>
        <v>0</v>
      </c>
      <c r="S51" s="6">
        <f>-MIN(S49+S50,S5)</f>
        <v>0</v>
      </c>
      <c r="T51" s="6">
        <f>-MIN(T49+T50,T5)</f>
        <v>0</v>
      </c>
      <c r="U51" s="6">
        <f>-MIN(U49+U50,U5)</f>
        <v>0</v>
      </c>
      <c r="V51" s="6">
        <f>-MIN(V49+V50,V5)</f>
        <v>0</v>
      </c>
      <c r="W51" s="6">
        <f>-MIN(W49+W50,W5)</f>
        <v>0</v>
      </c>
      <c r="X51" s="6">
        <f>-MIN(X49+X50,X5)</f>
        <v>0</v>
      </c>
      <c r="Y51" s="6">
        <f>-MIN(Y49+Y50,Y5)</f>
        <v>0</v>
      </c>
      <c r="Z51" s="6">
        <f>-MIN(Z49+Z50,Z5)</f>
        <v>0</v>
      </c>
      <c r="AA51" s="6">
        <f>-MIN(AA49+AA50,AA5)</f>
        <v>0</v>
      </c>
      <c r="AB51" s="6">
        <f>-MIN(AB49+AB50,AB5)</f>
        <v>0</v>
      </c>
      <c r="AC51" s="6">
        <f>-MIN(AC49+AC50,AC5)</f>
        <v>0</v>
      </c>
      <c r="AD51" s="6">
        <f>-MIN(AD49+AD50,AD5)</f>
        <v>0</v>
      </c>
      <c r="AE51" s="6">
        <f>-MIN(AE49+AE50,AE5)</f>
        <v>0</v>
      </c>
      <c r="AF51" s="6">
        <f>-MIN(AF49+AF50,AF5)</f>
        <v>0</v>
      </c>
      <c r="AG51" s="6">
        <f>-MIN(AG49+AG50,AG5)</f>
        <v>0</v>
      </c>
      <c r="AH51" s="6">
        <f>-MIN(AH49+AH50,AH5)</f>
        <v>0</v>
      </c>
      <c r="AI51" s="6">
        <f>-MIN(AI49+AI50,AI5)</f>
        <v>0</v>
      </c>
      <c r="AJ51" s="6">
        <f>-MIN(AJ49+AJ50,AJ5)</f>
        <v>0</v>
      </c>
      <c r="AK51" s="6">
        <f>-MIN(AK49+AK50,AK5)</f>
        <v>0</v>
      </c>
      <c r="AL51" s="6">
        <f>-MIN(AL49+AL50,AL5)</f>
        <v>0</v>
      </c>
      <c r="AM51" s="6">
        <f>-MIN(AM49+AM50,AM5)</f>
        <v>0</v>
      </c>
      <c r="AN51" s="6">
        <f>-MIN(AN49+AN50,AN5)</f>
        <v>0</v>
      </c>
      <c r="AO51" s="6">
        <f>-MIN(AO49+AO50,AO5)</f>
        <v>0</v>
      </c>
      <c r="AP51" s="6">
        <f>-MIN(AP49+AP50,AP5)</f>
        <v>0</v>
      </c>
      <c r="AQ51" s="6">
        <f>-MIN(AQ49+AQ50,AQ5)</f>
        <v>0</v>
      </c>
      <c r="AR51" s="6">
        <f>-MIN(AR49+AR50,AR5)</f>
        <v>0</v>
      </c>
      <c r="AS51" s="6">
        <f>-MIN(AS49+AS50,AS5)</f>
        <v>0</v>
      </c>
      <c r="AT51" s="6">
        <f>-MIN(AT49+AT50,AT5)</f>
        <v>0</v>
      </c>
      <c r="AU51" s="6">
        <f>-MIN(AU49+AU50,AU5)</f>
        <v>0</v>
      </c>
      <c r="AV51" s="6">
        <f>-MIN(AV49+AV50,AV5)</f>
        <v>0</v>
      </c>
      <c r="AW51" s="6">
        <f>-MIN(AW49+AW50,AW5)</f>
        <v>0</v>
      </c>
      <c r="AX51" s="6">
        <f>-MIN(AX49+AX50,AX5)</f>
        <v>0</v>
      </c>
      <c r="AY51" s="6">
        <f>-MIN(AY49+AY50,AY5)</f>
        <v>0</v>
      </c>
      <c r="AZ51" s="6">
        <f>-MIN(AZ49+AZ50,AZ5)</f>
        <v>0</v>
      </c>
      <c r="BA51" s="6">
        <f>-MIN(BA49+BA50,BA5)</f>
        <v>0</v>
      </c>
      <c r="BB51" s="6">
        <f>-MIN(BB49+BB50,BB5)</f>
        <v>0</v>
      </c>
      <c r="BC51" s="6">
        <f>-MIN(BC49+BC50,BC5)</f>
        <v>0</v>
      </c>
      <c r="BD51" s="6">
        <f>-MIN(BD49+BD50,BD5)</f>
        <v>0</v>
      </c>
      <c r="BE51" s="6">
        <f>-MIN(BE49+BE50,BE5)</f>
        <v>0</v>
      </c>
      <c r="BF51" s="6">
        <f>-MIN(BF49+BF50,BF5)</f>
        <v>0</v>
      </c>
      <c r="BG51" s="6">
        <f>-MIN(BG49+BG50,BG5)</f>
        <v>0</v>
      </c>
      <c r="BH51" s="6">
        <f>-MIN(BH49+BH50,BH5)</f>
        <v>0</v>
      </c>
      <c r="BI51" s="6">
        <f>-MIN(BI49+BI50,BI5)</f>
        <v>0</v>
      </c>
      <c r="BJ51" s="6">
        <f>-MIN(BJ49+BJ50,BJ5)</f>
        <v>0</v>
      </c>
      <c r="BK51" s="6">
        <f>-MIN(BK49+BK50,BK5)</f>
        <v>0</v>
      </c>
      <c r="BL51" s="6">
        <f>-MIN(BL49+BL50,BL5)</f>
        <v>0</v>
      </c>
      <c r="BM51" s="6">
        <f>-MIN(BM49+BM50,BM5)</f>
        <v>0</v>
      </c>
      <c r="BN51" s="6">
        <f>-MIN(BN49+BN50,BN5)</f>
        <v>0</v>
      </c>
      <c r="BO51" s="6">
        <f>-MIN(BO49+BO50,BO5)</f>
        <v>0</v>
      </c>
      <c r="BP51" s="6">
        <f>-MIN(BP49+BP50,BP5)</f>
        <v>0</v>
      </c>
      <c r="BQ51" s="6">
        <f>-MIN(BQ49+BQ50,BQ5)</f>
        <v>0</v>
      </c>
      <c r="BR51" s="6">
        <f>-MIN(BR49+BR50,BR5)</f>
        <v>0</v>
      </c>
      <c r="BS51" s="6">
        <f>-MIN(BS49+BS50,BS5)</f>
        <v>0</v>
      </c>
      <c r="BT51" s="6">
        <f>-MIN(BT49+BT50,BT5)</f>
        <v>0</v>
      </c>
      <c r="BU51" s="6">
        <f>-MIN(BU49+BU50,BU5)</f>
        <v>0</v>
      </c>
      <c r="BV51" s="6">
        <f>-MIN(BV49+BV50,BV5)</f>
        <v>0</v>
      </c>
      <c r="BW51" s="6">
        <f>-MIN(BW49+BW50,BW5)</f>
        <v>0</v>
      </c>
      <c r="BX51" s="6">
        <f>-MIN(BX49+BX50,BX5)</f>
        <v>0</v>
      </c>
      <c r="BY51" s="6">
        <f>-MIN(BY49+BY50,BY5)</f>
        <v>0</v>
      </c>
      <c r="BZ51" s="6">
        <f>-MIN(BZ49+BZ50,BZ5)</f>
        <v>0</v>
      </c>
      <c r="CA51" s="6">
        <f>-MIN(CA49+CA50,CA5)</f>
        <v>0</v>
      </c>
      <c r="CB51" s="6">
        <f>-MIN(CB49+CB50,CB5)</f>
        <v>0</v>
      </c>
      <c r="CC51" s="6">
        <f>-MIN(CC49+CC50,CC5)</f>
        <v>0</v>
      </c>
      <c r="CD51" s="6">
        <f>-MIN(CD49+CD50,CD5)</f>
        <v>0</v>
      </c>
      <c r="CE51" s="6">
        <f>-MIN(CE49+CE50,CE5)</f>
        <v>0</v>
      </c>
      <c r="CF51" s="6">
        <f>-MIN(CF49+CF50,CF5)</f>
        <v>0</v>
      </c>
      <c r="CG51" s="6">
        <f>-MIN(CG49+CG50,CG5)</f>
        <v>0</v>
      </c>
      <c r="CH51" s="6">
        <f>-MIN(CH49+CH50,CH5)</f>
        <v>0</v>
      </c>
      <c r="CI51" s="6">
        <f>-MIN(CI49+CI50,CI5)</f>
        <v>0</v>
      </c>
      <c r="CJ51" s="6">
        <f>-MIN(CJ49+CJ50,CJ5)</f>
        <v>0</v>
      </c>
      <c r="CK51" s="6">
        <f>-MIN(CK49+CK50,CK5)</f>
        <v>0</v>
      </c>
      <c r="CL51" s="6">
        <f>-MIN(CL49+CL50,CL5)</f>
        <v>0</v>
      </c>
      <c r="CM51" s="6">
        <f>-MIN(CM49+CM50,CM5)</f>
        <v>0</v>
      </c>
      <c r="CN51" s="6">
        <f>-MIN(CN49+CN50,CN5)</f>
        <v>0</v>
      </c>
      <c r="CO51" s="6">
        <f>-MIN(CO49+CO50,CO5)</f>
        <v>0</v>
      </c>
      <c r="CP51" s="6">
        <f>-MIN(CP49+CP50,CP5)</f>
        <v>0</v>
      </c>
      <c r="CQ51" s="6">
        <f>-MIN(CQ49+CQ50,CQ5)</f>
        <v>0</v>
      </c>
      <c r="CR51" s="6">
        <f>-MIN(CR49+CR50,CR5)</f>
        <v>0</v>
      </c>
      <c r="CS51" s="6">
        <f>-MIN(CS49+CS50,CS5)</f>
        <v>0</v>
      </c>
      <c r="CT51" s="6">
        <f>-MIN(CT49+CT50,CT5)</f>
        <v>0</v>
      </c>
      <c r="CU51" s="6">
        <f>-MIN(CU49+CU50,CU5)</f>
        <v>0</v>
      </c>
      <c r="CV51" s="6">
        <f>-MIN(CV49+CV50,CV5)</f>
        <v>0</v>
      </c>
      <c r="CW51" s="6">
        <f>-MIN(CW49+CW50,CW5)</f>
        <v>0</v>
      </c>
      <c r="CX51" s="6">
        <f>-MIN(CX49+CX50,CX5)</f>
        <v>0</v>
      </c>
      <c r="CY51" s="6">
        <f>-MIN(CY49+CY50,CY5)</f>
        <v>0</v>
      </c>
      <c r="CZ51" s="6">
        <f>-MIN(CZ49+CZ50,CZ5)</f>
        <v>0</v>
      </c>
      <c r="DA51" s="6">
        <f>-MIN(DA49+DA50,DA5)</f>
        <v>0</v>
      </c>
      <c r="DB51" s="6">
        <f>-MIN(DB49+DB50,DB5)</f>
        <v>0</v>
      </c>
      <c r="DC51" s="6">
        <f>-MIN(DC49+DC50,DC5)</f>
        <v>0</v>
      </c>
      <c r="DD51" s="6">
        <f>-MIN(DD49+DD50,DD5)</f>
        <v>0</v>
      </c>
      <c r="DE51" s="6">
        <f>-MIN(DE49+DE50,DE5)</f>
        <v>0</v>
      </c>
      <c r="DF51" s="6">
        <f>-MIN(DF49+DF50,DF5)</f>
        <v>0</v>
      </c>
      <c r="DG51" s="6">
        <f>-MIN(DG49+DG50,DG5)</f>
        <v>0</v>
      </c>
      <c r="DH51" s="6">
        <f>-MIN(DH49+DH50,DH5)</f>
        <v>0</v>
      </c>
      <c r="DI51" s="6">
        <f>-MIN(DI49+DI50,DI5)</f>
        <v>0</v>
      </c>
      <c r="DJ51" s="6">
        <f>-MIN(DJ49+DJ50,DJ5)</f>
        <v>0</v>
      </c>
      <c r="DK51" s="6">
        <f>-MIN(DK49+DK50,DK5)</f>
        <v>0</v>
      </c>
      <c r="DL51" s="6">
        <f>-MIN(DL49+DL50,DL5)</f>
        <v>0</v>
      </c>
      <c r="DM51" s="6">
        <f>-MIN(DM49+DM50,DM5)</f>
        <v>0</v>
      </c>
      <c r="DN51" s="6">
        <f>-MIN(DN49+DN50,DN5)</f>
        <v>0</v>
      </c>
      <c r="DO51" s="6">
        <f>-MIN(DO49+DO50,DO5)</f>
        <v>0</v>
      </c>
      <c r="DP51" s="6">
        <f>-MIN(DP49+DP50,DP5)</f>
        <v>0</v>
      </c>
      <c r="DQ51" s="6">
        <f>-MIN(DQ49+DQ50,DQ5)</f>
        <v>0</v>
      </c>
      <c r="DR51" s="6">
        <f>-MIN(DR49+DR50,DR5)</f>
        <v>0</v>
      </c>
      <c r="DS51" s="6">
        <f>-MIN(DS49+DS50,DS5)</f>
        <v>0</v>
      </c>
      <c r="DT51" s="6">
        <f>-MIN(DT49+DT50,DT5)</f>
        <v>0</v>
      </c>
      <c r="DU51" s="6">
        <f>-MIN(DU49+DU50,DU5)</f>
        <v>0</v>
      </c>
      <c r="DV51" s="6">
        <f>-MIN(DV49+DV50,DV5)</f>
        <v>0</v>
      </c>
      <c r="DW51" s="6">
        <f>-MIN(DW49+DW50,DW5)</f>
        <v>0</v>
      </c>
      <c r="DX51" s="6">
        <f>-MIN(DX49+DX50,DX5)</f>
        <v>0</v>
      </c>
      <c r="DY51" s="6">
        <f>-MIN(DY49+DY50,DY5)</f>
        <v>0</v>
      </c>
      <c r="DZ51" s="6">
        <f>-MIN(DZ49+DZ50,DZ5)</f>
        <v>0</v>
      </c>
      <c r="EA51" s="6">
        <f>-MIN(EA49+EA50,EA5)</f>
        <v>0</v>
      </c>
      <c r="EB51" s="6">
        <f>-MIN(EB49+EB50,EB5)</f>
        <v>0</v>
      </c>
      <c r="EC51" s="6">
        <f>-MIN(EC49+EC50,EC5)</f>
        <v>0</v>
      </c>
      <c r="ED51" s="6">
        <f>-MIN(ED49+ED50,ED5)</f>
        <v>0</v>
      </c>
      <c r="EE51" s="6">
        <f>-MIN(EE49+EE50,EE5)</f>
        <v>0</v>
      </c>
      <c r="EF51" s="6">
        <f>-MIN(EF49+EF50,EF5)</f>
        <v>0</v>
      </c>
      <c r="EG51" s="6">
        <f>-MIN(EG49+EG50,EG5)</f>
        <v>0</v>
      </c>
      <c r="EH51" s="6">
        <f>-MIN(EH49+EH50,EH5)</f>
        <v>0</v>
      </c>
      <c r="EI51" s="6">
        <f>-MIN(EI49+EI50,EI5)</f>
        <v>0</v>
      </c>
      <c r="EJ51" s="6">
        <f>-MIN(EJ49+EJ50,EJ5)</f>
        <v>0</v>
      </c>
      <c r="EK51" s="6">
        <f>-MIN(EK49+EK50,EK5)</f>
        <v>0</v>
      </c>
      <c r="EL51" s="6">
        <f>-MIN(EL49+EL50,EL5)</f>
        <v>0</v>
      </c>
      <c r="EM51" s="6">
        <f>-MIN(EM49+EM50,EM5)</f>
        <v>0</v>
      </c>
      <c r="EN51" s="6">
        <f>-MIN(EN49+EN50,EN5)</f>
        <v>0</v>
      </c>
      <c r="EO51" s="6">
        <f>-MIN(EO49+EO50,EO5)</f>
        <v>0</v>
      </c>
      <c r="EP51" s="6">
        <f>-MIN(EP49+EP50,EP5)</f>
        <v>0</v>
      </c>
      <c r="EQ51" s="6">
        <f>-MIN(EQ49+EQ50,EQ5)</f>
        <v>0</v>
      </c>
      <c r="ER51" s="6">
        <f>-MIN(ER49+ER50,ER5)</f>
        <v>0</v>
      </c>
      <c r="ES51" s="6">
        <f>-MIN(ES49+ES50,ES5)</f>
        <v>0</v>
      </c>
      <c r="ET51" s="6">
        <f>-MIN(ET49+ET50,ET5)</f>
        <v>0</v>
      </c>
      <c r="EU51" s="6">
        <f>-MIN(EU49+EU50,EU5)</f>
        <v>0</v>
      </c>
      <c r="EV51" s="6">
        <f>-MIN(EV49+EV50,EV5)</f>
        <v>0</v>
      </c>
      <c r="EW51" s="6">
        <f>-MIN(EW49+EW50,EW5)</f>
        <v>0</v>
      </c>
      <c r="EX51" s="6">
        <f>-MIN(EX49+EX50,EX5)</f>
        <v>0</v>
      </c>
      <c r="EY51" s="6">
        <f>-MIN(EY49+EY50,EY5)</f>
        <v>0</v>
      </c>
      <c r="EZ51" s="6">
        <f>-MIN(EZ49+EZ50,EZ5)</f>
        <v>0</v>
      </c>
      <c r="FA51" s="6">
        <f>-MIN(FA49+FA50,FA5)</f>
        <v>0</v>
      </c>
      <c r="FB51" s="6">
        <f>-MIN(FB49+FB50,FB5)</f>
        <v>0</v>
      </c>
      <c r="FC51" s="6">
        <f>-MIN(FC49+FC50,FC5)</f>
        <v>0</v>
      </c>
      <c r="FD51" s="6">
        <f>-MIN(FD49+FD50,FD5)</f>
        <v>0</v>
      </c>
      <c r="FE51" s="6">
        <f>-MIN(FE49+FE50,FE5)</f>
        <v>0</v>
      </c>
      <c r="FF51" s="6">
        <f>-MIN(FF49+FF50,FF5)</f>
        <v>0</v>
      </c>
      <c r="FG51" s="6">
        <f>-MIN(FG49+FG50,FG5)</f>
        <v>0</v>
      </c>
      <c r="FH51" s="6">
        <f>-MIN(FH49+FH50,FH5)</f>
        <v>0</v>
      </c>
      <c r="FI51" s="6">
        <f>-MIN(FI49+FI50,FI5)</f>
        <v>0</v>
      </c>
      <c r="FJ51" s="6">
        <f>-MIN(FJ49+FJ50,FJ5)</f>
        <v>0</v>
      </c>
      <c r="FK51" s="6">
        <f>-MIN(FK49+FK50,FK5)</f>
        <v>0</v>
      </c>
      <c r="FL51" s="6">
        <f>-MIN(FL49+FL50,FL5)</f>
        <v>0</v>
      </c>
      <c r="FM51" s="6">
        <f>-MIN(FM49+FM50,FM5)</f>
        <v>0</v>
      </c>
      <c r="FN51" s="6">
        <f>-MIN(FN49+FN50,FN5)</f>
        <v>0</v>
      </c>
      <c r="FO51" s="6">
        <f>-MIN(FO49+FO50,FO5)</f>
        <v>0</v>
      </c>
      <c r="FP51" s="6">
        <f>-MIN(FP49+FP50,FP5)</f>
        <v>0</v>
      </c>
      <c r="FQ51" s="6">
        <f>-MIN(FQ49+FQ50,FQ5)</f>
        <v>0</v>
      </c>
      <c r="FR51" s="6">
        <f>-MIN(FR49+FR50,FR5)</f>
        <v>0</v>
      </c>
      <c r="FS51" s="6">
        <f>-MIN(FS49+FS50,FS5)</f>
        <v>0</v>
      </c>
      <c r="FT51" s="6">
        <f>-MIN(FT49+FT50,FT5)</f>
        <v>0</v>
      </c>
      <c r="FU51" s="6">
        <f>-MIN(FU49+FU50,FU5)</f>
        <v>0</v>
      </c>
      <c r="FV51" s="6">
        <f>-MIN(FV49+FV50,FV5)</f>
        <v>0</v>
      </c>
      <c r="FW51" s="6">
        <f>-MIN(FW49+FW50,FW5)</f>
        <v>0</v>
      </c>
      <c r="FX51" s="6">
        <f>-MIN(FX49+FX50,FX5)</f>
        <v>0</v>
      </c>
      <c r="FY51" s="6">
        <f>-MIN(FY49+FY50,FY5)</f>
        <v>0</v>
      </c>
      <c r="FZ51" s="6">
        <f>-MIN(FZ49+FZ50,FZ5)</f>
        <v>0</v>
      </c>
      <c r="GA51" s="6">
        <f>-MIN(GA49+GA50,GA5)</f>
        <v>0</v>
      </c>
      <c r="GB51" s="6">
        <f>-MIN(GB49+GB50,GB5)</f>
        <v>0</v>
      </c>
      <c r="GC51" s="6">
        <f>-MIN(GC49+GC50,GC5)</f>
        <v>0</v>
      </c>
      <c r="GD51" s="6">
        <f>-MIN(GD49+GD50,GD5)</f>
        <v>0</v>
      </c>
      <c r="GE51" s="6">
        <f>-MIN(GE49+GE50,GE5)</f>
        <v>0</v>
      </c>
      <c r="GF51" s="6">
        <f>-MIN(GF49+GF50,GF5)</f>
        <v>0</v>
      </c>
      <c r="GG51" s="6">
        <f>-MIN(GG49+GG50,GG5)</f>
        <v>0</v>
      </c>
      <c r="GH51" s="6">
        <f>-MIN(GH49+GH50,GH5)</f>
        <v>0</v>
      </c>
      <c r="GI51" s="6">
        <f>-MIN(GI49+GI50,GI5)</f>
        <v>0</v>
      </c>
      <c r="GJ51" s="6">
        <f>-MIN(GJ49+GJ50,GJ5)</f>
        <v>0</v>
      </c>
      <c r="GK51" s="6">
        <f>-MIN(GK49+GK50,GK5)</f>
        <v>0</v>
      </c>
      <c r="GL51" s="6">
        <f>-MIN(GL49+GL50,GL5)</f>
        <v>0</v>
      </c>
      <c r="GM51" s="6">
        <f>-MIN(GM49+GM50,GM5)</f>
        <v>0</v>
      </c>
      <c r="GN51" s="6">
        <f>-MIN(GN49+GN50,GN5)</f>
        <v>0</v>
      </c>
      <c r="GO51" s="6">
        <f>-MIN(GO49+GO50,GO5)</f>
        <v>0</v>
      </c>
      <c r="GP51" s="6">
        <f>-MIN(GP49+GP50,GP5)</f>
        <v>0</v>
      </c>
      <c r="GQ51" s="6">
        <f>-MIN(GQ49+GQ50,GQ5)</f>
        <v>0</v>
      </c>
      <c r="GR51" s="6">
        <f>-MIN(GR49+GR50,GR5)</f>
        <v>0</v>
      </c>
      <c r="GS51" s="6">
        <f>-MIN(GS49+GS50,GS5)</f>
        <v>0</v>
      </c>
      <c r="GT51" s="6">
        <f>-MIN(GT49+GT50,GT5)</f>
        <v>0</v>
      </c>
      <c r="GU51" s="6">
        <f>-MIN(GU49+GU50,GU5)</f>
        <v>0</v>
      </c>
      <c r="GV51" s="6">
        <f>-MIN(GV49+GV50,GV5)</f>
        <v>0</v>
      </c>
      <c r="GW51" s="6">
        <f>-MIN(GW49+GW50,GW5)</f>
        <v>0</v>
      </c>
      <c r="GX51" s="6">
        <f>-MIN(GX49+GX50,GX5)</f>
        <v>0</v>
      </c>
      <c r="GY51" s="6">
        <f>-MIN(GY49+GY50,GY5)</f>
        <v>0</v>
      </c>
      <c r="GZ51" s="6">
        <f>-MIN(GZ49+GZ50,GZ5)</f>
        <v>0</v>
      </c>
      <c r="HA51" s="6">
        <f>-MIN(HA49+HA50,HA5)</f>
        <v>0</v>
      </c>
      <c r="HB51" s="6">
        <f>-MIN(HB49+HB50,HB5)</f>
        <v>0</v>
      </c>
      <c r="HC51" s="6">
        <f>-MIN(HC49+HC50,HC5)</f>
        <v>0</v>
      </c>
      <c r="HD51" s="6">
        <f>-MIN(HD49+HD50,HD5)</f>
        <v>0</v>
      </c>
      <c r="HE51" s="6">
        <f>-MIN(HE49+HE50,HE5)</f>
        <v>0</v>
      </c>
      <c r="HF51" s="6">
        <f>-MIN(HF49+HF50,HF5)</f>
        <v>0</v>
      </c>
      <c r="HG51" s="6">
        <f>-MIN(HG49+HG50,HG5)</f>
        <v>0</v>
      </c>
      <c r="HH51" s="6">
        <f>-MIN(HH49+HH50,HH5)</f>
        <v>0</v>
      </c>
      <c r="HI51" s="6">
        <f>-MIN(HI49+HI50,HI5)</f>
        <v>0</v>
      </c>
      <c r="HJ51" s="6">
        <f>-MIN(HJ49+HJ50,HJ5)</f>
        <v>0</v>
      </c>
      <c r="HK51" s="6">
        <f>-MIN(HK49+HK50,HK5)</f>
        <v>0</v>
      </c>
      <c r="HL51" s="6">
        <f>-MIN(HL49+HL50,HL5)</f>
        <v>0</v>
      </c>
      <c r="HM51" s="6">
        <f>-MIN(HM49+HM50,HM5)</f>
        <v>0</v>
      </c>
      <c r="HN51" s="6">
        <f>-MIN(HN49+HN50,HN5)</f>
        <v>0</v>
      </c>
      <c r="HO51" s="6">
        <f>-MIN(HO49+HO50,HO5)</f>
        <v>0</v>
      </c>
      <c r="HP51" s="6">
        <f>-MIN(HP49+HP50,HP5)</f>
        <v>0</v>
      </c>
      <c r="HQ51" s="6">
        <f>-MIN(HQ49+HQ50,HQ5)</f>
        <v>0</v>
      </c>
      <c r="HR51" s="6">
        <f>-MIN(HR49+HR50,HR5)</f>
        <v>0</v>
      </c>
      <c r="HS51" s="6">
        <f>-MIN(HS49+HS50,HS5)</f>
        <v>0</v>
      </c>
      <c r="HT51" s="6">
        <f>-MIN(HT49+HT50,HT5)</f>
        <v>0</v>
      </c>
      <c r="HU51" s="6">
        <f>-MIN(HU49+HU50,HU5)</f>
        <v>0</v>
      </c>
      <c r="HV51" s="6">
        <f>-MIN(HV49+HV50,HV5)</f>
        <v>0</v>
      </c>
      <c r="HW51" s="6">
        <f>-MIN(HW49+HW50,HW5)</f>
        <v>0</v>
      </c>
      <c r="HX51" s="6">
        <f>-MIN(HX49+HX50,HX5)</f>
        <v>0</v>
      </c>
      <c r="HY51" s="6">
        <f>-MIN(HY49+HY50,HY5)</f>
        <v>0</v>
      </c>
      <c r="HZ51" s="6">
        <f>-MIN(HZ49+HZ50,HZ5)</f>
        <v>0</v>
      </c>
      <c r="IA51" s="6">
        <f>-MIN(IA49+IA50,IA5)</f>
        <v>0</v>
      </c>
      <c r="IB51" s="6">
        <f>-MIN(IB49+IB50,IB5)</f>
        <v>0</v>
      </c>
      <c r="IC51" s="6">
        <f>-MIN(IC49+IC50,IC5)</f>
        <v>0</v>
      </c>
      <c r="ID51" s="6">
        <f>-MIN(ID49+ID50,ID5)</f>
        <v>0</v>
      </c>
      <c r="IE51" s="6">
        <f>-MIN(IE49+IE50,IE5)</f>
        <v>0</v>
      </c>
      <c r="IF51" s="6">
        <f>-MIN(IF49+IF50,IF5)</f>
        <v>0</v>
      </c>
      <c r="IG51" s="6">
        <f>-MIN(IG49+IG50,IG5)</f>
        <v>0</v>
      </c>
      <c r="IH51" s="6">
        <f>-MIN(IH49+IH50,IH5)</f>
        <v>0</v>
      </c>
      <c r="II51" s="6">
        <f>-MIN(II49+II50,II5)</f>
        <v>0</v>
      </c>
      <c r="IJ51" s="6">
        <f>-MIN(IJ49+IJ50,IJ5)</f>
        <v>0</v>
      </c>
      <c r="IK51" s="6">
        <f>-MIN(IK49+IK50,IK5)</f>
        <v>0</v>
      </c>
      <c r="IL51" s="6">
        <f>-MIN(IL49+IL50,IL5)</f>
        <v>0</v>
      </c>
      <c r="IM51" s="6">
        <f>-MIN(IM49+IM50,IM5)</f>
        <v>0</v>
      </c>
      <c r="IN51" s="6">
        <f>-MIN(IN49+IN50,IN5)</f>
        <v>0</v>
      </c>
      <c r="IO51" s="6">
        <f>-MIN(IO49+IO50,IO5)</f>
        <v>0</v>
      </c>
      <c r="IP51" s="6">
        <f>-MIN(IP49+IP50,IP5)</f>
        <v>0</v>
      </c>
      <c r="IQ51" s="6">
        <f>-MIN(IQ49+IQ50,IQ5)</f>
        <v>0</v>
      </c>
      <c r="IR51" s="6">
        <f>-MIN(IR49+IR50,IR5)</f>
        <v>0</v>
      </c>
      <c r="IS51" s="6">
        <f>-MIN(IS49+IS50,IS5)</f>
        <v>0</v>
      </c>
      <c r="IT51" s="6">
        <f>-MIN(IT49+IT50,IT5)</f>
        <v>0</v>
      </c>
      <c r="IU51" s="6">
        <f>-MIN(IU49+IU50,IU5)</f>
        <v>0</v>
      </c>
      <c r="IV51" s="6">
        <f>-MIN(IV49+IV50,IV5)</f>
        <v>0</v>
      </c>
      <c r="IW51" s="6">
        <f>-MIN(IW49+IW50,IW5)</f>
        <v>0</v>
      </c>
      <c r="IX51" s="6">
        <f>-MIN(IX49+IX50,IX5)</f>
        <v>0</v>
      </c>
      <c r="IY51" s="6">
        <f>-MIN(IY49+IY50,IY5)</f>
        <v>0</v>
      </c>
      <c r="IZ51" s="6">
        <f>-MIN(IZ49+IZ50,IZ5)</f>
        <v>0</v>
      </c>
      <c r="JA51" s="6">
        <f>-MIN(JA49+JA50,JA5)</f>
        <v>0</v>
      </c>
      <c r="JB51" s="6">
        <f>-MIN(JB49+JB50,JB5)</f>
        <v>0</v>
      </c>
      <c r="JC51" s="6">
        <f>-MIN(JC49+JC50,JC5)</f>
        <v>0</v>
      </c>
      <c r="JD51" s="6">
        <f>-MIN(JD49+JD50,JD5)</f>
        <v>0</v>
      </c>
      <c r="JE51" s="6">
        <f>-MIN(JE49+JE50,JE5)</f>
        <v>0</v>
      </c>
      <c r="JF51" s="6">
        <f>-MIN(JF49+JF50,JF5)</f>
        <v>0</v>
      </c>
      <c r="JG51" s="6">
        <f>-MIN(JG49+JG50,JG5)</f>
        <v>0</v>
      </c>
      <c r="JH51" s="6">
        <f>-MIN(JH49+JH50,JH5)</f>
        <v>0</v>
      </c>
      <c r="JI51" s="6">
        <f>-MIN(JI49+JI50,JI5)</f>
        <v>0</v>
      </c>
      <c r="JJ51" s="6">
        <f>-MIN(JJ49+JJ50,JJ5)</f>
        <v>0</v>
      </c>
      <c r="JK51" s="6">
        <f>-MIN(JK49+JK50,JK5)</f>
        <v>0</v>
      </c>
      <c r="JL51" s="6">
        <f>-MIN(JL49+JL50,JL5)</f>
        <v>0</v>
      </c>
      <c r="JM51" s="6">
        <f>-MIN(JM49+JM50,JM5)</f>
        <v>0</v>
      </c>
      <c r="JN51" s="6">
        <f>-MIN(JN49+JN50,JN5)</f>
        <v>0</v>
      </c>
      <c r="JO51" s="6">
        <f>-MIN(JO49+JO50,JO5)</f>
        <v>0</v>
      </c>
      <c r="JP51" s="6">
        <f>-MIN(JP49+JP50,JP5)</f>
        <v>0</v>
      </c>
      <c r="JQ51" s="6">
        <f>-MIN(JQ49+JQ50,JQ5)</f>
        <v>0</v>
      </c>
      <c r="JR51" s="6">
        <f>-MIN(JR49+JR50,JR5)</f>
        <v>0</v>
      </c>
      <c r="JS51" s="6">
        <f>-MIN(JS49+JS50,JS5)</f>
        <v>0</v>
      </c>
      <c r="JT51" s="6">
        <f>-MIN(JT49+JT50,JT5)</f>
        <v>0</v>
      </c>
      <c r="JU51" s="6">
        <f>-MIN(JU49+JU50,JU5)</f>
        <v>0</v>
      </c>
      <c r="JV51" s="6">
        <f>-MIN(JV49+JV50,JV5)</f>
        <v>0</v>
      </c>
      <c r="JW51" s="6">
        <f>-MIN(JW49+JW50,JW5)</f>
        <v>0</v>
      </c>
      <c r="JX51" s="6">
        <f>-MIN(JX49+JX50,JX5)</f>
        <v>0</v>
      </c>
      <c r="JY51" s="6">
        <f>-MIN(JY49+JY50,JY5)</f>
        <v>0</v>
      </c>
      <c r="JZ51" s="6">
        <f>-MIN(JZ49+JZ50,JZ5)</f>
        <v>0</v>
      </c>
      <c r="KA51" s="6">
        <f>-MIN(KA49+KA50,KA5)</f>
        <v>0</v>
      </c>
      <c r="KB51" s="6">
        <f>-MIN(KB49+KB50,KB5)</f>
        <v>0</v>
      </c>
      <c r="KC51" s="6">
        <f>-MIN(KC49+KC50,KC5)</f>
        <v>0</v>
      </c>
      <c r="KD51" s="6">
        <f>-MIN(KD49+KD50,KD5)</f>
        <v>0</v>
      </c>
      <c r="KE51" s="6">
        <f>-MIN(KE49+KE50,KE5)</f>
        <v>0</v>
      </c>
      <c r="KF51" s="6">
        <f>-MIN(KF49+KF50,KF5)</f>
        <v>0</v>
      </c>
      <c r="KG51" s="6">
        <f>-MIN(KG49+KG50,KG5)</f>
        <v>0</v>
      </c>
      <c r="KH51" s="6">
        <f>-MIN(KH49+KH50,KH5)</f>
        <v>0</v>
      </c>
      <c r="KI51" s="6">
        <f>-MIN(KI49+KI50,KI5)</f>
        <v>0</v>
      </c>
      <c r="KJ51" s="6">
        <f>-MIN(KJ49+KJ50,KJ5)</f>
        <v>0</v>
      </c>
      <c r="KK51" s="6">
        <f>-MIN(KK49+KK50,KK5)</f>
        <v>0</v>
      </c>
      <c r="KL51" s="6">
        <f>-MIN(KL49+KL50,KL5)</f>
        <v>0</v>
      </c>
      <c r="KM51" s="6">
        <f>-MIN(KM49+KM50,KM5)</f>
        <v>0</v>
      </c>
      <c r="KN51" s="6">
        <f>-MIN(KN49+KN50,KN5)</f>
        <v>0</v>
      </c>
      <c r="KO51" s="6">
        <f>-MIN(KO49+KO50,KO5)</f>
        <v>0</v>
      </c>
      <c r="KP51" s="6">
        <f>-MIN(KP49+KP50,KP5)</f>
        <v>0</v>
      </c>
      <c r="KQ51" s="6">
        <f>-MIN(KQ49+KQ50,KQ5)</f>
        <v>0</v>
      </c>
      <c r="KR51" s="6">
        <f>-MIN(KR49+KR50,KR5)</f>
        <v>0</v>
      </c>
      <c r="KS51" s="6">
        <f>-MIN(KS49+KS50,KS5)</f>
        <v>0</v>
      </c>
    </row>
    <row r="52" spans="2:305">
      <c r="B52" t="s">
        <v>39</v>
      </c>
      <c r="E52" s="36">
        <f>SUM(E49:E51)</f>
        <v>0</v>
      </c>
      <c r="F52" s="36">
        <f t="shared" ref="F52:BQ52" si="84">SUM(F49:F51)</f>
        <v>0</v>
      </c>
      <c r="G52" s="36">
        <f t="shared" si="84"/>
        <v>0</v>
      </c>
      <c r="H52" s="36">
        <f t="shared" si="84"/>
        <v>0</v>
      </c>
      <c r="I52" s="36">
        <f t="shared" si="84"/>
        <v>0</v>
      </c>
      <c r="J52" s="36">
        <f t="shared" si="84"/>
        <v>0</v>
      </c>
      <c r="K52" s="36">
        <f t="shared" si="84"/>
        <v>0</v>
      </c>
      <c r="L52" s="36">
        <f t="shared" si="84"/>
        <v>0</v>
      </c>
      <c r="M52" s="36">
        <f t="shared" si="84"/>
        <v>0</v>
      </c>
      <c r="N52" s="36">
        <f t="shared" si="84"/>
        <v>0</v>
      </c>
      <c r="O52" s="36">
        <f t="shared" si="84"/>
        <v>0</v>
      </c>
      <c r="P52" s="36">
        <f t="shared" si="84"/>
        <v>0</v>
      </c>
      <c r="Q52" s="36">
        <f t="shared" si="84"/>
        <v>0</v>
      </c>
      <c r="R52" s="36">
        <f t="shared" si="84"/>
        <v>0</v>
      </c>
      <c r="S52" s="36">
        <f t="shared" si="84"/>
        <v>0</v>
      </c>
      <c r="T52" s="36">
        <f t="shared" si="84"/>
        <v>0</v>
      </c>
      <c r="U52" s="36">
        <f t="shared" si="84"/>
        <v>0</v>
      </c>
      <c r="V52" s="36">
        <f t="shared" si="84"/>
        <v>0</v>
      </c>
      <c r="W52" s="36">
        <f t="shared" si="84"/>
        <v>0</v>
      </c>
      <c r="X52" s="36">
        <f t="shared" si="84"/>
        <v>0</v>
      </c>
      <c r="Y52" s="36">
        <f t="shared" si="84"/>
        <v>0</v>
      </c>
      <c r="Z52" s="36">
        <f t="shared" si="84"/>
        <v>0</v>
      </c>
      <c r="AA52" s="36">
        <f t="shared" si="84"/>
        <v>0</v>
      </c>
      <c r="AB52" s="36">
        <f t="shared" si="84"/>
        <v>0</v>
      </c>
      <c r="AC52" s="36">
        <f t="shared" si="84"/>
        <v>0</v>
      </c>
      <c r="AD52" s="36">
        <f t="shared" si="84"/>
        <v>0</v>
      </c>
      <c r="AE52" s="36">
        <f t="shared" si="84"/>
        <v>0</v>
      </c>
      <c r="AF52" s="36">
        <f t="shared" si="84"/>
        <v>0</v>
      </c>
      <c r="AG52" s="36">
        <f t="shared" si="84"/>
        <v>0</v>
      </c>
      <c r="AH52" s="36">
        <f t="shared" si="84"/>
        <v>0</v>
      </c>
      <c r="AI52" s="36">
        <f t="shared" si="84"/>
        <v>0</v>
      </c>
      <c r="AJ52" s="36">
        <f t="shared" si="84"/>
        <v>0</v>
      </c>
      <c r="AK52" s="36">
        <f t="shared" si="84"/>
        <v>0</v>
      </c>
      <c r="AL52" s="36">
        <f t="shared" si="84"/>
        <v>0</v>
      </c>
      <c r="AM52" s="36">
        <f t="shared" si="84"/>
        <v>0</v>
      </c>
      <c r="AN52" s="36">
        <f t="shared" si="84"/>
        <v>0</v>
      </c>
      <c r="AO52" s="36">
        <f t="shared" si="84"/>
        <v>0</v>
      </c>
      <c r="AP52" s="36">
        <f t="shared" si="84"/>
        <v>0</v>
      </c>
      <c r="AQ52" s="36">
        <f t="shared" si="84"/>
        <v>0</v>
      </c>
      <c r="AR52" s="36">
        <f t="shared" si="84"/>
        <v>0</v>
      </c>
      <c r="AS52" s="36">
        <f t="shared" si="84"/>
        <v>0</v>
      </c>
      <c r="AT52" s="36">
        <f t="shared" si="84"/>
        <v>0</v>
      </c>
      <c r="AU52" s="36">
        <f t="shared" si="84"/>
        <v>0</v>
      </c>
      <c r="AV52" s="36">
        <f t="shared" si="84"/>
        <v>0</v>
      </c>
      <c r="AW52" s="36">
        <f t="shared" si="84"/>
        <v>0</v>
      </c>
      <c r="AX52" s="36">
        <f t="shared" si="84"/>
        <v>0</v>
      </c>
      <c r="AY52" s="36">
        <f t="shared" si="84"/>
        <v>0</v>
      </c>
      <c r="AZ52" s="36">
        <f t="shared" si="84"/>
        <v>0</v>
      </c>
      <c r="BA52" s="36">
        <f t="shared" si="84"/>
        <v>0</v>
      </c>
      <c r="BB52" s="36">
        <f t="shared" si="84"/>
        <v>0</v>
      </c>
      <c r="BC52" s="36">
        <f t="shared" si="84"/>
        <v>0</v>
      </c>
      <c r="BD52" s="36">
        <f t="shared" si="84"/>
        <v>0</v>
      </c>
      <c r="BE52" s="36">
        <f t="shared" si="84"/>
        <v>0</v>
      </c>
      <c r="BF52" s="36">
        <f t="shared" si="84"/>
        <v>0</v>
      </c>
      <c r="BG52" s="36">
        <f t="shared" si="84"/>
        <v>0</v>
      </c>
      <c r="BH52" s="36">
        <f t="shared" si="84"/>
        <v>0</v>
      </c>
      <c r="BI52" s="36">
        <f t="shared" si="84"/>
        <v>0</v>
      </c>
      <c r="BJ52" s="36">
        <f t="shared" si="84"/>
        <v>0</v>
      </c>
      <c r="BK52" s="36">
        <f t="shared" si="84"/>
        <v>0</v>
      </c>
      <c r="BL52" s="36">
        <f t="shared" si="84"/>
        <v>0</v>
      </c>
      <c r="BM52" s="36">
        <f t="shared" si="84"/>
        <v>0</v>
      </c>
      <c r="BN52" s="36">
        <f t="shared" si="84"/>
        <v>0</v>
      </c>
      <c r="BO52" s="36">
        <f t="shared" si="84"/>
        <v>0</v>
      </c>
      <c r="BP52" s="36">
        <f t="shared" si="84"/>
        <v>0</v>
      </c>
      <c r="BQ52" s="36">
        <f t="shared" si="84"/>
        <v>0</v>
      </c>
      <c r="BR52" s="36">
        <f t="shared" ref="BR52:EC52" si="85">SUM(BR49:BR51)</f>
        <v>0</v>
      </c>
      <c r="BS52" s="36">
        <f t="shared" si="85"/>
        <v>0</v>
      </c>
      <c r="BT52" s="36">
        <f t="shared" si="85"/>
        <v>0</v>
      </c>
      <c r="BU52" s="36">
        <f t="shared" si="85"/>
        <v>0</v>
      </c>
      <c r="BV52" s="36">
        <f t="shared" si="85"/>
        <v>0</v>
      </c>
      <c r="BW52" s="36">
        <f t="shared" si="85"/>
        <v>0</v>
      </c>
      <c r="BX52" s="36">
        <f t="shared" si="85"/>
        <v>0</v>
      </c>
      <c r="BY52" s="36">
        <f t="shared" si="85"/>
        <v>0</v>
      </c>
      <c r="BZ52" s="36">
        <f t="shared" si="85"/>
        <v>0</v>
      </c>
      <c r="CA52" s="36">
        <f t="shared" si="85"/>
        <v>0</v>
      </c>
      <c r="CB52" s="36">
        <f t="shared" si="85"/>
        <v>0</v>
      </c>
      <c r="CC52" s="36">
        <f t="shared" si="85"/>
        <v>0</v>
      </c>
      <c r="CD52" s="36">
        <f t="shared" si="85"/>
        <v>0</v>
      </c>
      <c r="CE52" s="36">
        <f t="shared" si="85"/>
        <v>0</v>
      </c>
      <c r="CF52" s="36">
        <f t="shared" si="85"/>
        <v>0</v>
      </c>
      <c r="CG52" s="36">
        <f t="shared" si="85"/>
        <v>0</v>
      </c>
      <c r="CH52" s="36">
        <f t="shared" si="85"/>
        <v>0</v>
      </c>
      <c r="CI52" s="36">
        <f t="shared" si="85"/>
        <v>0</v>
      </c>
      <c r="CJ52" s="36">
        <f t="shared" si="85"/>
        <v>0</v>
      </c>
      <c r="CK52" s="36">
        <f t="shared" si="85"/>
        <v>0</v>
      </c>
      <c r="CL52" s="36">
        <f t="shared" si="85"/>
        <v>0</v>
      </c>
      <c r="CM52" s="36">
        <f t="shared" si="85"/>
        <v>0</v>
      </c>
      <c r="CN52" s="36">
        <f t="shared" si="85"/>
        <v>0</v>
      </c>
      <c r="CO52" s="36">
        <f t="shared" si="85"/>
        <v>0</v>
      </c>
      <c r="CP52" s="36">
        <f t="shared" si="85"/>
        <v>0</v>
      </c>
      <c r="CQ52" s="36">
        <f t="shared" si="85"/>
        <v>0</v>
      </c>
      <c r="CR52" s="36">
        <f t="shared" si="85"/>
        <v>0</v>
      </c>
      <c r="CS52" s="36">
        <f t="shared" si="85"/>
        <v>0</v>
      </c>
      <c r="CT52" s="36">
        <f t="shared" si="85"/>
        <v>0</v>
      </c>
      <c r="CU52" s="36">
        <f t="shared" si="85"/>
        <v>0</v>
      </c>
      <c r="CV52" s="36">
        <f t="shared" si="85"/>
        <v>0</v>
      </c>
      <c r="CW52" s="36">
        <f t="shared" si="85"/>
        <v>0</v>
      </c>
      <c r="CX52" s="36">
        <f t="shared" si="85"/>
        <v>0</v>
      </c>
      <c r="CY52" s="36">
        <f t="shared" si="85"/>
        <v>0</v>
      </c>
      <c r="CZ52" s="36">
        <f t="shared" si="85"/>
        <v>0</v>
      </c>
      <c r="DA52" s="36">
        <f t="shared" si="85"/>
        <v>0</v>
      </c>
      <c r="DB52" s="36">
        <f t="shared" si="85"/>
        <v>0</v>
      </c>
      <c r="DC52" s="36">
        <f t="shared" si="85"/>
        <v>0</v>
      </c>
      <c r="DD52" s="36">
        <f t="shared" si="85"/>
        <v>0</v>
      </c>
      <c r="DE52" s="36">
        <f t="shared" si="85"/>
        <v>0</v>
      </c>
      <c r="DF52" s="36">
        <f t="shared" si="85"/>
        <v>0</v>
      </c>
      <c r="DG52" s="36">
        <f t="shared" si="85"/>
        <v>0</v>
      </c>
      <c r="DH52" s="36">
        <f t="shared" si="85"/>
        <v>0</v>
      </c>
      <c r="DI52" s="36">
        <f t="shared" si="85"/>
        <v>0</v>
      </c>
      <c r="DJ52" s="36">
        <f t="shared" si="85"/>
        <v>0</v>
      </c>
      <c r="DK52" s="36">
        <f t="shared" si="85"/>
        <v>0</v>
      </c>
      <c r="DL52" s="36">
        <f t="shared" si="85"/>
        <v>0</v>
      </c>
      <c r="DM52" s="36">
        <f t="shared" si="85"/>
        <v>0</v>
      </c>
      <c r="DN52" s="36">
        <f t="shared" si="85"/>
        <v>0</v>
      </c>
      <c r="DO52" s="36">
        <f t="shared" si="85"/>
        <v>0</v>
      </c>
      <c r="DP52" s="36">
        <f t="shared" si="85"/>
        <v>0</v>
      </c>
      <c r="DQ52" s="36">
        <f t="shared" si="85"/>
        <v>0</v>
      </c>
      <c r="DR52" s="36">
        <f t="shared" si="85"/>
        <v>0</v>
      </c>
      <c r="DS52" s="36">
        <f t="shared" si="85"/>
        <v>0</v>
      </c>
      <c r="DT52" s="36">
        <f t="shared" si="85"/>
        <v>0</v>
      </c>
      <c r="DU52" s="36">
        <f t="shared" si="85"/>
        <v>0</v>
      </c>
      <c r="DV52" s="36">
        <f t="shared" si="85"/>
        <v>0</v>
      </c>
      <c r="DW52" s="36">
        <f t="shared" si="85"/>
        <v>0</v>
      </c>
      <c r="DX52" s="36">
        <f t="shared" si="85"/>
        <v>0</v>
      </c>
      <c r="DY52" s="36">
        <f t="shared" si="85"/>
        <v>0</v>
      </c>
      <c r="DZ52" s="36">
        <f t="shared" si="85"/>
        <v>0</v>
      </c>
      <c r="EA52" s="36">
        <f t="shared" si="85"/>
        <v>0</v>
      </c>
      <c r="EB52" s="36">
        <f t="shared" si="85"/>
        <v>0</v>
      </c>
      <c r="EC52" s="36">
        <f t="shared" si="85"/>
        <v>0</v>
      </c>
      <c r="ED52" s="36">
        <f t="shared" ref="ED52:GO52" si="86">SUM(ED49:ED51)</f>
        <v>0</v>
      </c>
      <c r="EE52" s="36">
        <f t="shared" si="86"/>
        <v>0</v>
      </c>
      <c r="EF52" s="36">
        <f t="shared" si="86"/>
        <v>0</v>
      </c>
      <c r="EG52" s="36">
        <f t="shared" si="86"/>
        <v>0</v>
      </c>
      <c r="EH52" s="36">
        <f t="shared" si="86"/>
        <v>0</v>
      </c>
      <c r="EI52" s="36">
        <f t="shared" si="86"/>
        <v>0</v>
      </c>
      <c r="EJ52" s="36">
        <f t="shared" si="86"/>
        <v>0</v>
      </c>
      <c r="EK52" s="36">
        <f t="shared" si="86"/>
        <v>0</v>
      </c>
      <c r="EL52" s="36">
        <f t="shared" si="86"/>
        <v>0</v>
      </c>
      <c r="EM52" s="36">
        <f t="shared" si="86"/>
        <v>0</v>
      </c>
      <c r="EN52" s="36">
        <f t="shared" si="86"/>
        <v>0</v>
      </c>
      <c r="EO52" s="36">
        <f t="shared" si="86"/>
        <v>0</v>
      </c>
      <c r="EP52" s="36">
        <f t="shared" si="86"/>
        <v>0</v>
      </c>
      <c r="EQ52" s="36">
        <f t="shared" si="86"/>
        <v>0</v>
      </c>
      <c r="ER52" s="36">
        <f t="shared" si="86"/>
        <v>0</v>
      </c>
      <c r="ES52" s="36">
        <f t="shared" si="86"/>
        <v>0</v>
      </c>
      <c r="ET52" s="36">
        <f t="shared" si="86"/>
        <v>0</v>
      </c>
      <c r="EU52" s="36">
        <f t="shared" si="86"/>
        <v>0</v>
      </c>
      <c r="EV52" s="36">
        <f t="shared" si="86"/>
        <v>0</v>
      </c>
      <c r="EW52" s="36">
        <f t="shared" si="86"/>
        <v>0</v>
      </c>
      <c r="EX52" s="36">
        <f t="shared" si="86"/>
        <v>0</v>
      </c>
      <c r="EY52" s="36">
        <f t="shared" si="86"/>
        <v>0</v>
      </c>
      <c r="EZ52" s="36">
        <f t="shared" si="86"/>
        <v>0</v>
      </c>
      <c r="FA52" s="36">
        <f t="shared" si="86"/>
        <v>0</v>
      </c>
      <c r="FB52" s="36">
        <f t="shared" si="86"/>
        <v>0</v>
      </c>
      <c r="FC52" s="36">
        <f t="shared" si="86"/>
        <v>0</v>
      </c>
      <c r="FD52" s="36">
        <f t="shared" si="86"/>
        <v>0</v>
      </c>
      <c r="FE52" s="36">
        <f t="shared" si="86"/>
        <v>0</v>
      </c>
      <c r="FF52" s="36">
        <f t="shared" si="86"/>
        <v>0</v>
      </c>
      <c r="FG52" s="36">
        <f t="shared" si="86"/>
        <v>0</v>
      </c>
      <c r="FH52" s="36">
        <f t="shared" si="86"/>
        <v>0</v>
      </c>
      <c r="FI52" s="36">
        <f t="shared" si="86"/>
        <v>0</v>
      </c>
      <c r="FJ52" s="36">
        <f t="shared" si="86"/>
        <v>0</v>
      </c>
      <c r="FK52" s="36">
        <f t="shared" si="86"/>
        <v>0</v>
      </c>
      <c r="FL52" s="36">
        <f t="shared" si="86"/>
        <v>0</v>
      </c>
      <c r="FM52" s="36">
        <f t="shared" si="86"/>
        <v>0</v>
      </c>
      <c r="FN52" s="36">
        <f t="shared" si="86"/>
        <v>0</v>
      </c>
      <c r="FO52" s="36">
        <f t="shared" si="86"/>
        <v>0</v>
      </c>
      <c r="FP52" s="36">
        <f t="shared" si="86"/>
        <v>0</v>
      </c>
      <c r="FQ52" s="36">
        <f t="shared" si="86"/>
        <v>0</v>
      </c>
      <c r="FR52" s="36">
        <f t="shared" si="86"/>
        <v>0</v>
      </c>
      <c r="FS52" s="36">
        <f t="shared" si="86"/>
        <v>0</v>
      </c>
      <c r="FT52" s="36">
        <f t="shared" si="86"/>
        <v>0</v>
      </c>
      <c r="FU52" s="36">
        <f t="shared" si="86"/>
        <v>0</v>
      </c>
      <c r="FV52" s="36">
        <f t="shared" si="86"/>
        <v>0</v>
      </c>
      <c r="FW52" s="36">
        <f t="shared" si="86"/>
        <v>0</v>
      </c>
      <c r="FX52" s="36">
        <f t="shared" si="86"/>
        <v>0</v>
      </c>
      <c r="FY52" s="36">
        <f t="shared" si="86"/>
        <v>0</v>
      </c>
      <c r="FZ52" s="36">
        <f t="shared" si="86"/>
        <v>0</v>
      </c>
      <c r="GA52" s="36">
        <f t="shared" si="86"/>
        <v>0</v>
      </c>
      <c r="GB52" s="36">
        <f t="shared" si="86"/>
        <v>0</v>
      </c>
      <c r="GC52" s="36">
        <f t="shared" si="86"/>
        <v>0</v>
      </c>
      <c r="GD52" s="36">
        <f t="shared" si="86"/>
        <v>0</v>
      </c>
      <c r="GE52" s="36">
        <f t="shared" si="86"/>
        <v>0</v>
      </c>
      <c r="GF52" s="36">
        <f t="shared" si="86"/>
        <v>0</v>
      </c>
      <c r="GG52" s="36">
        <f t="shared" si="86"/>
        <v>0</v>
      </c>
      <c r="GH52" s="36">
        <f t="shared" si="86"/>
        <v>0</v>
      </c>
      <c r="GI52" s="36">
        <f t="shared" si="86"/>
        <v>0</v>
      </c>
      <c r="GJ52" s="36">
        <f t="shared" si="86"/>
        <v>0</v>
      </c>
      <c r="GK52" s="36">
        <f t="shared" si="86"/>
        <v>0</v>
      </c>
      <c r="GL52" s="36">
        <f t="shared" si="86"/>
        <v>0</v>
      </c>
      <c r="GM52" s="36">
        <f t="shared" si="86"/>
        <v>0</v>
      </c>
      <c r="GN52" s="36">
        <f t="shared" si="86"/>
        <v>0</v>
      </c>
      <c r="GO52" s="36">
        <f t="shared" si="86"/>
        <v>0</v>
      </c>
      <c r="GP52" s="36">
        <f t="shared" ref="GP52:JA52" si="87">SUM(GP49:GP51)</f>
        <v>0</v>
      </c>
      <c r="GQ52" s="36">
        <f t="shared" si="87"/>
        <v>0</v>
      </c>
      <c r="GR52" s="36">
        <f t="shared" si="87"/>
        <v>0</v>
      </c>
      <c r="GS52" s="36">
        <f t="shared" si="87"/>
        <v>0</v>
      </c>
      <c r="GT52" s="36">
        <f t="shared" si="87"/>
        <v>0</v>
      </c>
      <c r="GU52" s="36">
        <f t="shared" si="87"/>
        <v>0</v>
      </c>
      <c r="GV52" s="36">
        <f t="shared" si="87"/>
        <v>0</v>
      </c>
      <c r="GW52" s="36">
        <f t="shared" si="87"/>
        <v>0</v>
      </c>
      <c r="GX52" s="36">
        <f t="shared" si="87"/>
        <v>0</v>
      </c>
      <c r="GY52" s="36">
        <f t="shared" si="87"/>
        <v>0</v>
      </c>
      <c r="GZ52" s="36">
        <f t="shared" si="87"/>
        <v>0</v>
      </c>
      <c r="HA52" s="36">
        <f t="shared" si="87"/>
        <v>0</v>
      </c>
      <c r="HB52" s="36">
        <f t="shared" si="87"/>
        <v>0</v>
      </c>
      <c r="HC52" s="36">
        <f t="shared" si="87"/>
        <v>0</v>
      </c>
      <c r="HD52" s="36">
        <f t="shared" si="87"/>
        <v>0</v>
      </c>
      <c r="HE52" s="36">
        <f t="shared" si="87"/>
        <v>0</v>
      </c>
      <c r="HF52" s="36">
        <f t="shared" si="87"/>
        <v>0</v>
      </c>
      <c r="HG52" s="36">
        <f t="shared" si="87"/>
        <v>0</v>
      </c>
      <c r="HH52" s="36">
        <f t="shared" si="87"/>
        <v>0</v>
      </c>
      <c r="HI52" s="36">
        <f t="shared" si="87"/>
        <v>0</v>
      </c>
      <c r="HJ52" s="36">
        <f t="shared" si="87"/>
        <v>0</v>
      </c>
      <c r="HK52" s="36">
        <f t="shared" si="87"/>
        <v>0</v>
      </c>
      <c r="HL52" s="36">
        <f t="shared" si="87"/>
        <v>0</v>
      </c>
      <c r="HM52" s="36">
        <f t="shared" si="87"/>
        <v>0</v>
      </c>
      <c r="HN52" s="36">
        <f t="shared" si="87"/>
        <v>0</v>
      </c>
      <c r="HO52" s="36">
        <f t="shared" si="87"/>
        <v>0</v>
      </c>
      <c r="HP52" s="36">
        <f t="shared" si="87"/>
        <v>0</v>
      </c>
      <c r="HQ52" s="36">
        <f t="shared" si="87"/>
        <v>0</v>
      </c>
      <c r="HR52" s="36">
        <f t="shared" si="87"/>
        <v>0</v>
      </c>
      <c r="HS52" s="36">
        <f t="shared" si="87"/>
        <v>0</v>
      </c>
      <c r="HT52" s="36">
        <f t="shared" si="87"/>
        <v>0</v>
      </c>
      <c r="HU52" s="36">
        <f t="shared" si="87"/>
        <v>0</v>
      </c>
      <c r="HV52" s="36">
        <f t="shared" si="87"/>
        <v>0</v>
      </c>
      <c r="HW52" s="36">
        <f t="shared" si="87"/>
        <v>0</v>
      </c>
      <c r="HX52" s="36">
        <f t="shared" si="87"/>
        <v>0</v>
      </c>
      <c r="HY52" s="36">
        <f t="shared" si="87"/>
        <v>0</v>
      </c>
      <c r="HZ52" s="36">
        <f t="shared" si="87"/>
        <v>0</v>
      </c>
      <c r="IA52" s="36">
        <f t="shared" si="87"/>
        <v>0</v>
      </c>
      <c r="IB52" s="36">
        <f t="shared" si="87"/>
        <v>0</v>
      </c>
      <c r="IC52" s="36">
        <f t="shared" si="87"/>
        <v>0</v>
      </c>
      <c r="ID52" s="36">
        <f t="shared" si="87"/>
        <v>0</v>
      </c>
      <c r="IE52" s="36">
        <f t="shared" si="87"/>
        <v>0</v>
      </c>
      <c r="IF52" s="36">
        <f t="shared" si="87"/>
        <v>0</v>
      </c>
      <c r="IG52" s="36">
        <f t="shared" si="87"/>
        <v>0</v>
      </c>
      <c r="IH52" s="36">
        <f t="shared" si="87"/>
        <v>0</v>
      </c>
      <c r="II52" s="36">
        <f t="shared" si="87"/>
        <v>0</v>
      </c>
      <c r="IJ52" s="36">
        <f t="shared" si="87"/>
        <v>0</v>
      </c>
      <c r="IK52" s="36">
        <f t="shared" si="87"/>
        <v>0</v>
      </c>
      <c r="IL52" s="36">
        <f t="shared" si="87"/>
        <v>0</v>
      </c>
      <c r="IM52" s="36">
        <f t="shared" si="87"/>
        <v>0</v>
      </c>
      <c r="IN52" s="36">
        <f t="shared" si="87"/>
        <v>0</v>
      </c>
      <c r="IO52" s="36">
        <f t="shared" si="87"/>
        <v>0</v>
      </c>
      <c r="IP52" s="36">
        <f t="shared" si="87"/>
        <v>0</v>
      </c>
      <c r="IQ52" s="36">
        <f t="shared" si="87"/>
        <v>0</v>
      </c>
      <c r="IR52" s="36">
        <f t="shared" si="87"/>
        <v>0</v>
      </c>
      <c r="IS52" s="36">
        <f t="shared" si="87"/>
        <v>0</v>
      </c>
      <c r="IT52" s="36">
        <f t="shared" si="87"/>
        <v>0</v>
      </c>
      <c r="IU52" s="36">
        <f t="shared" si="87"/>
        <v>0</v>
      </c>
      <c r="IV52" s="36">
        <f t="shared" si="87"/>
        <v>0</v>
      </c>
      <c r="IW52" s="36">
        <f t="shared" si="87"/>
        <v>0</v>
      </c>
      <c r="IX52" s="36">
        <f t="shared" si="87"/>
        <v>0</v>
      </c>
      <c r="IY52" s="36">
        <f t="shared" si="87"/>
        <v>0</v>
      </c>
      <c r="IZ52" s="36">
        <f t="shared" si="87"/>
        <v>0</v>
      </c>
      <c r="JA52" s="36">
        <f t="shared" si="87"/>
        <v>0</v>
      </c>
      <c r="JB52" s="36">
        <f t="shared" ref="JB52:KS52" si="88">SUM(JB49:JB51)</f>
        <v>0</v>
      </c>
      <c r="JC52" s="36">
        <f t="shared" si="88"/>
        <v>0</v>
      </c>
      <c r="JD52" s="36">
        <f t="shared" si="88"/>
        <v>0</v>
      </c>
      <c r="JE52" s="36">
        <f t="shared" si="88"/>
        <v>0</v>
      </c>
      <c r="JF52" s="36">
        <f t="shared" si="88"/>
        <v>0</v>
      </c>
      <c r="JG52" s="36">
        <f t="shared" si="88"/>
        <v>0</v>
      </c>
      <c r="JH52" s="36">
        <f t="shared" si="88"/>
        <v>0</v>
      </c>
      <c r="JI52" s="36">
        <f t="shared" si="88"/>
        <v>0</v>
      </c>
      <c r="JJ52" s="36">
        <f t="shared" si="88"/>
        <v>0</v>
      </c>
      <c r="JK52" s="36">
        <f t="shared" si="88"/>
        <v>0</v>
      </c>
      <c r="JL52" s="36">
        <f t="shared" si="88"/>
        <v>0</v>
      </c>
      <c r="JM52" s="36">
        <f t="shared" si="88"/>
        <v>0</v>
      </c>
      <c r="JN52" s="36">
        <f t="shared" si="88"/>
        <v>0</v>
      </c>
      <c r="JO52" s="36">
        <f t="shared" si="88"/>
        <v>0</v>
      </c>
      <c r="JP52" s="36">
        <f t="shared" si="88"/>
        <v>0</v>
      </c>
      <c r="JQ52" s="36">
        <f t="shared" si="88"/>
        <v>0</v>
      </c>
      <c r="JR52" s="36">
        <f t="shared" si="88"/>
        <v>0</v>
      </c>
      <c r="JS52" s="36">
        <f t="shared" si="88"/>
        <v>0</v>
      </c>
      <c r="JT52" s="36">
        <f t="shared" si="88"/>
        <v>0</v>
      </c>
      <c r="JU52" s="36">
        <f t="shared" si="88"/>
        <v>0</v>
      </c>
      <c r="JV52" s="36">
        <f t="shared" si="88"/>
        <v>0</v>
      </c>
      <c r="JW52" s="36">
        <f t="shared" si="88"/>
        <v>0</v>
      </c>
      <c r="JX52" s="36">
        <f t="shared" si="88"/>
        <v>0</v>
      </c>
      <c r="JY52" s="36">
        <f t="shared" si="88"/>
        <v>0</v>
      </c>
      <c r="JZ52" s="36">
        <f t="shared" si="88"/>
        <v>0</v>
      </c>
      <c r="KA52" s="36">
        <f t="shared" si="88"/>
        <v>0</v>
      </c>
      <c r="KB52" s="36">
        <f t="shared" si="88"/>
        <v>0</v>
      </c>
      <c r="KC52" s="36">
        <f t="shared" si="88"/>
        <v>0</v>
      </c>
      <c r="KD52" s="36">
        <f t="shared" si="88"/>
        <v>0</v>
      </c>
      <c r="KE52" s="36">
        <f t="shared" si="88"/>
        <v>0</v>
      </c>
      <c r="KF52" s="36">
        <f t="shared" si="88"/>
        <v>0</v>
      </c>
      <c r="KG52" s="36">
        <f t="shared" si="88"/>
        <v>0</v>
      </c>
      <c r="KH52" s="36">
        <f t="shared" si="88"/>
        <v>0</v>
      </c>
      <c r="KI52" s="36">
        <f t="shared" si="88"/>
        <v>0</v>
      </c>
      <c r="KJ52" s="36">
        <f t="shared" si="88"/>
        <v>0</v>
      </c>
      <c r="KK52" s="36">
        <f t="shared" si="88"/>
        <v>0</v>
      </c>
      <c r="KL52" s="36">
        <f t="shared" si="88"/>
        <v>0</v>
      </c>
      <c r="KM52" s="36">
        <f t="shared" si="88"/>
        <v>0</v>
      </c>
      <c r="KN52" s="36">
        <f t="shared" si="88"/>
        <v>0</v>
      </c>
      <c r="KO52" s="36">
        <f t="shared" si="88"/>
        <v>0</v>
      </c>
      <c r="KP52" s="36">
        <f t="shared" si="88"/>
        <v>0</v>
      </c>
      <c r="KQ52" s="36">
        <f t="shared" si="88"/>
        <v>0</v>
      </c>
      <c r="KR52" s="36">
        <f t="shared" si="88"/>
        <v>0</v>
      </c>
      <c r="KS52" s="36">
        <f t="shared" si="88"/>
        <v>0</v>
      </c>
    </row>
    <row r="54" spans="2:305">
      <c r="B54" t="s">
        <v>40</v>
      </c>
      <c r="E54" s="6">
        <f>IF(Inputs!$E$8=2,E5+E51,0)</f>
        <v>0</v>
      </c>
      <c r="F54" s="6">
        <f>IF(Inputs!$E$8=2,F5+F51,0)</f>
        <v>0</v>
      </c>
      <c r="G54" s="6">
        <f>IF(Inputs!$E$8=2,G5+G51,0)</f>
        <v>0</v>
      </c>
      <c r="H54" s="6">
        <f>IF(Inputs!$E$8=2,H5+H51,0)</f>
        <v>0</v>
      </c>
      <c r="I54" s="6">
        <f>IF(Inputs!$E$8=2,I5+I51,0)</f>
        <v>0</v>
      </c>
      <c r="J54" s="6">
        <f>IF(Inputs!$E$8=2,J5+J51,0)</f>
        <v>0</v>
      </c>
      <c r="K54" s="6">
        <f>IF(Inputs!$E$8=2,K5+K51,0)</f>
        <v>0</v>
      </c>
      <c r="L54" s="6">
        <f>IF(Inputs!$E$8=2,L5+L51,0)</f>
        <v>0</v>
      </c>
      <c r="M54" s="6">
        <f>IF(Inputs!$E$8=2,M5+M51,0)</f>
        <v>0</v>
      </c>
      <c r="N54" s="6">
        <f>IF(Inputs!$E$8=2,N5+N51,0)</f>
        <v>0</v>
      </c>
      <c r="O54" s="6">
        <f>IF(Inputs!$E$8=2,O5+O51,0)</f>
        <v>0</v>
      </c>
      <c r="P54" s="6">
        <f>IF(Inputs!$E$8=2,P5+P51,0)</f>
        <v>0</v>
      </c>
      <c r="Q54" s="6">
        <f>IF(Inputs!$E$8=2,Q5+Q51,0)</f>
        <v>0</v>
      </c>
      <c r="R54" s="6">
        <f>IF(Inputs!$E$8=2,R5+R51,0)</f>
        <v>0</v>
      </c>
      <c r="S54" s="6">
        <f>IF(Inputs!$E$8=2,S5+S51,0)</f>
        <v>0</v>
      </c>
      <c r="T54" s="6">
        <f>IF(Inputs!$E$8=2,T5+T51,0)</f>
        <v>0</v>
      </c>
      <c r="U54" s="6">
        <f>IF(Inputs!$E$8=2,U5+U51,0)</f>
        <v>0</v>
      </c>
      <c r="V54" s="6">
        <f>IF(Inputs!$E$8=2,V5+V51,0)</f>
        <v>0</v>
      </c>
      <c r="W54" s="6">
        <f>IF(Inputs!$E$8=2,W5+W51,0)</f>
        <v>0</v>
      </c>
      <c r="X54" s="6">
        <f>IF(Inputs!$E$8=2,X5+X51,0)</f>
        <v>0</v>
      </c>
      <c r="Y54" s="6">
        <f>IF(Inputs!$E$8=2,Y5+Y51,0)</f>
        <v>0</v>
      </c>
      <c r="Z54" s="6">
        <f>IF(Inputs!$E$8=2,Z5+Z51,0)</f>
        <v>0</v>
      </c>
      <c r="AA54" s="6">
        <f>IF(Inputs!$E$8=2,AA5+AA51,0)</f>
        <v>0</v>
      </c>
      <c r="AB54" s="6">
        <f>IF(Inputs!$E$8=2,AB5+AB51,0)</f>
        <v>0</v>
      </c>
      <c r="AC54" s="6">
        <f>IF(Inputs!$E$8=2,AC5+AC51,0)</f>
        <v>0</v>
      </c>
      <c r="AD54" s="6">
        <f>IF(Inputs!$E$8=2,AD5+AD51,0)</f>
        <v>0</v>
      </c>
      <c r="AE54" s="6">
        <f>IF(Inputs!$E$8=2,AE5+AE51,0)</f>
        <v>0</v>
      </c>
      <c r="AF54" s="6">
        <f>IF(Inputs!$E$8=2,AF5+AF51,0)</f>
        <v>0</v>
      </c>
      <c r="AG54" s="6">
        <f>IF(Inputs!$E$8=2,AG5+AG51,0)</f>
        <v>0</v>
      </c>
      <c r="AH54" s="6">
        <f>IF(Inputs!$E$8=2,AH5+AH51,0)</f>
        <v>0</v>
      </c>
      <c r="AI54" s="6">
        <f>IF(Inputs!$E$8=2,AI5+AI51,0)</f>
        <v>0</v>
      </c>
      <c r="AJ54" s="6">
        <f>IF(Inputs!$E$8=2,AJ5+AJ51,0)</f>
        <v>0</v>
      </c>
      <c r="AK54" s="6">
        <f>IF(Inputs!$E$8=2,AK5+AK51,0)</f>
        <v>0</v>
      </c>
      <c r="AL54" s="6">
        <f>IF(Inputs!$E$8=2,AL5+AL51,0)</f>
        <v>0</v>
      </c>
      <c r="AM54" s="6">
        <f>IF(Inputs!$E$8=2,AM5+AM51,0)</f>
        <v>0</v>
      </c>
      <c r="AN54" s="6">
        <f>IF(Inputs!$E$8=2,AN5+AN51,0)</f>
        <v>0</v>
      </c>
      <c r="AO54" s="6">
        <f>IF(Inputs!$E$8=2,AO5+AO51,0)</f>
        <v>0</v>
      </c>
      <c r="AP54" s="6">
        <f>IF(Inputs!$E$8=2,AP5+AP51,0)</f>
        <v>0</v>
      </c>
      <c r="AQ54" s="6">
        <f>IF(Inputs!$E$8=2,AQ5+AQ51,0)</f>
        <v>0</v>
      </c>
      <c r="AR54" s="6">
        <f>IF(Inputs!$E$8=2,AR5+AR51,0)</f>
        <v>0</v>
      </c>
      <c r="AS54" s="6">
        <f>IF(Inputs!$E$8=2,AS5+AS51,0)</f>
        <v>0</v>
      </c>
      <c r="AT54" s="6">
        <f>IF(Inputs!$E$8=2,AT5+AT51,0)</f>
        <v>0</v>
      </c>
      <c r="AU54" s="6">
        <f>IF(Inputs!$E$8=2,AU5+AU51,0)</f>
        <v>0</v>
      </c>
      <c r="AV54" s="6">
        <f>IF(Inputs!$E$8=2,AV5+AV51,0)</f>
        <v>0</v>
      </c>
      <c r="AW54" s="6">
        <f>IF(Inputs!$E$8=2,AW5+AW51,0)</f>
        <v>0</v>
      </c>
      <c r="AX54" s="6">
        <f>IF(Inputs!$E$8=2,AX5+AX51,0)</f>
        <v>0</v>
      </c>
      <c r="AY54" s="6">
        <f>IF(Inputs!$E$8=2,AY5+AY51,0)</f>
        <v>0</v>
      </c>
      <c r="AZ54" s="6">
        <f>IF(Inputs!$E$8=2,AZ5+AZ51,0)</f>
        <v>0</v>
      </c>
      <c r="BA54" s="6">
        <f>IF(Inputs!$E$8=2,BA5+BA51,0)</f>
        <v>0</v>
      </c>
      <c r="BB54" s="6">
        <f>IF(Inputs!$E$8=2,BB5+BB51,0)</f>
        <v>0</v>
      </c>
      <c r="BC54" s="6">
        <f>IF(Inputs!$E$8=2,BC5+BC51,0)</f>
        <v>0</v>
      </c>
      <c r="BD54" s="6">
        <f>IF(Inputs!$E$8=2,BD5+BD51,0)</f>
        <v>0</v>
      </c>
      <c r="BE54" s="6">
        <f>IF(Inputs!$E$8=2,BE5+BE51,0)</f>
        <v>0</v>
      </c>
      <c r="BF54" s="6">
        <f>IF(Inputs!$E$8=2,BF5+BF51,0)</f>
        <v>0</v>
      </c>
      <c r="BG54" s="6">
        <f>IF(Inputs!$E$8=2,BG5+BG51,0)</f>
        <v>0</v>
      </c>
      <c r="BH54" s="6">
        <f>IF(Inputs!$E$8=2,BH5+BH51,0)</f>
        <v>0</v>
      </c>
      <c r="BI54" s="6">
        <f>IF(Inputs!$E$8=2,BI5+BI51,0)</f>
        <v>0</v>
      </c>
      <c r="BJ54" s="6">
        <f>IF(Inputs!$E$8=2,BJ5+BJ51,0)</f>
        <v>0</v>
      </c>
      <c r="BK54" s="6">
        <f>IF(Inputs!$E$8=2,BK5+BK51,0)</f>
        <v>0</v>
      </c>
      <c r="BL54" s="6">
        <f>IF(Inputs!$E$8=2,BL5+BL51,0)</f>
        <v>0</v>
      </c>
      <c r="BM54" s="6">
        <f>IF(Inputs!$E$8=2,BM5+BM51,0)</f>
        <v>0</v>
      </c>
      <c r="BN54" s="6">
        <f>IF(Inputs!$E$8=2,BN5+BN51,0)</f>
        <v>0</v>
      </c>
      <c r="BO54" s="6">
        <f>IF(Inputs!$E$8=2,BO5+BO51,0)</f>
        <v>0</v>
      </c>
      <c r="BP54" s="6">
        <f>IF(Inputs!$E$8=2,BP5+BP51,0)</f>
        <v>0</v>
      </c>
      <c r="BQ54" s="6">
        <f>IF(Inputs!$E$8=2,BQ5+BQ51,0)</f>
        <v>0</v>
      </c>
      <c r="BR54" s="6">
        <f>IF(Inputs!$E$8=2,BR5+BR51,0)</f>
        <v>0</v>
      </c>
      <c r="BS54" s="6">
        <f>IF(Inputs!$E$8=2,BS5+BS51,0)</f>
        <v>0</v>
      </c>
      <c r="BT54" s="6">
        <f>IF(Inputs!$E$8=2,BT5+BT51,0)</f>
        <v>0</v>
      </c>
      <c r="BU54" s="6">
        <f>IF(Inputs!$E$8=2,BU5+BU51,0)</f>
        <v>0</v>
      </c>
      <c r="BV54" s="6">
        <f>IF(Inputs!$E$8=2,BV5+BV51,0)</f>
        <v>0</v>
      </c>
      <c r="BW54" s="6">
        <f>IF(Inputs!$E$8=2,BW5+BW51,0)</f>
        <v>0</v>
      </c>
      <c r="BX54" s="6">
        <f>IF(Inputs!$E$8=2,BX5+BX51,0)</f>
        <v>0</v>
      </c>
      <c r="BY54" s="6">
        <f>IF(Inputs!$E$8=2,BY5+BY51,0)</f>
        <v>0</v>
      </c>
      <c r="BZ54" s="6">
        <f>IF(Inputs!$E$8=2,BZ5+BZ51,0)</f>
        <v>0</v>
      </c>
      <c r="CA54" s="6">
        <f>IF(Inputs!$E$8=2,CA5+CA51,0)</f>
        <v>0</v>
      </c>
      <c r="CB54" s="6">
        <f>IF(Inputs!$E$8=2,CB5+CB51,0)</f>
        <v>0</v>
      </c>
      <c r="CC54" s="6">
        <f>IF(Inputs!$E$8=2,CC5+CC51,0)</f>
        <v>0</v>
      </c>
      <c r="CD54" s="6">
        <f>IF(Inputs!$E$8=2,CD5+CD51,0)</f>
        <v>0</v>
      </c>
      <c r="CE54" s="6">
        <f>IF(Inputs!$E$8=2,CE5+CE51,0)</f>
        <v>0</v>
      </c>
      <c r="CF54" s="6">
        <f>IF(Inputs!$E$8=2,CF5+CF51,0)</f>
        <v>0</v>
      </c>
      <c r="CG54" s="6">
        <f>IF(Inputs!$E$8=2,CG5+CG51,0)</f>
        <v>0</v>
      </c>
      <c r="CH54" s="6">
        <f>IF(Inputs!$E$8=2,CH5+CH51,0)</f>
        <v>0</v>
      </c>
      <c r="CI54" s="6">
        <f>IF(Inputs!$E$8=2,CI5+CI51,0)</f>
        <v>0</v>
      </c>
      <c r="CJ54" s="6">
        <f>IF(Inputs!$E$8=2,CJ5+CJ51,0)</f>
        <v>0</v>
      </c>
      <c r="CK54" s="6">
        <f>IF(Inputs!$E$8=2,CK5+CK51,0)</f>
        <v>0</v>
      </c>
      <c r="CL54" s="6">
        <f>IF(Inputs!$E$8=2,CL5+CL51,0)</f>
        <v>0</v>
      </c>
      <c r="CM54" s="6">
        <f>IF(Inputs!$E$8=2,CM5+CM51,0)</f>
        <v>0</v>
      </c>
      <c r="CN54" s="6">
        <f>IF(Inputs!$E$8=2,CN5+CN51,0)</f>
        <v>0</v>
      </c>
      <c r="CO54" s="6">
        <f>IF(Inputs!$E$8=2,CO5+CO51,0)</f>
        <v>0</v>
      </c>
      <c r="CP54" s="6">
        <f>IF(Inputs!$E$8=2,CP5+CP51,0)</f>
        <v>0</v>
      </c>
      <c r="CQ54" s="6">
        <f>IF(Inputs!$E$8=2,CQ5+CQ51,0)</f>
        <v>0</v>
      </c>
      <c r="CR54" s="6">
        <f>IF(Inputs!$E$8=2,CR5+CR51,0)</f>
        <v>0</v>
      </c>
      <c r="CS54" s="6">
        <f>IF(Inputs!$E$8=2,CS5+CS51,0)</f>
        <v>0</v>
      </c>
      <c r="CT54" s="6">
        <f>IF(Inputs!$E$8=2,CT5+CT51,0)</f>
        <v>0</v>
      </c>
      <c r="CU54" s="6">
        <f>IF(Inputs!$E$8=2,CU5+CU51,0)</f>
        <v>0</v>
      </c>
      <c r="CV54" s="6">
        <f>IF(Inputs!$E$8=2,CV5+CV51,0)</f>
        <v>0</v>
      </c>
      <c r="CW54" s="6">
        <f>IF(Inputs!$E$8=2,CW5+CW51,0)</f>
        <v>0</v>
      </c>
      <c r="CX54" s="6">
        <f>IF(Inputs!$E$8=2,CX5+CX51,0)</f>
        <v>0</v>
      </c>
      <c r="CY54" s="6">
        <f>IF(Inputs!$E$8=2,CY5+CY51,0)</f>
        <v>0</v>
      </c>
      <c r="CZ54" s="6">
        <f>IF(Inputs!$E$8=2,CZ5+CZ51,0)</f>
        <v>0</v>
      </c>
      <c r="DA54" s="6">
        <f>IF(Inputs!$E$8=2,DA5+DA51,0)</f>
        <v>0</v>
      </c>
      <c r="DB54" s="6">
        <f>IF(Inputs!$E$8=2,DB5+DB51,0)</f>
        <v>0</v>
      </c>
      <c r="DC54" s="6">
        <f>IF(Inputs!$E$8=2,DC5+DC51,0)</f>
        <v>0</v>
      </c>
      <c r="DD54" s="6">
        <f>IF(Inputs!$E$8=2,DD5+DD51,0)</f>
        <v>0</v>
      </c>
      <c r="DE54" s="6">
        <f>IF(Inputs!$E$8=2,DE5+DE51,0)</f>
        <v>0</v>
      </c>
      <c r="DF54" s="6">
        <f>IF(Inputs!$E$8=2,DF5+DF51,0)</f>
        <v>0</v>
      </c>
      <c r="DG54" s="6">
        <f>IF(Inputs!$E$8=2,DG5+DG51,0)</f>
        <v>0</v>
      </c>
      <c r="DH54" s="6">
        <f>IF(Inputs!$E$8=2,DH5+DH51,0)</f>
        <v>0</v>
      </c>
      <c r="DI54" s="6">
        <f>IF(Inputs!$E$8=2,DI5+DI51,0)</f>
        <v>0</v>
      </c>
      <c r="DJ54" s="6">
        <f>IF(Inputs!$E$8=2,DJ5+DJ51,0)</f>
        <v>0</v>
      </c>
      <c r="DK54" s="6">
        <f>IF(Inputs!$E$8=2,DK5+DK51,0)</f>
        <v>0</v>
      </c>
      <c r="DL54" s="6">
        <f>IF(Inputs!$E$8=2,DL5+DL51,0)</f>
        <v>0</v>
      </c>
      <c r="DM54" s="6">
        <f>IF(Inputs!$E$8=2,DM5+DM51,0)</f>
        <v>0</v>
      </c>
      <c r="DN54" s="6">
        <f>IF(Inputs!$E$8=2,DN5+DN51,0)</f>
        <v>0</v>
      </c>
      <c r="DO54" s="6">
        <f>IF(Inputs!$E$8=2,DO5+DO51,0)</f>
        <v>0</v>
      </c>
      <c r="DP54" s="6">
        <f>IF(Inputs!$E$8=2,DP5+DP51,0)</f>
        <v>0</v>
      </c>
      <c r="DQ54" s="6">
        <f>IF(Inputs!$E$8=2,DQ5+DQ51,0)</f>
        <v>0</v>
      </c>
      <c r="DR54" s="6">
        <f>IF(Inputs!$E$8=2,DR5+DR51,0)</f>
        <v>0</v>
      </c>
      <c r="DS54" s="6">
        <f>IF(Inputs!$E$8=2,DS5+DS51,0)</f>
        <v>0</v>
      </c>
      <c r="DT54" s="6">
        <f>IF(Inputs!$E$8=2,DT5+DT51,0)</f>
        <v>0</v>
      </c>
      <c r="DU54" s="6">
        <f>IF(Inputs!$E$8=2,DU5+DU51,0)</f>
        <v>0</v>
      </c>
      <c r="DV54" s="6">
        <f>IF(Inputs!$E$8=2,DV5+DV51,0)</f>
        <v>0</v>
      </c>
      <c r="DW54" s="6">
        <f>IF(Inputs!$E$8=2,DW5+DW51,0)</f>
        <v>0</v>
      </c>
      <c r="DX54" s="6">
        <f>IF(Inputs!$E$8=2,DX5+DX51,0)</f>
        <v>0</v>
      </c>
      <c r="DY54" s="6">
        <f>IF(Inputs!$E$8=2,DY5+DY51,0)</f>
        <v>0</v>
      </c>
      <c r="DZ54" s="6">
        <f>IF(Inputs!$E$8=2,DZ5+DZ51,0)</f>
        <v>0</v>
      </c>
      <c r="EA54" s="6">
        <f>IF(Inputs!$E$8=2,EA5+EA51,0)</f>
        <v>0</v>
      </c>
      <c r="EB54" s="6">
        <f>IF(Inputs!$E$8=2,EB5+EB51,0)</f>
        <v>0</v>
      </c>
      <c r="EC54" s="6">
        <f>IF(Inputs!$E$8=2,EC5+EC51,0)</f>
        <v>0</v>
      </c>
      <c r="ED54" s="6">
        <f>IF(Inputs!$E$8=2,ED5+ED51,0)</f>
        <v>0</v>
      </c>
      <c r="EE54" s="6">
        <f>IF(Inputs!$E$8=2,EE5+EE51,0)</f>
        <v>0</v>
      </c>
      <c r="EF54" s="6">
        <f>IF(Inputs!$E$8=2,EF5+EF51,0)</f>
        <v>0</v>
      </c>
      <c r="EG54" s="6">
        <f>IF(Inputs!$E$8=2,EG5+EG51,0)</f>
        <v>0</v>
      </c>
      <c r="EH54" s="6">
        <f>IF(Inputs!$E$8=2,EH5+EH51,0)</f>
        <v>0</v>
      </c>
      <c r="EI54" s="6">
        <f>IF(Inputs!$E$8=2,EI5+EI51,0)</f>
        <v>0</v>
      </c>
      <c r="EJ54" s="6">
        <f>IF(Inputs!$E$8=2,EJ5+EJ51,0)</f>
        <v>0</v>
      </c>
      <c r="EK54" s="6">
        <f>IF(Inputs!$E$8=2,EK5+EK51,0)</f>
        <v>0</v>
      </c>
      <c r="EL54" s="6">
        <f>IF(Inputs!$E$8=2,EL5+EL51,0)</f>
        <v>0</v>
      </c>
      <c r="EM54" s="6">
        <f>IF(Inputs!$E$8=2,EM5+EM51,0)</f>
        <v>0</v>
      </c>
      <c r="EN54" s="6">
        <f>IF(Inputs!$E$8=2,EN5+EN51,0)</f>
        <v>0</v>
      </c>
      <c r="EO54" s="6">
        <f>IF(Inputs!$E$8=2,EO5+EO51,0)</f>
        <v>0</v>
      </c>
      <c r="EP54" s="6">
        <f>IF(Inputs!$E$8=2,EP5+EP51,0)</f>
        <v>0</v>
      </c>
      <c r="EQ54" s="6">
        <f>IF(Inputs!$E$8=2,EQ5+EQ51,0)</f>
        <v>0</v>
      </c>
      <c r="ER54" s="6">
        <f>IF(Inputs!$E$8=2,ER5+ER51,0)</f>
        <v>0</v>
      </c>
      <c r="ES54" s="6">
        <f>IF(Inputs!$E$8=2,ES5+ES51,0)</f>
        <v>0</v>
      </c>
      <c r="ET54" s="6">
        <f>IF(Inputs!$E$8=2,ET5+ET51,0)</f>
        <v>0</v>
      </c>
      <c r="EU54" s="6">
        <f>IF(Inputs!$E$8=2,EU5+EU51,0)</f>
        <v>0</v>
      </c>
      <c r="EV54" s="6">
        <f>IF(Inputs!$E$8=2,EV5+EV51,0)</f>
        <v>0</v>
      </c>
      <c r="EW54" s="6">
        <f>IF(Inputs!$E$8=2,EW5+EW51,0)</f>
        <v>0</v>
      </c>
      <c r="EX54" s="6">
        <f>IF(Inputs!$E$8=2,EX5+EX51,0)</f>
        <v>0</v>
      </c>
      <c r="EY54" s="6">
        <f>IF(Inputs!$E$8=2,EY5+EY51,0)</f>
        <v>0</v>
      </c>
      <c r="EZ54" s="6">
        <f>IF(Inputs!$E$8=2,EZ5+EZ51,0)</f>
        <v>0</v>
      </c>
      <c r="FA54" s="6">
        <f>IF(Inputs!$E$8=2,FA5+FA51,0)</f>
        <v>0</v>
      </c>
      <c r="FB54" s="6">
        <f>IF(Inputs!$E$8=2,FB5+FB51,0)</f>
        <v>0</v>
      </c>
      <c r="FC54" s="6">
        <f>IF(Inputs!$E$8=2,FC5+FC51,0)</f>
        <v>0</v>
      </c>
      <c r="FD54" s="6">
        <f>IF(Inputs!$E$8=2,FD5+FD51,0)</f>
        <v>0</v>
      </c>
      <c r="FE54" s="6">
        <f>IF(Inputs!$E$8=2,FE5+FE51,0)</f>
        <v>0</v>
      </c>
      <c r="FF54" s="6">
        <f>IF(Inputs!$E$8=2,FF5+FF51,0)</f>
        <v>0</v>
      </c>
      <c r="FG54" s="6">
        <f>IF(Inputs!$E$8=2,FG5+FG51,0)</f>
        <v>0</v>
      </c>
      <c r="FH54" s="6">
        <f>IF(Inputs!$E$8=2,FH5+FH51,0)</f>
        <v>0</v>
      </c>
      <c r="FI54" s="6">
        <f>IF(Inputs!$E$8=2,FI5+FI51,0)</f>
        <v>0</v>
      </c>
      <c r="FJ54" s="6">
        <f>IF(Inputs!$E$8=2,FJ5+FJ51,0)</f>
        <v>0</v>
      </c>
      <c r="FK54" s="6">
        <f>IF(Inputs!$E$8=2,FK5+FK51,0)</f>
        <v>0</v>
      </c>
      <c r="FL54" s="6">
        <f>IF(Inputs!$E$8=2,FL5+FL51,0)</f>
        <v>0</v>
      </c>
      <c r="FM54" s="6">
        <f>IF(Inputs!$E$8=2,FM5+FM51,0)</f>
        <v>0</v>
      </c>
      <c r="FN54" s="6">
        <f>IF(Inputs!$E$8=2,FN5+FN51,0)</f>
        <v>0</v>
      </c>
      <c r="FO54" s="6">
        <f>IF(Inputs!$E$8=2,FO5+FO51,0)</f>
        <v>0</v>
      </c>
      <c r="FP54" s="6">
        <f>IF(Inputs!$E$8=2,FP5+FP51,0)</f>
        <v>0</v>
      </c>
      <c r="FQ54" s="6">
        <f>IF(Inputs!$E$8=2,FQ5+FQ51,0)</f>
        <v>0</v>
      </c>
      <c r="FR54" s="6">
        <f>IF(Inputs!$E$8=2,FR5+FR51,0)</f>
        <v>0</v>
      </c>
      <c r="FS54" s="6">
        <f>IF(Inputs!$E$8=2,FS5+FS51,0)</f>
        <v>0</v>
      </c>
      <c r="FT54" s="6">
        <f>IF(Inputs!$E$8=2,FT5+FT51,0)</f>
        <v>0</v>
      </c>
      <c r="FU54" s="6">
        <f>IF(Inputs!$E$8=2,FU5+FU51,0)</f>
        <v>0</v>
      </c>
      <c r="FV54" s="6">
        <f>IF(Inputs!$E$8=2,FV5+FV51,0)</f>
        <v>0</v>
      </c>
      <c r="FW54" s="6">
        <f>IF(Inputs!$E$8=2,FW5+FW51,0)</f>
        <v>0</v>
      </c>
      <c r="FX54" s="6">
        <f>IF(Inputs!$E$8=2,FX5+FX51,0)</f>
        <v>0</v>
      </c>
      <c r="FY54" s="6">
        <f>IF(Inputs!$E$8=2,FY5+FY51,0)</f>
        <v>0</v>
      </c>
      <c r="FZ54" s="6">
        <f>IF(Inputs!$E$8=2,FZ5+FZ51,0)</f>
        <v>0</v>
      </c>
      <c r="GA54" s="6">
        <f>IF(Inputs!$E$8=2,GA5+GA51,0)</f>
        <v>0</v>
      </c>
      <c r="GB54" s="6">
        <f>IF(Inputs!$E$8=2,GB5+GB51,0)</f>
        <v>0</v>
      </c>
      <c r="GC54" s="6">
        <f>IF(Inputs!$E$8=2,GC5+GC51,0)</f>
        <v>0</v>
      </c>
      <c r="GD54" s="6">
        <f>IF(Inputs!$E$8=2,GD5+GD51,0)</f>
        <v>0</v>
      </c>
      <c r="GE54" s="6">
        <f>IF(Inputs!$E$8=2,GE5+GE51,0)</f>
        <v>0</v>
      </c>
      <c r="GF54" s="6">
        <f>IF(Inputs!$E$8=2,GF5+GF51,0)</f>
        <v>0</v>
      </c>
      <c r="GG54" s="6">
        <f>IF(Inputs!$E$8=2,GG5+GG51,0)</f>
        <v>0</v>
      </c>
      <c r="GH54" s="6">
        <f>IF(Inputs!$E$8=2,GH5+GH51,0)</f>
        <v>0</v>
      </c>
      <c r="GI54" s="6">
        <f>IF(Inputs!$E$8=2,GI5+GI51,0)</f>
        <v>0</v>
      </c>
      <c r="GJ54" s="6">
        <f>IF(Inputs!$E$8=2,GJ5+GJ51,0)</f>
        <v>0</v>
      </c>
      <c r="GK54" s="6">
        <f>IF(Inputs!$E$8=2,GK5+GK51,0)</f>
        <v>0</v>
      </c>
      <c r="GL54" s="6">
        <f>IF(Inputs!$E$8=2,GL5+GL51,0)</f>
        <v>0</v>
      </c>
      <c r="GM54" s="6">
        <f>IF(Inputs!$E$8=2,GM5+GM51,0)</f>
        <v>0</v>
      </c>
      <c r="GN54" s="6">
        <f>IF(Inputs!$E$8=2,GN5+GN51,0)</f>
        <v>0</v>
      </c>
      <c r="GO54" s="6">
        <f>IF(Inputs!$E$8=2,GO5+GO51,0)</f>
        <v>0</v>
      </c>
      <c r="GP54" s="6">
        <f>IF(Inputs!$E$8=2,GP5+GP51,0)</f>
        <v>0</v>
      </c>
      <c r="GQ54" s="6">
        <f>IF(Inputs!$E$8=2,GQ5+GQ51,0)</f>
        <v>0</v>
      </c>
      <c r="GR54" s="6">
        <f>IF(Inputs!$E$8=2,GR5+GR51,0)</f>
        <v>0</v>
      </c>
      <c r="GS54" s="6">
        <f>IF(Inputs!$E$8=2,GS5+GS51,0)</f>
        <v>0</v>
      </c>
      <c r="GT54" s="6">
        <f>IF(Inputs!$E$8=2,GT5+GT51,0)</f>
        <v>0</v>
      </c>
      <c r="GU54" s="6">
        <f>IF(Inputs!$E$8=2,GU5+GU51,0)</f>
        <v>0</v>
      </c>
      <c r="GV54" s="6">
        <f>IF(Inputs!$E$8=2,GV5+GV51,0)</f>
        <v>0</v>
      </c>
      <c r="GW54" s="6">
        <f>IF(Inputs!$E$8=2,GW5+GW51,0)</f>
        <v>0</v>
      </c>
      <c r="GX54" s="6">
        <f>IF(Inputs!$E$8=2,GX5+GX51,0)</f>
        <v>0</v>
      </c>
      <c r="GY54" s="6">
        <f>IF(Inputs!$E$8=2,GY5+GY51,0)</f>
        <v>0</v>
      </c>
      <c r="GZ54" s="6">
        <f>IF(Inputs!$E$8=2,GZ5+GZ51,0)</f>
        <v>0</v>
      </c>
      <c r="HA54" s="6">
        <f>IF(Inputs!$E$8=2,HA5+HA51,0)</f>
        <v>0</v>
      </c>
      <c r="HB54" s="6">
        <f>IF(Inputs!$E$8=2,HB5+HB51,0)</f>
        <v>0</v>
      </c>
      <c r="HC54" s="6">
        <f>IF(Inputs!$E$8=2,HC5+HC51,0)</f>
        <v>0</v>
      </c>
      <c r="HD54" s="6">
        <f>IF(Inputs!$E$8=2,HD5+HD51,0)</f>
        <v>0</v>
      </c>
      <c r="HE54" s="6">
        <f>IF(Inputs!$E$8=2,HE5+HE51,0)</f>
        <v>0</v>
      </c>
      <c r="HF54" s="6">
        <f>IF(Inputs!$E$8=2,HF5+HF51,0)</f>
        <v>0</v>
      </c>
      <c r="HG54" s="6">
        <f>IF(Inputs!$E$8=2,HG5+HG51,0)</f>
        <v>0</v>
      </c>
      <c r="HH54" s="6">
        <f>IF(Inputs!$E$8=2,HH5+HH51,0)</f>
        <v>0</v>
      </c>
      <c r="HI54" s="6">
        <f>IF(Inputs!$E$8=2,HI5+HI51,0)</f>
        <v>0</v>
      </c>
      <c r="HJ54" s="6">
        <f>IF(Inputs!$E$8=2,HJ5+HJ51,0)</f>
        <v>0</v>
      </c>
      <c r="HK54" s="6">
        <f>IF(Inputs!$E$8=2,HK5+HK51,0)</f>
        <v>0</v>
      </c>
      <c r="HL54" s="6">
        <f>IF(Inputs!$E$8=2,HL5+HL51,0)</f>
        <v>0</v>
      </c>
      <c r="HM54" s="6">
        <f>IF(Inputs!$E$8=2,HM5+HM51,0)</f>
        <v>0</v>
      </c>
      <c r="HN54" s="6">
        <f>IF(Inputs!$E$8=2,HN5+HN51,0)</f>
        <v>0</v>
      </c>
      <c r="HO54" s="6">
        <f>IF(Inputs!$E$8=2,HO5+HO51,0)</f>
        <v>0</v>
      </c>
      <c r="HP54" s="6">
        <f>IF(Inputs!$E$8=2,HP5+HP51,0)</f>
        <v>0</v>
      </c>
      <c r="HQ54" s="6">
        <f>IF(Inputs!$E$8=2,HQ5+HQ51,0)</f>
        <v>0</v>
      </c>
      <c r="HR54" s="6">
        <f>IF(Inputs!$E$8=2,HR5+HR51,0)</f>
        <v>0</v>
      </c>
      <c r="HS54" s="6">
        <f>IF(Inputs!$E$8=2,HS5+HS51,0)</f>
        <v>0</v>
      </c>
      <c r="HT54" s="6">
        <f>IF(Inputs!$E$8=2,HT5+HT51,0)</f>
        <v>0</v>
      </c>
      <c r="HU54" s="6">
        <f>IF(Inputs!$E$8=2,HU5+HU51,0)</f>
        <v>0</v>
      </c>
      <c r="HV54" s="6">
        <f>IF(Inputs!$E$8=2,HV5+HV51,0)</f>
        <v>0</v>
      </c>
      <c r="HW54" s="6">
        <f>IF(Inputs!$E$8=2,HW5+HW51,0)</f>
        <v>0</v>
      </c>
      <c r="HX54" s="6">
        <f>IF(Inputs!$E$8=2,HX5+HX51,0)</f>
        <v>0</v>
      </c>
      <c r="HY54" s="6">
        <f>IF(Inputs!$E$8=2,HY5+HY51,0)</f>
        <v>0</v>
      </c>
      <c r="HZ54" s="6">
        <f>IF(Inputs!$E$8=2,HZ5+HZ51,0)</f>
        <v>0</v>
      </c>
      <c r="IA54" s="6">
        <f>IF(Inputs!$E$8=2,IA5+IA51,0)</f>
        <v>0</v>
      </c>
      <c r="IB54" s="6">
        <f>IF(Inputs!$E$8=2,IB5+IB51,0)</f>
        <v>0</v>
      </c>
      <c r="IC54" s="6">
        <f>IF(Inputs!$E$8=2,IC5+IC51,0)</f>
        <v>0</v>
      </c>
      <c r="ID54" s="6">
        <f>IF(Inputs!$E$8=2,ID5+ID51,0)</f>
        <v>0</v>
      </c>
      <c r="IE54" s="6">
        <f>IF(Inputs!$E$8=2,IE5+IE51,0)</f>
        <v>0</v>
      </c>
      <c r="IF54" s="6">
        <f>IF(Inputs!$E$8=2,IF5+IF51,0)</f>
        <v>0</v>
      </c>
      <c r="IG54" s="6">
        <f>IF(Inputs!$E$8=2,IG5+IG51,0)</f>
        <v>0</v>
      </c>
      <c r="IH54" s="6">
        <f>IF(Inputs!$E$8=2,IH5+IH51,0)</f>
        <v>0</v>
      </c>
      <c r="II54" s="6">
        <f>IF(Inputs!$E$8=2,II5+II51,0)</f>
        <v>0</v>
      </c>
      <c r="IJ54" s="6">
        <f>IF(Inputs!$E$8=2,IJ5+IJ51,0)</f>
        <v>0</v>
      </c>
      <c r="IK54" s="6">
        <f>IF(Inputs!$E$8=2,IK5+IK51,0)</f>
        <v>0</v>
      </c>
      <c r="IL54" s="6">
        <f>IF(Inputs!$E$8=2,IL5+IL51,0)</f>
        <v>0</v>
      </c>
      <c r="IM54" s="6">
        <f>IF(Inputs!$E$8=2,IM5+IM51,0)</f>
        <v>0</v>
      </c>
      <c r="IN54" s="6">
        <f>IF(Inputs!$E$8=2,IN5+IN51,0)</f>
        <v>0</v>
      </c>
      <c r="IO54" s="6">
        <f>IF(Inputs!$E$8=2,IO5+IO51,0)</f>
        <v>0</v>
      </c>
      <c r="IP54" s="6">
        <f>IF(Inputs!$E$8=2,IP5+IP51,0)</f>
        <v>0</v>
      </c>
      <c r="IQ54" s="6">
        <f>IF(Inputs!$E$8=2,IQ5+IQ51,0)</f>
        <v>0</v>
      </c>
      <c r="IR54" s="6">
        <f>IF(Inputs!$E$8=2,IR5+IR51,0)</f>
        <v>0</v>
      </c>
      <c r="IS54" s="6">
        <f>IF(Inputs!$E$8=2,IS5+IS51,0)</f>
        <v>0</v>
      </c>
      <c r="IT54" s="6">
        <f>IF(Inputs!$E$8=2,IT5+IT51,0)</f>
        <v>0</v>
      </c>
      <c r="IU54" s="6">
        <f>IF(Inputs!$E$8=2,IU5+IU51,0)</f>
        <v>0</v>
      </c>
      <c r="IV54" s="6">
        <f>IF(Inputs!$E$8=2,IV5+IV51,0)</f>
        <v>0</v>
      </c>
      <c r="IW54" s="6">
        <f>IF(Inputs!$E$8=2,IW5+IW51,0)</f>
        <v>0</v>
      </c>
      <c r="IX54" s="6">
        <f>IF(Inputs!$E$8=2,IX5+IX51,0)</f>
        <v>0</v>
      </c>
      <c r="IY54" s="6">
        <f>IF(Inputs!$E$8=2,IY5+IY51,0)</f>
        <v>0</v>
      </c>
      <c r="IZ54" s="6">
        <f>IF(Inputs!$E$8=2,IZ5+IZ51,0)</f>
        <v>0</v>
      </c>
      <c r="JA54" s="6">
        <f>IF(Inputs!$E$8=2,JA5+JA51,0)</f>
        <v>0</v>
      </c>
      <c r="JB54" s="6">
        <f>IF(Inputs!$E$8=2,JB5+JB51,0)</f>
        <v>0</v>
      </c>
      <c r="JC54" s="6">
        <f>IF(Inputs!$E$8=2,JC5+JC51,0)</f>
        <v>0</v>
      </c>
      <c r="JD54" s="6">
        <f>IF(Inputs!$E$8=2,JD5+JD51,0)</f>
        <v>0</v>
      </c>
      <c r="JE54" s="6">
        <f>IF(Inputs!$E$8=2,JE5+JE51,0)</f>
        <v>0</v>
      </c>
      <c r="JF54" s="6">
        <f>IF(Inputs!$E$8=2,JF5+JF51,0)</f>
        <v>0</v>
      </c>
      <c r="JG54" s="6">
        <f>IF(Inputs!$E$8=2,JG5+JG51,0)</f>
        <v>0</v>
      </c>
      <c r="JH54" s="6">
        <f>IF(Inputs!$E$8=2,JH5+JH51,0)</f>
        <v>0</v>
      </c>
      <c r="JI54" s="6">
        <f>IF(Inputs!$E$8=2,JI5+JI51,0)</f>
        <v>0</v>
      </c>
      <c r="JJ54" s="6">
        <f>IF(Inputs!$E$8=2,JJ5+JJ51,0)</f>
        <v>0</v>
      </c>
      <c r="JK54" s="6">
        <f>IF(Inputs!$E$8=2,JK5+JK51,0)</f>
        <v>0</v>
      </c>
      <c r="JL54" s="6">
        <f>IF(Inputs!$E$8=2,JL5+JL51,0)</f>
        <v>0</v>
      </c>
      <c r="JM54" s="6">
        <f>IF(Inputs!$E$8=2,JM5+JM51,0)</f>
        <v>0</v>
      </c>
      <c r="JN54" s="6">
        <f>IF(Inputs!$E$8=2,JN5+JN51,0)</f>
        <v>0</v>
      </c>
      <c r="JO54" s="6">
        <f>IF(Inputs!$E$8=2,JO5+JO51,0)</f>
        <v>0</v>
      </c>
      <c r="JP54" s="6">
        <f>IF(Inputs!$E$8=2,JP5+JP51,0)</f>
        <v>0</v>
      </c>
      <c r="JQ54" s="6">
        <f>IF(Inputs!$E$8=2,JQ5+JQ51,0)</f>
        <v>0</v>
      </c>
      <c r="JR54" s="6">
        <f>IF(Inputs!$E$8=2,JR5+JR51,0)</f>
        <v>0</v>
      </c>
      <c r="JS54" s="6">
        <f>IF(Inputs!$E$8=2,JS5+JS51,0)</f>
        <v>0</v>
      </c>
      <c r="JT54" s="6">
        <f>IF(Inputs!$E$8=2,JT5+JT51,0)</f>
        <v>0</v>
      </c>
      <c r="JU54" s="6">
        <f>IF(Inputs!$E$8=2,JU5+JU51,0)</f>
        <v>0</v>
      </c>
      <c r="JV54" s="6">
        <f>IF(Inputs!$E$8=2,JV5+JV51,0)</f>
        <v>0</v>
      </c>
      <c r="JW54" s="6">
        <f>IF(Inputs!$E$8=2,JW5+JW51,0)</f>
        <v>0</v>
      </c>
      <c r="JX54" s="6">
        <f>IF(Inputs!$E$8=2,JX5+JX51,0)</f>
        <v>0</v>
      </c>
      <c r="JY54" s="6">
        <f>IF(Inputs!$E$8=2,JY5+JY51,0)</f>
        <v>0</v>
      </c>
      <c r="JZ54" s="6">
        <f>IF(Inputs!$E$8=2,JZ5+JZ51,0)</f>
        <v>0</v>
      </c>
      <c r="KA54" s="6">
        <f>IF(Inputs!$E$8=2,KA5+KA51,0)</f>
        <v>0</v>
      </c>
      <c r="KB54" s="6">
        <f>IF(Inputs!$E$8=2,KB5+KB51,0)</f>
        <v>0</v>
      </c>
      <c r="KC54" s="6">
        <f>IF(Inputs!$E$8=2,KC5+KC51,0)</f>
        <v>0</v>
      </c>
      <c r="KD54" s="6">
        <f>IF(Inputs!$E$8=2,KD5+KD51,0)</f>
        <v>0</v>
      </c>
      <c r="KE54" s="6">
        <f>IF(Inputs!$E$8=2,KE5+KE51,0)</f>
        <v>0</v>
      </c>
      <c r="KF54" s="6">
        <f>IF(Inputs!$E$8=2,KF5+KF51,0)</f>
        <v>0</v>
      </c>
      <c r="KG54" s="6">
        <f>IF(Inputs!$E$8=2,KG5+KG51,0)</f>
        <v>0</v>
      </c>
      <c r="KH54" s="6">
        <f>IF(Inputs!$E$8=2,KH5+KH51,0)</f>
        <v>0</v>
      </c>
      <c r="KI54" s="6">
        <f>IF(Inputs!$E$8=2,KI5+KI51,0)</f>
        <v>0</v>
      </c>
      <c r="KJ54" s="6">
        <f>IF(Inputs!$E$8=2,KJ5+KJ51,0)</f>
        <v>0</v>
      </c>
      <c r="KK54" s="6">
        <f>IF(Inputs!$E$8=2,KK5+KK51,0)</f>
        <v>0</v>
      </c>
      <c r="KL54" s="6">
        <f>IF(Inputs!$E$8=2,KL5+KL51,0)</f>
        <v>0</v>
      </c>
      <c r="KM54" s="6">
        <f>IF(Inputs!$E$8=2,KM5+KM51,0)</f>
        <v>0</v>
      </c>
      <c r="KN54" s="6">
        <f>IF(Inputs!$E$8=2,KN5+KN51,0)</f>
        <v>0</v>
      </c>
      <c r="KO54" s="6">
        <f>IF(Inputs!$E$8=2,KO5+KO51,0)</f>
        <v>0</v>
      </c>
      <c r="KP54" s="6">
        <f>IF(Inputs!$E$8=2,KP5+KP51,0)</f>
        <v>0</v>
      </c>
      <c r="KQ54" s="6">
        <f>IF(Inputs!$E$8=2,KQ5+KQ51,0)</f>
        <v>0</v>
      </c>
      <c r="KR54" s="6">
        <f>IF(Inputs!$E$8=2,KR5+KR51,0)</f>
        <v>0</v>
      </c>
      <c r="KS54" s="6">
        <f>IF(Inputs!$E$8=2,KS5+KS51,0)</f>
        <v>0</v>
      </c>
    </row>
    <row r="56" spans="2:305">
      <c r="B56" s="3" t="s">
        <v>13</v>
      </c>
    </row>
    <row r="57" spans="2:305">
      <c r="B57" s="17" t="s">
        <v>56</v>
      </c>
      <c r="C57" s="12">
        <f>IF(Inputs!$E$8=2,Inputs!J16,0)</f>
        <v>0</v>
      </c>
      <c r="D57" s="6"/>
      <c r="E57" s="6">
        <f>E54*$C$57</f>
        <v>0</v>
      </c>
      <c r="F57" s="6">
        <f t="shared" ref="F57:BQ57" si="89">F54*$C$57</f>
        <v>0</v>
      </c>
      <c r="G57" s="6">
        <f t="shared" si="89"/>
        <v>0</v>
      </c>
      <c r="H57" s="6">
        <f t="shared" si="89"/>
        <v>0</v>
      </c>
      <c r="I57" s="6">
        <f t="shared" si="89"/>
        <v>0</v>
      </c>
      <c r="J57" s="6">
        <f t="shared" si="89"/>
        <v>0</v>
      </c>
      <c r="K57" s="6">
        <f t="shared" si="89"/>
        <v>0</v>
      </c>
      <c r="L57" s="6">
        <f t="shared" si="89"/>
        <v>0</v>
      </c>
      <c r="M57" s="6">
        <f t="shared" si="89"/>
        <v>0</v>
      </c>
      <c r="N57" s="6">
        <f t="shared" si="89"/>
        <v>0</v>
      </c>
      <c r="O57" s="6">
        <f t="shared" si="89"/>
        <v>0</v>
      </c>
      <c r="P57" s="6">
        <f t="shared" si="89"/>
        <v>0</v>
      </c>
      <c r="Q57" s="6">
        <f t="shared" si="89"/>
        <v>0</v>
      </c>
      <c r="R57" s="6">
        <f t="shared" si="89"/>
        <v>0</v>
      </c>
      <c r="S57" s="6">
        <f t="shared" si="89"/>
        <v>0</v>
      </c>
      <c r="T57" s="6">
        <f t="shared" si="89"/>
        <v>0</v>
      </c>
      <c r="U57" s="6">
        <f t="shared" si="89"/>
        <v>0</v>
      </c>
      <c r="V57" s="6">
        <f t="shared" si="89"/>
        <v>0</v>
      </c>
      <c r="W57" s="6">
        <f t="shared" si="89"/>
        <v>0</v>
      </c>
      <c r="X57" s="6">
        <f t="shared" si="89"/>
        <v>0</v>
      </c>
      <c r="Y57" s="6">
        <f t="shared" si="89"/>
        <v>0</v>
      </c>
      <c r="Z57" s="6">
        <f t="shared" si="89"/>
        <v>0</v>
      </c>
      <c r="AA57" s="6">
        <f t="shared" si="89"/>
        <v>0</v>
      </c>
      <c r="AB57" s="6">
        <f t="shared" si="89"/>
        <v>0</v>
      </c>
      <c r="AC57" s="6">
        <f t="shared" si="89"/>
        <v>0</v>
      </c>
      <c r="AD57" s="6">
        <f t="shared" si="89"/>
        <v>0</v>
      </c>
      <c r="AE57" s="6">
        <f t="shared" si="89"/>
        <v>0</v>
      </c>
      <c r="AF57" s="6">
        <f t="shared" si="89"/>
        <v>0</v>
      </c>
      <c r="AG57" s="6">
        <f t="shared" si="89"/>
        <v>0</v>
      </c>
      <c r="AH57" s="6">
        <f t="shared" si="89"/>
        <v>0</v>
      </c>
      <c r="AI57" s="6">
        <f t="shared" si="89"/>
        <v>0</v>
      </c>
      <c r="AJ57" s="6">
        <f t="shared" si="89"/>
        <v>0</v>
      </c>
      <c r="AK57" s="6">
        <f t="shared" si="89"/>
        <v>0</v>
      </c>
      <c r="AL57" s="6">
        <f t="shared" si="89"/>
        <v>0</v>
      </c>
      <c r="AM57" s="6">
        <f t="shared" si="89"/>
        <v>0</v>
      </c>
      <c r="AN57" s="6">
        <f t="shared" si="89"/>
        <v>0</v>
      </c>
      <c r="AO57" s="6">
        <f t="shared" si="89"/>
        <v>0</v>
      </c>
      <c r="AP57" s="6">
        <f t="shared" si="89"/>
        <v>0</v>
      </c>
      <c r="AQ57" s="6">
        <f t="shared" si="89"/>
        <v>0</v>
      </c>
      <c r="AR57" s="6">
        <f t="shared" si="89"/>
        <v>0</v>
      </c>
      <c r="AS57" s="6">
        <f t="shared" si="89"/>
        <v>0</v>
      </c>
      <c r="AT57" s="6">
        <f t="shared" si="89"/>
        <v>0</v>
      </c>
      <c r="AU57" s="6">
        <f t="shared" si="89"/>
        <v>0</v>
      </c>
      <c r="AV57" s="6">
        <f t="shared" si="89"/>
        <v>0</v>
      </c>
      <c r="AW57" s="6">
        <f t="shared" si="89"/>
        <v>0</v>
      </c>
      <c r="AX57" s="6">
        <f t="shared" si="89"/>
        <v>0</v>
      </c>
      <c r="AY57" s="6">
        <f t="shared" si="89"/>
        <v>0</v>
      </c>
      <c r="AZ57" s="6">
        <f t="shared" si="89"/>
        <v>0</v>
      </c>
      <c r="BA57" s="6">
        <f t="shared" si="89"/>
        <v>0</v>
      </c>
      <c r="BB57" s="6">
        <f t="shared" si="89"/>
        <v>0</v>
      </c>
      <c r="BC57" s="6">
        <f t="shared" si="89"/>
        <v>0</v>
      </c>
      <c r="BD57" s="6">
        <f t="shared" si="89"/>
        <v>0</v>
      </c>
      <c r="BE57" s="6">
        <f t="shared" si="89"/>
        <v>0</v>
      </c>
      <c r="BF57" s="6">
        <f t="shared" si="89"/>
        <v>0</v>
      </c>
      <c r="BG57" s="6">
        <f t="shared" si="89"/>
        <v>0</v>
      </c>
      <c r="BH57" s="6">
        <f t="shared" si="89"/>
        <v>0</v>
      </c>
      <c r="BI57" s="6">
        <f t="shared" si="89"/>
        <v>0</v>
      </c>
      <c r="BJ57" s="6">
        <f t="shared" si="89"/>
        <v>0</v>
      </c>
      <c r="BK57" s="6">
        <f t="shared" si="89"/>
        <v>0</v>
      </c>
      <c r="BL57" s="6">
        <f t="shared" si="89"/>
        <v>0</v>
      </c>
      <c r="BM57" s="6">
        <f t="shared" si="89"/>
        <v>0</v>
      </c>
      <c r="BN57" s="6">
        <f t="shared" si="89"/>
        <v>0</v>
      </c>
      <c r="BO57" s="6">
        <f t="shared" si="89"/>
        <v>0</v>
      </c>
      <c r="BP57" s="6">
        <f t="shared" si="89"/>
        <v>0</v>
      </c>
      <c r="BQ57" s="6">
        <f t="shared" si="89"/>
        <v>0</v>
      </c>
      <c r="BR57" s="6">
        <f t="shared" ref="BR57:EC57" si="90">BR54*$C$57</f>
        <v>0</v>
      </c>
      <c r="BS57" s="6">
        <f t="shared" si="90"/>
        <v>0</v>
      </c>
      <c r="BT57" s="6">
        <f t="shared" si="90"/>
        <v>0</v>
      </c>
      <c r="BU57" s="6">
        <f t="shared" si="90"/>
        <v>0</v>
      </c>
      <c r="BV57" s="6">
        <f t="shared" si="90"/>
        <v>0</v>
      </c>
      <c r="BW57" s="6">
        <f t="shared" si="90"/>
        <v>0</v>
      </c>
      <c r="BX57" s="6">
        <f t="shared" si="90"/>
        <v>0</v>
      </c>
      <c r="BY57" s="6">
        <f t="shared" si="90"/>
        <v>0</v>
      </c>
      <c r="BZ57" s="6">
        <f t="shared" si="90"/>
        <v>0</v>
      </c>
      <c r="CA57" s="6">
        <f t="shared" si="90"/>
        <v>0</v>
      </c>
      <c r="CB57" s="6">
        <f t="shared" si="90"/>
        <v>0</v>
      </c>
      <c r="CC57" s="6">
        <f t="shared" si="90"/>
        <v>0</v>
      </c>
      <c r="CD57" s="6">
        <f t="shared" si="90"/>
        <v>0</v>
      </c>
      <c r="CE57" s="6">
        <f t="shared" si="90"/>
        <v>0</v>
      </c>
      <c r="CF57" s="6">
        <f t="shared" si="90"/>
        <v>0</v>
      </c>
      <c r="CG57" s="6">
        <f t="shared" si="90"/>
        <v>0</v>
      </c>
      <c r="CH57" s="6">
        <f t="shared" si="90"/>
        <v>0</v>
      </c>
      <c r="CI57" s="6">
        <f t="shared" si="90"/>
        <v>0</v>
      </c>
      <c r="CJ57" s="6">
        <f t="shared" si="90"/>
        <v>0</v>
      </c>
      <c r="CK57" s="6">
        <f t="shared" si="90"/>
        <v>0</v>
      </c>
      <c r="CL57" s="6">
        <f t="shared" si="90"/>
        <v>0</v>
      </c>
      <c r="CM57" s="6">
        <f t="shared" si="90"/>
        <v>0</v>
      </c>
      <c r="CN57" s="6">
        <f t="shared" si="90"/>
        <v>0</v>
      </c>
      <c r="CO57" s="6">
        <f t="shared" si="90"/>
        <v>0</v>
      </c>
      <c r="CP57" s="6">
        <f t="shared" si="90"/>
        <v>0</v>
      </c>
      <c r="CQ57" s="6">
        <f t="shared" si="90"/>
        <v>0</v>
      </c>
      <c r="CR57" s="6">
        <f t="shared" si="90"/>
        <v>0</v>
      </c>
      <c r="CS57" s="6">
        <f t="shared" si="90"/>
        <v>0</v>
      </c>
      <c r="CT57" s="6">
        <f t="shared" si="90"/>
        <v>0</v>
      </c>
      <c r="CU57" s="6">
        <f t="shared" si="90"/>
        <v>0</v>
      </c>
      <c r="CV57" s="6">
        <f t="shared" si="90"/>
        <v>0</v>
      </c>
      <c r="CW57" s="6">
        <f t="shared" si="90"/>
        <v>0</v>
      </c>
      <c r="CX57" s="6">
        <f t="shared" si="90"/>
        <v>0</v>
      </c>
      <c r="CY57" s="6">
        <f t="shared" si="90"/>
        <v>0</v>
      </c>
      <c r="CZ57" s="6">
        <f t="shared" si="90"/>
        <v>0</v>
      </c>
      <c r="DA57" s="6">
        <f t="shared" si="90"/>
        <v>0</v>
      </c>
      <c r="DB57" s="6">
        <f t="shared" si="90"/>
        <v>0</v>
      </c>
      <c r="DC57" s="6">
        <f t="shared" si="90"/>
        <v>0</v>
      </c>
      <c r="DD57" s="6">
        <f t="shared" si="90"/>
        <v>0</v>
      </c>
      <c r="DE57" s="6">
        <f t="shared" si="90"/>
        <v>0</v>
      </c>
      <c r="DF57" s="6">
        <f t="shared" si="90"/>
        <v>0</v>
      </c>
      <c r="DG57" s="6">
        <f t="shared" si="90"/>
        <v>0</v>
      </c>
      <c r="DH57" s="6">
        <f t="shared" si="90"/>
        <v>0</v>
      </c>
      <c r="DI57" s="6">
        <f t="shared" si="90"/>
        <v>0</v>
      </c>
      <c r="DJ57" s="6">
        <f t="shared" si="90"/>
        <v>0</v>
      </c>
      <c r="DK57" s="6">
        <f t="shared" si="90"/>
        <v>0</v>
      </c>
      <c r="DL57" s="6">
        <f t="shared" si="90"/>
        <v>0</v>
      </c>
      <c r="DM57" s="6">
        <f t="shared" si="90"/>
        <v>0</v>
      </c>
      <c r="DN57" s="6">
        <f t="shared" si="90"/>
        <v>0</v>
      </c>
      <c r="DO57" s="6">
        <f t="shared" si="90"/>
        <v>0</v>
      </c>
      <c r="DP57" s="6">
        <f t="shared" si="90"/>
        <v>0</v>
      </c>
      <c r="DQ57" s="6">
        <f t="shared" si="90"/>
        <v>0</v>
      </c>
      <c r="DR57" s="6">
        <f t="shared" si="90"/>
        <v>0</v>
      </c>
      <c r="DS57" s="6">
        <f t="shared" si="90"/>
        <v>0</v>
      </c>
      <c r="DT57" s="6">
        <f t="shared" si="90"/>
        <v>0</v>
      </c>
      <c r="DU57" s="6">
        <f t="shared" si="90"/>
        <v>0</v>
      </c>
      <c r="DV57" s="6">
        <f t="shared" si="90"/>
        <v>0</v>
      </c>
      <c r="DW57" s="6">
        <f t="shared" si="90"/>
        <v>0</v>
      </c>
      <c r="DX57" s="6">
        <f t="shared" si="90"/>
        <v>0</v>
      </c>
      <c r="DY57" s="6">
        <f t="shared" si="90"/>
        <v>0</v>
      </c>
      <c r="DZ57" s="6">
        <f t="shared" si="90"/>
        <v>0</v>
      </c>
      <c r="EA57" s="6">
        <f t="shared" si="90"/>
        <v>0</v>
      </c>
      <c r="EB57" s="6">
        <f t="shared" si="90"/>
        <v>0</v>
      </c>
      <c r="EC57" s="6">
        <f t="shared" si="90"/>
        <v>0</v>
      </c>
      <c r="ED57" s="6">
        <f t="shared" ref="ED57:GO57" si="91">ED54*$C$57</f>
        <v>0</v>
      </c>
      <c r="EE57" s="6">
        <f t="shared" si="91"/>
        <v>0</v>
      </c>
      <c r="EF57" s="6">
        <f t="shared" si="91"/>
        <v>0</v>
      </c>
      <c r="EG57" s="6">
        <f t="shared" si="91"/>
        <v>0</v>
      </c>
      <c r="EH57" s="6">
        <f t="shared" si="91"/>
        <v>0</v>
      </c>
      <c r="EI57" s="6">
        <f t="shared" si="91"/>
        <v>0</v>
      </c>
      <c r="EJ57" s="6">
        <f t="shared" si="91"/>
        <v>0</v>
      </c>
      <c r="EK57" s="6">
        <f t="shared" si="91"/>
        <v>0</v>
      </c>
      <c r="EL57" s="6">
        <f t="shared" si="91"/>
        <v>0</v>
      </c>
      <c r="EM57" s="6">
        <f t="shared" si="91"/>
        <v>0</v>
      </c>
      <c r="EN57" s="6">
        <f t="shared" si="91"/>
        <v>0</v>
      </c>
      <c r="EO57" s="6">
        <f t="shared" si="91"/>
        <v>0</v>
      </c>
      <c r="EP57" s="6">
        <f t="shared" si="91"/>
        <v>0</v>
      </c>
      <c r="EQ57" s="6">
        <f t="shared" si="91"/>
        <v>0</v>
      </c>
      <c r="ER57" s="6">
        <f t="shared" si="91"/>
        <v>0</v>
      </c>
      <c r="ES57" s="6">
        <f t="shared" si="91"/>
        <v>0</v>
      </c>
      <c r="ET57" s="6">
        <f t="shared" si="91"/>
        <v>0</v>
      </c>
      <c r="EU57" s="6">
        <f t="shared" si="91"/>
        <v>0</v>
      </c>
      <c r="EV57" s="6">
        <f t="shared" si="91"/>
        <v>0</v>
      </c>
      <c r="EW57" s="6">
        <f t="shared" si="91"/>
        <v>0</v>
      </c>
      <c r="EX57" s="6">
        <f t="shared" si="91"/>
        <v>0</v>
      </c>
      <c r="EY57" s="6">
        <f t="shared" si="91"/>
        <v>0</v>
      </c>
      <c r="EZ57" s="6">
        <f t="shared" si="91"/>
        <v>0</v>
      </c>
      <c r="FA57" s="6">
        <f t="shared" si="91"/>
        <v>0</v>
      </c>
      <c r="FB57" s="6">
        <f t="shared" si="91"/>
        <v>0</v>
      </c>
      <c r="FC57" s="6">
        <f t="shared" si="91"/>
        <v>0</v>
      </c>
      <c r="FD57" s="6">
        <f t="shared" si="91"/>
        <v>0</v>
      </c>
      <c r="FE57" s="6">
        <f t="shared" si="91"/>
        <v>0</v>
      </c>
      <c r="FF57" s="6">
        <f t="shared" si="91"/>
        <v>0</v>
      </c>
      <c r="FG57" s="6">
        <f t="shared" si="91"/>
        <v>0</v>
      </c>
      <c r="FH57" s="6">
        <f t="shared" si="91"/>
        <v>0</v>
      </c>
      <c r="FI57" s="6">
        <f t="shared" si="91"/>
        <v>0</v>
      </c>
      <c r="FJ57" s="6">
        <f t="shared" si="91"/>
        <v>0</v>
      </c>
      <c r="FK57" s="6">
        <f t="shared" si="91"/>
        <v>0</v>
      </c>
      <c r="FL57" s="6">
        <f t="shared" si="91"/>
        <v>0</v>
      </c>
      <c r="FM57" s="6">
        <f t="shared" si="91"/>
        <v>0</v>
      </c>
      <c r="FN57" s="6">
        <f t="shared" si="91"/>
        <v>0</v>
      </c>
      <c r="FO57" s="6">
        <f t="shared" si="91"/>
        <v>0</v>
      </c>
      <c r="FP57" s="6">
        <f t="shared" si="91"/>
        <v>0</v>
      </c>
      <c r="FQ57" s="6">
        <f t="shared" si="91"/>
        <v>0</v>
      </c>
      <c r="FR57" s="6">
        <f t="shared" si="91"/>
        <v>0</v>
      </c>
      <c r="FS57" s="6">
        <f t="shared" si="91"/>
        <v>0</v>
      </c>
      <c r="FT57" s="6">
        <f t="shared" si="91"/>
        <v>0</v>
      </c>
      <c r="FU57" s="6">
        <f t="shared" si="91"/>
        <v>0</v>
      </c>
      <c r="FV57" s="6">
        <f t="shared" si="91"/>
        <v>0</v>
      </c>
      <c r="FW57" s="6">
        <f t="shared" si="91"/>
        <v>0</v>
      </c>
      <c r="FX57" s="6">
        <f t="shared" si="91"/>
        <v>0</v>
      </c>
      <c r="FY57" s="6">
        <f t="shared" si="91"/>
        <v>0</v>
      </c>
      <c r="FZ57" s="6">
        <f t="shared" si="91"/>
        <v>0</v>
      </c>
      <c r="GA57" s="6">
        <f t="shared" si="91"/>
        <v>0</v>
      </c>
      <c r="GB57" s="6">
        <f t="shared" si="91"/>
        <v>0</v>
      </c>
      <c r="GC57" s="6">
        <f t="shared" si="91"/>
        <v>0</v>
      </c>
      <c r="GD57" s="6">
        <f t="shared" si="91"/>
        <v>0</v>
      </c>
      <c r="GE57" s="6">
        <f t="shared" si="91"/>
        <v>0</v>
      </c>
      <c r="GF57" s="6">
        <f t="shared" si="91"/>
        <v>0</v>
      </c>
      <c r="GG57" s="6">
        <f t="shared" si="91"/>
        <v>0</v>
      </c>
      <c r="GH57" s="6">
        <f t="shared" si="91"/>
        <v>0</v>
      </c>
      <c r="GI57" s="6">
        <f t="shared" si="91"/>
        <v>0</v>
      </c>
      <c r="GJ57" s="6">
        <f t="shared" si="91"/>
        <v>0</v>
      </c>
      <c r="GK57" s="6">
        <f t="shared" si="91"/>
        <v>0</v>
      </c>
      <c r="GL57" s="6">
        <f t="shared" si="91"/>
        <v>0</v>
      </c>
      <c r="GM57" s="6">
        <f t="shared" si="91"/>
        <v>0</v>
      </c>
      <c r="GN57" s="6">
        <f t="shared" si="91"/>
        <v>0</v>
      </c>
      <c r="GO57" s="6">
        <f t="shared" si="91"/>
        <v>0</v>
      </c>
      <c r="GP57" s="6">
        <f t="shared" ref="GP57:JA57" si="92">GP54*$C$57</f>
        <v>0</v>
      </c>
      <c r="GQ57" s="6">
        <f t="shared" si="92"/>
        <v>0</v>
      </c>
      <c r="GR57" s="6">
        <f t="shared" si="92"/>
        <v>0</v>
      </c>
      <c r="GS57" s="6">
        <f t="shared" si="92"/>
        <v>0</v>
      </c>
      <c r="GT57" s="6">
        <f t="shared" si="92"/>
        <v>0</v>
      </c>
      <c r="GU57" s="6">
        <f t="shared" si="92"/>
        <v>0</v>
      </c>
      <c r="GV57" s="6">
        <f t="shared" si="92"/>
        <v>0</v>
      </c>
      <c r="GW57" s="6">
        <f t="shared" si="92"/>
        <v>0</v>
      </c>
      <c r="GX57" s="6">
        <f t="shared" si="92"/>
        <v>0</v>
      </c>
      <c r="GY57" s="6">
        <f t="shared" si="92"/>
        <v>0</v>
      </c>
      <c r="GZ57" s="6">
        <f t="shared" si="92"/>
        <v>0</v>
      </c>
      <c r="HA57" s="6">
        <f t="shared" si="92"/>
        <v>0</v>
      </c>
      <c r="HB57" s="6">
        <f t="shared" si="92"/>
        <v>0</v>
      </c>
      <c r="HC57" s="6">
        <f t="shared" si="92"/>
        <v>0</v>
      </c>
      <c r="HD57" s="6">
        <f t="shared" si="92"/>
        <v>0</v>
      </c>
      <c r="HE57" s="6">
        <f t="shared" si="92"/>
        <v>0</v>
      </c>
      <c r="HF57" s="6">
        <f t="shared" si="92"/>
        <v>0</v>
      </c>
      <c r="HG57" s="6">
        <f t="shared" si="92"/>
        <v>0</v>
      </c>
      <c r="HH57" s="6">
        <f t="shared" si="92"/>
        <v>0</v>
      </c>
      <c r="HI57" s="6">
        <f t="shared" si="92"/>
        <v>0</v>
      </c>
      <c r="HJ57" s="6">
        <f t="shared" si="92"/>
        <v>0</v>
      </c>
      <c r="HK57" s="6">
        <f t="shared" si="92"/>
        <v>0</v>
      </c>
      <c r="HL57" s="6">
        <f t="shared" si="92"/>
        <v>0</v>
      </c>
      <c r="HM57" s="6">
        <f t="shared" si="92"/>
        <v>0</v>
      </c>
      <c r="HN57" s="6">
        <f t="shared" si="92"/>
        <v>0</v>
      </c>
      <c r="HO57" s="6">
        <f t="shared" si="92"/>
        <v>0</v>
      </c>
      <c r="HP57" s="6">
        <f t="shared" si="92"/>
        <v>0</v>
      </c>
      <c r="HQ57" s="6">
        <f t="shared" si="92"/>
        <v>0</v>
      </c>
      <c r="HR57" s="6">
        <f t="shared" si="92"/>
        <v>0</v>
      </c>
      <c r="HS57" s="6">
        <f t="shared" si="92"/>
        <v>0</v>
      </c>
      <c r="HT57" s="6">
        <f t="shared" si="92"/>
        <v>0</v>
      </c>
      <c r="HU57" s="6">
        <f t="shared" si="92"/>
        <v>0</v>
      </c>
      <c r="HV57" s="6">
        <f t="shared" si="92"/>
        <v>0</v>
      </c>
      <c r="HW57" s="6">
        <f t="shared" si="92"/>
        <v>0</v>
      </c>
      <c r="HX57" s="6">
        <f t="shared" si="92"/>
        <v>0</v>
      </c>
      <c r="HY57" s="6">
        <f t="shared" si="92"/>
        <v>0</v>
      </c>
      <c r="HZ57" s="6">
        <f t="shared" si="92"/>
        <v>0</v>
      </c>
      <c r="IA57" s="6">
        <f t="shared" si="92"/>
        <v>0</v>
      </c>
      <c r="IB57" s="6">
        <f t="shared" si="92"/>
        <v>0</v>
      </c>
      <c r="IC57" s="6">
        <f t="shared" si="92"/>
        <v>0</v>
      </c>
      <c r="ID57" s="6">
        <f t="shared" si="92"/>
        <v>0</v>
      </c>
      <c r="IE57" s="6">
        <f t="shared" si="92"/>
        <v>0</v>
      </c>
      <c r="IF57" s="6">
        <f t="shared" si="92"/>
        <v>0</v>
      </c>
      <c r="IG57" s="6">
        <f t="shared" si="92"/>
        <v>0</v>
      </c>
      <c r="IH57" s="6">
        <f t="shared" si="92"/>
        <v>0</v>
      </c>
      <c r="II57" s="6">
        <f t="shared" si="92"/>
        <v>0</v>
      </c>
      <c r="IJ57" s="6">
        <f t="shared" si="92"/>
        <v>0</v>
      </c>
      <c r="IK57" s="6">
        <f t="shared" si="92"/>
        <v>0</v>
      </c>
      <c r="IL57" s="6">
        <f t="shared" si="92"/>
        <v>0</v>
      </c>
      <c r="IM57" s="6">
        <f t="shared" si="92"/>
        <v>0</v>
      </c>
      <c r="IN57" s="6">
        <f t="shared" si="92"/>
        <v>0</v>
      </c>
      <c r="IO57" s="6">
        <f t="shared" si="92"/>
        <v>0</v>
      </c>
      <c r="IP57" s="6">
        <f t="shared" si="92"/>
        <v>0</v>
      </c>
      <c r="IQ57" s="6">
        <f t="shared" si="92"/>
        <v>0</v>
      </c>
      <c r="IR57" s="6">
        <f t="shared" si="92"/>
        <v>0</v>
      </c>
      <c r="IS57" s="6">
        <f t="shared" si="92"/>
        <v>0</v>
      </c>
      <c r="IT57" s="6">
        <f t="shared" si="92"/>
        <v>0</v>
      </c>
      <c r="IU57" s="6">
        <f t="shared" si="92"/>
        <v>0</v>
      </c>
      <c r="IV57" s="6">
        <f t="shared" si="92"/>
        <v>0</v>
      </c>
      <c r="IW57" s="6">
        <f t="shared" si="92"/>
        <v>0</v>
      </c>
      <c r="IX57" s="6">
        <f t="shared" si="92"/>
        <v>0</v>
      </c>
      <c r="IY57" s="6">
        <f t="shared" si="92"/>
        <v>0</v>
      </c>
      <c r="IZ57" s="6">
        <f t="shared" si="92"/>
        <v>0</v>
      </c>
      <c r="JA57" s="6">
        <f t="shared" si="92"/>
        <v>0</v>
      </c>
      <c r="JB57" s="6">
        <f t="shared" ref="JB57:KS57" si="93">JB54*$C$57</f>
        <v>0</v>
      </c>
      <c r="JC57" s="6">
        <f t="shared" si="93"/>
        <v>0</v>
      </c>
      <c r="JD57" s="6">
        <f t="shared" si="93"/>
        <v>0</v>
      </c>
      <c r="JE57" s="6">
        <f t="shared" si="93"/>
        <v>0</v>
      </c>
      <c r="JF57" s="6">
        <f t="shared" si="93"/>
        <v>0</v>
      </c>
      <c r="JG57" s="6">
        <f t="shared" si="93"/>
        <v>0</v>
      </c>
      <c r="JH57" s="6">
        <f t="shared" si="93"/>
        <v>0</v>
      </c>
      <c r="JI57" s="6">
        <f t="shared" si="93"/>
        <v>0</v>
      </c>
      <c r="JJ57" s="6">
        <f t="shared" si="93"/>
        <v>0</v>
      </c>
      <c r="JK57" s="6">
        <f t="shared" si="93"/>
        <v>0</v>
      </c>
      <c r="JL57" s="6">
        <f t="shared" si="93"/>
        <v>0</v>
      </c>
      <c r="JM57" s="6">
        <f t="shared" si="93"/>
        <v>0</v>
      </c>
      <c r="JN57" s="6">
        <f t="shared" si="93"/>
        <v>0</v>
      </c>
      <c r="JO57" s="6">
        <f t="shared" si="93"/>
        <v>0</v>
      </c>
      <c r="JP57" s="6">
        <f t="shared" si="93"/>
        <v>0</v>
      </c>
      <c r="JQ57" s="6">
        <f t="shared" si="93"/>
        <v>0</v>
      </c>
      <c r="JR57" s="6">
        <f t="shared" si="93"/>
        <v>0</v>
      </c>
      <c r="JS57" s="6">
        <f t="shared" si="93"/>
        <v>0</v>
      </c>
      <c r="JT57" s="6">
        <f t="shared" si="93"/>
        <v>0</v>
      </c>
      <c r="JU57" s="6">
        <f t="shared" si="93"/>
        <v>0</v>
      </c>
      <c r="JV57" s="6">
        <f t="shared" si="93"/>
        <v>0</v>
      </c>
      <c r="JW57" s="6">
        <f t="shared" si="93"/>
        <v>0</v>
      </c>
      <c r="JX57" s="6">
        <f t="shared" si="93"/>
        <v>0</v>
      </c>
      <c r="JY57" s="6">
        <f t="shared" si="93"/>
        <v>0</v>
      </c>
      <c r="JZ57" s="6">
        <f t="shared" si="93"/>
        <v>0</v>
      </c>
      <c r="KA57" s="6">
        <f t="shared" si="93"/>
        <v>0</v>
      </c>
      <c r="KB57" s="6">
        <f t="shared" si="93"/>
        <v>0</v>
      </c>
      <c r="KC57" s="6">
        <f t="shared" si="93"/>
        <v>0</v>
      </c>
      <c r="KD57" s="6">
        <f t="shared" si="93"/>
        <v>0</v>
      </c>
      <c r="KE57" s="6">
        <f t="shared" si="93"/>
        <v>0</v>
      </c>
      <c r="KF57" s="6">
        <f t="shared" si="93"/>
        <v>0</v>
      </c>
      <c r="KG57" s="6">
        <f t="shared" si="93"/>
        <v>0</v>
      </c>
      <c r="KH57" s="6">
        <f t="shared" si="93"/>
        <v>0</v>
      </c>
      <c r="KI57" s="6">
        <f t="shared" si="93"/>
        <v>0</v>
      </c>
      <c r="KJ57" s="6">
        <f t="shared" si="93"/>
        <v>0</v>
      </c>
      <c r="KK57" s="6">
        <f t="shared" si="93"/>
        <v>0</v>
      </c>
      <c r="KL57" s="6">
        <f t="shared" si="93"/>
        <v>0</v>
      </c>
      <c r="KM57" s="6">
        <f t="shared" si="93"/>
        <v>0</v>
      </c>
      <c r="KN57" s="6">
        <f t="shared" si="93"/>
        <v>0</v>
      </c>
      <c r="KO57" s="6">
        <f t="shared" si="93"/>
        <v>0</v>
      </c>
      <c r="KP57" s="6">
        <f t="shared" si="93"/>
        <v>0</v>
      </c>
      <c r="KQ57" s="6">
        <f t="shared" si="93"/>
        <v>0</v>
      </c>
      <c r="KR57" s="6">
        <f t="shared" si="93"/>
        <v>0</v>
      </c>
      <c r="KS57" s="6">
        <f t="shared" si="93"/>
        <v>0</v>
      </c>
    </row>
    <row r="58" spans="2:305">
      <c r="B58" s="17" t="s">
        <v>57</v>
      </c>
      <c r="C58" s="12">
        <f>IF(Inputs!$E$8=2,Inputs!J17,0)</f>
        <v>0</v>
      </c>
      <c r="E58" s="6">
        <f>E54*$C$58</f>
        <v>0</v>
      </c>
      <c r="F58" s="6">
        <f t="shared" ref="F58:BQ58" si="94">F54*$C$58</f>
        <v>0</v>
      </c>
      <c r="G58" s="6">
        <f t="shared" si="94"/>
        <v>0</v>
      </c>
      <c r="H58" s="6">
        <f t="shared" si="94"/>
        <v>0</v>
      </c>
      <c r="I58" s="6">
        <f t="shared" si="94"/>
        <v>0</v>
      </c>
      <c r="J58" s="6">
        <f t="shared" si="94"/>
        <v>0</v>
      </c>
      <c r="K58" s="6">
        <f t="shared" si="94"/>
        <v>0</v>
      </c>
      <c r="L58" s="6">
        <f t="shared" si="94"/>
        <v>0</v>
      </c>
      <c r="M58" s="6">
        <f t="shared" si="94"/>
        <v>0</v>
      </c>
      <c r="N58" s="6">
        <f t="shared" si="94"/>
        <v>0</v>
      </c>
      <c r="O58" s="6">
        <f t="shared" si="94"/>
        <v>0</v>
      </c>
      <c r="P58" s="6">
        <f t="shared" si="94"/>
        <v>0</v>
      </c>
      <c r="Q58" s="6">
        <f t="shared" si="94"/>
        <v>0</v>
      </c>
      <c r="R58" s="6">
        <f t="shared" si="94"/>
        <v>0</v>
      </c>
      <c r="S58" s="6">
        <f t="shared" si="94"/>
        <v>0</v>
      </c>
      <c r="T58" s="6">
        <f t="shared" si="94"/>
        <v>0</v>
      </c>
      <c r="U58" s="6">
        <f t="shared" si="94"/>
        <v>0</v>
      </c>
      <c r="V58" s="6">
        <f t="shared" si="94"/>
        <v>0</v>
      </c>
      <c r="W58" s="6">
        <f t="shared" si="94"/>
        <v>0</v>
      </c>
      <c r="X58" s="6">
        <f t="shared" si="94"/>
        <v>0</v>
      </c>
      <c r="Y58" s="6">
        <f t="shared" si="94"/>
        <v>0</v>
      </c>
      <c r="Z58" s="6">
        <f t="shared" si="94"/>
        <v>0</v>
      </c>
      <c r="AA58" s="6">
        <f t="shared" si="94"/>
        <v>0</v>
      </c>
      <c r="AB58" s="6">
        <f t="shared" si="94"/>
        <v>0</v>
      </c>
      <c r="AC58" s="6">
        <f t="shared" si="94"/>
        <v>0</v>
      </c>
      <c r="AD58" s="6">
        <f t="shared" si="94"/>
        <v>0</v>
      </c>
      <c r="AE58" s="6">
        <f t="shared" si="94"/>
        <v>0</v>
      </c>
      <c r="AF58" s="6">
        <f t="shared" si="94"/>
        <v>0</v>
      </c>
      <c r="AG58" s="6">
        <f t="shared" si="94"/>
        <v>0</v>
      </c>
      <c r="AH58" s="6">
        <f t="shared" si="94"/>
        <v>0</v>
      </c>
      <c r="AI58" s="6">
        <f t="shared" si="94"/>
        <v>0</v>
      </c>
      <c r="AJ58" s="6">
        <f t="shared" si="94"/>
        <v>0</v>
      </c>
      <c r="AK58" s="6">
        <f t="shared" si="94"/>
        <v>0</v>
      </c>
      <c r="AL58" s="6">
        <f t="shared" si="94"/>
        <v>0</v>
      </c>
      <c r="AM58" s="6">
        <f t="shared" si="94"/>
        <v>0</v>
      </c>
      <c r="AN58" s="6">
        <f t="shared" si="94"/>
        <v>0</v>
      </c>
      <c r="AO58" s="6">
        <f t="shared" si="94"/>
        <v>0</v>
      </c>
      <c r="AP58" s="6">
        <f t="shared" si="94"/>
        <v>0</v>
      </c>
      <c r="AQ58" s="6">
        <f t="shared" si="94"/>
        <v>0</v>
      </c>
      <c r="AR58" s="6">
        <f t="shared" si="94"/>
        <v>0</v>
      </c>
      <c r="AS58" s="6">
        <f t="shared" si="94"/>
        <v>0</v>
      </c>
      <c r="AT58" s="6">
        <f t="shared" si="94"/>
        <v>0</v>
      </c>
      <c r="AU58" s="6">
        <f t="shared" si="94"/>
        <v>0</v>
      </c>
      <c r="AV58" s="6">
        <f t="shared" si="94"/>
        <v>0</v>
      </c>
      <c r="AW58" s="6">
        <f t="shared" si="94"/>
        <v>0</v>
      </c>
      <c r="AX58" s="6">
        <f t="shared" si="94"/>
        <v>0</v>
      </c>
      <c r="AY58" s="6">
        <f t="shared" si="94"/>
        <v>0</v>
      </c>
      <c r="AZ58" s="6">
        <f t="shared" si="94"/>
        <v>0</v>
      </c>
      <c r="BA58" s="6">
        <f t="shared" si="94"/>
        <v>0</v>
      </c>
      <c r="BB58" s="6">
        <f t="shared" si="94"/>
        <v>0</v>
      </c>
      <c r="BC58" s="6">
        <f t="shared" si="94"/>
        <v>0</v>
      </c>
      <c r="BD58" s="6">
        <f t="shared" si="94"/>
        <v>0</v>
      </c>
      <c r="BE58" s="6">
        <f t="shared" si="94"/>
        <v>0</v>
      </c>
      <c r="BF58" s="6">
        <f t="shared" si="94"/>
        <v>0</v>
      </c>
      <c r="BG58" s="6">
        <f t="shared" si="94"/>
        <v>0</v>
      </c>
      <c r="BH58" s="6">
        <f t="shared" si="94"/>
        <v>0</v>
      </c>
      <c r="BI58" s="6">
        <f t="shared" si="94"/>
        <v>0</v>
      </c>
      <c r="BJ58" s="6">
        <f t="shared" si="94"/>
        <v>0</v>
      </c>
      <c r="BK58" s="6">
        <f t="shared" si="94"/>
        <v>0</v>
      </c>
      <c r="BL58" s="6">
        <f t="shared" si="94"/>
        <v>0</v>
      </c>
      <c r="BM58" s="6">
        <f t="shared" si="94"/>
        <v>0</v>
      </c>
      <c r="BN58" s="6">
        <f t="shared" si="94"/>
        <v>0</v>
      </c>
      <c r="BO58" s="6">
        <f t="shared" si="94"/>
        <v>0</v>
      </c>
      <c r="BP58" s="6">
        <f t="shared" si="94"/>
        <v>0</v>
      </c>
      <c r="BQ58" s="6">
        <f t="shared" si="94"/>
        <v>0</v>
      </c>
      <c r="BR58" s="6">
        <f t="shared" ref="BR58:EC58" si="95">BR54*$C$58</f>
        <v>0</v>
      </c>
      <c r="BS58" s="6">
        <f t="shared" si="95"/>
        <v>0</v>
      </c>
      <c r="BT58" s="6">
        <f t="shared" si="95"/>
        <v>0</v>
      </c>
      <c r="BU58" s="6">
        <f t="shared" si="95"/>
        <v>0</v>
      </c>
      <c r="BV58" s="6">
        <f t="shared" si="95"/>
        <v>0</v>
      </c>
      <c r="BW58" s="6">
        <f t="shared" si="95"/>
        <v>0</v>
      </c>
      <c r="BX58" s="6">
        <f t="shared" si="95"/>
        <v>0</v>
      </c>
      <c r="BY58" s="6">
        <f t="shared" si="95"/>
        <v>0</v>
      </c>
      <c r="BZ58" s="6">
        <f t="shared" si="95"/>
        <v>0</v>
      </c>
      <c r="CA58" s="6">
        <f t="shared" si="95"/>
        <v>0</v>
      </c>
      <c r="CB58" s="6">
        <f t="shared" si="95"/>
        <v>0</v>
      </c>
      <c r="CC58" s="6">
        <f t="shared" si="95"/>
        <v>0</v>
      </c>
      <c r="CD58" s="6">
        <f t="shared" si="95"/>
        <v>0</v>
      </c>
      <c r="CE58" s="6">
        <f t="shared" si="95"/>
        <v>0</v>
      </c>
      <c r="CF58" s="6">
        <f t="shared" si="95"/>
        <v>0</v>
      </c>
      <c r="CG58" s="6">
        <f t="shared" si="95"/>
        <v>0</v>
      </c>
      <c r="CH58" s="6">
        <f t="shared" si="95"/>
        <v>0</v>
      </c>
      <c r="CI58" s="6">
        <f t="shared" si="95"/>
        <v>0</v>
      </c>
      <c r="CJ58" s="6">
        <f t="shared" si="95"/>
        <v>0</v>
      </c>
      <c r="CK58" s="6">
        <f t="shared" si="95"/>
        <v>0</v>
      </c>
      <c r="CL58" s="6">
        <f t="shared" si="95"/>
        <v>0</v>
      </c>
      <c r="CM58" s="6">
        <f t="shared" si="95"/>
        <v>0</v>
      </c>
      <c r="CN58" s="6">
        <f t="shared" si="95"/>
        <v>0</v>
      </c>
      <c r="CO58" s="6">
        <f t="shared" si="95"/>
        <v>0</v>
      </c>
      <c r="CP58" s="6">
        <f t="shared" si="95"/>
        <v>0</v>
      </c>
      <c r="CQ58" s="6">
        <f t="shared" si="95"/>
        <v>0</v>
      </c>
      <c r="CR58" s="6">
        <f t="shared" si="95"/>
        <v>0</v>
      </c>
      <c r="CS58" s="6">
        <f t="shared" si="95"/>
        <v>0</v>
      </c>
      <c r="CT58" s="6">
        <f t="shared" si="95"/>
        <v>0</v>
      </c>
      <c r="CU58" s="6">
        <f t="shared" si="95"/>
        <v>0</v>
      </c>
      <c r="CV58" s="6">
        <f t="shared" si="95"/>
        <v>0</v>
      </c>
      <c r="CW58" s="6">
        <f t="shared" si="95"/>
        <v>0</v>
      </c>
      <c r="CX58" s="6">
        <f t="shared" si="95"/>
        <v>0</v>
      </c>
      <c r="CY58" s="6">
        <f t="shared" si="95"/>
        <v>0</v>
      </c>
      <c r="CZ58" s="6">
        <f t="shared" si="95"/>
        <v>0</v>
      </c>
      <c r="DA58" s="6">
        <f t="shared" si="95"/>
        <v>0</v>
      </c>
      <c r="DB58" s="6">
        <f t="shared" si="95"/>
        <v>0</v>
      </c>
      <c r="DC58" s="6">
        <f t="shared" si="95"/>
        <v>0</v>
      </c>
      <c r="DD58" s="6">
        <f t="shared" si="95"/>
        <v>0</v>
      </c>
      <c r="DE58" s="6">
        <f t="shared" si="95"/>
        <v>0</v>
      </c>
      <c r="DF58" s="6">
        <f t="shared" si="95"/>
        <v>0</v>
      </c>
      <c r="DG58" s="6">
        <f t="shared" si="95"/>
        <v>0</v>
      </c>
      <c r="DH58" s="6">
        <f t="shared" si="95"/>
        <v>0</v>
      </c>
      <c r="DI58" s="6">
        <f t="shared" si="95"/>
        <v>0</v>
      </c>
      <c r="DJ58" s="6">
        <f t="shared" si="95"/>
        <v>0</v>
      </c>
      <c r="DK58" s="6">
        <f t="shared" si="95"/>
        <v>0</v>
      </c>
      <c r="DL58" s="6">
        <f t="shared" si="95"/>
        <v>0</v>
      </c>
      <c r="DM58" s="6">
        <f t="shared" si="95"/>
        <v>0</v>
      </c>
      <c r="DN58" s="6">
        <f t="shared" si="95"/>
        <v>0</v>
      </c>
      <c r="DO58" s="6">
        <f t="shared" si="95"/>
        <v>0</v>
      </c>
      <c r="DP58" s="6">
        <f t="shared" si="95"/>
        <v>0</v>
      </c>
      <c r="DQ58" s="6">
        <f t="shared" si="95"/>
        <v>0</v>
      </c>
      <c r="DR58" s="6">
        <f t="shared" si="95"/>
        <v>0</v>
      </c>
      <c r="DS58" s="6">
        <f t="shared" si="95"/>
        <v>0</v>
      </c>
      <c r="DT58" s="6">
        <f t="shared" si="95"/>
        <v>0</v>
      </c>
      <c r="DU58" s="6">
        <f t="shared" si="95"/>
        <v>0</v>
      </c>
      <c r="DV58" s="6">
        <f t="shared" si="95"/>
        <v>0</v>
      </c>
      <c r="DW58" s="6">
        <f t="shared" si="95"/>
        <v>0</v>
      </c>
      <c r="DX58" s="6">
        <f t="shared" si="95"/>
        <v>0</v>
      </c>
      <c r="DY58" s="6">
        <f t="shared" si="95"/>
        <v>0</v>
      </c>
      <c r="DZ58" s="6">
        <f t="shared" si="95"/>
        <v>0</v>
      </c>
      <c r="EA58" s="6">
        <f t="shared" si="95"/>
        <v>0</v>
      </c>
      <c r="EB58" s="6">
        <f t="shared" si="95"/>
        <v>0</v>
      </c>
      <c r="EC58" s="6">
        <f t="shared" si="95"/>
        <v>0</v>
      </c>
      <c r="ED58" s="6">
        <f t="shared" ref="ED58:GO58" si="96">ED54*$C$58</f>
        <v>0</v>
      </c>
      <c r="EE58" s="6">
        <f t="shared" si="96"/>
        <v>0</v>
      </c>
      <c r="EF58" s="6">
        <f t="shared" si="96"/>
        <v>0</v>
      </c>
      <c r="EG58" s="6">
        <f t="shared" si="96"/>
        <v>0</v>
      </c>
      <c r="EH58" s="6">
        <f t="shared" si="96"/>
        <v>0</v>
      </c>
      <c r="EI58" s="6">
        <f t="shared" si="96"/>
        <v>0</v>
      </c>
      <c r="EJ58" s="6">
        <f t="shared" si="96"/>
        <v>0</v>
      </c>
      <c r="EK58" s="6">
        <f t="shared" si="96"/>
        <v>0</v>
      </c>
      <c r="EL58" s="6">
        <f t="shared" si="96"/>
        <v>0</v>
      </c>
      <c r="EM58" s="6">
        <f t="shared" si="96"/>
        <v>0</v>
      </c>
      <c r="EN58" s="6">
        <f t="shared" si="96"/>
        <v>0</v>
      </c>
      <c r="EO58" s="6">
        <f t="shared" si="96"/>
        <v>0</v>
      </c>
      <c r="EP58" s="6">
        <f t="shared" si="96"/>
        <v>0</v>
      </c>
      <c r="EQ58" s="6">
        <f t="shared" si="96"/>
        <v>0</v>
      </c>
      <c r="ER58" s="6">
        <f t="shared" si="96"/>
        <v>0</v>
      </c>
      <c r="ES58" s="6">
        <f t="shared" si="96"/>
        <v>0</v>
      </c>
      <c r="ET58" s="6">
        <f t="shared" si="96"/>
        <v>0</v>
      </c>
      <c r="EU58" s="6">
        <f t="shared" si="96"/>
        <v>0</v>
      </c>
      <c r="EV58" s="6">
        <f t="shared" si="96"/>
        <v>0</v>
      </c>
      <c r="EW58" s="6">
        <f t="shared" si="96"/>
        <v>0</v>
      </c>
      <c r="EX58" s="6">
        <f t="shared" si="96"/>
        <v>0</v>
      </c>
      <c r="EY58" s="6">
        <f t="shared" si="96"/>
        <v>0</v>
      </c>
      <c r="EZ58" s="6">
        <f t="shared" si="96"/>
        <v>0</v>
      </c>
      <c r="FA58" s="6">
        <f t="shared" si="96"/>
        <v>0</v>
      </c>
      <c r="FB58" s="6">
        <f t="shared" si="96"/>
        <v>0</v>
      </c>
      <c r="FC58" s="6">
        <f t="shared" si="96"/>
        <v>0</v>
      </c>
      <c r="FD58" s="6">
        <f t="shared" si="96"/>
        <v>0</v>
      </c>
      <c r="FE58" s="6">
        <f t="shared" si="96"/>
        <v>0</v>
      </c>
      <c r="FF58" s="6">
        <f t="shared" si="96"/>
        <v>0</v>
      </c>
      <c r="FG58" s="6">
        <f t="shared" si="96"/>
        <v>0</v>
      </c>
      <c r="FH58" s="6">
        <f t="shared" si="96"/>
        <v>0</v>
      </c>
      <c r="FI58" s="6">
        <f t="shared" si="96"/>
        <v>0</v>
      </c>
      <c r="FJ58" s="6">
        <f t="shared" si="96"/>
        <v>0</v>
      </c>
      <c r="FK58" s="6">
        <f t="shared" si="96"/>
        <v>0</v>
      </c>
      <c r="FL58" s="6">
        <f t="shared" si="96"/>
        <v>0</v>
      </c>
      <c r="FM58" s="6">
        <f t="shared" si="96"/>
        <v>0</v>
      </c>
      <c r="FN58" s="6">
        <f t="shared" si="96"/>
        <v>0</v>
      </c>
      <c r="FO58" s="6">
        <f t="shared" si="96"/>
        <v>0</v>
      </c>
      <c r="FP58" s="6">
        <f t="shared" si="96"/>
        <v>0</v>
      </c>
      <c r="FQ58" s="6">
        <f t="shared" si="96"/>
        <v>0</v>
      </c>
      <c r="FR58" s="6">
        <f t="shared" si="96"/>
        <v>0</v>
      </c>
      <c r="FS58" s="6">
        <f t="shared" si="96"/>
        <v>0</v>
      </c>
      <c r="FT58" s="6">
        <f t="shared" si="96"/>
        <v>0</v>
      </c>
      <c r="FU58" s="6">
        <f t="shared" si="96"/>
        <v>0</v>
      </c>
      <c r="FV58" s="6">
        <f t="shared" si="96"/>
        <v>0</v>
      </c>
      <c r="FW58" s="6">
        <f t="shared" si="96"/>
        <v>0</v>
      </c>
      <c r="FX58" s="6">
        <f t="shared" si="96"/>
        <v>0</v>
      </c>
      <c r="FY58" s="6">
        <f t="shared" si="96"/>
        <v>0</v>
      </c>
      <c r="FZ58" s="6">
        <f t="shared" si="96"/>
        <v>0</v>
      </c>
      <c r="GA58" s="6">
        <f t="shared" si="96"/>
        <v>0</v>
      </c>
      <c r="GB58" s="6">
        <f t="shared" si="96"/>
        <v>0</v>
      </c>
      <c r="GC58" s="6">
        <f t="shared" si="96"/>
        <v>0</v>
      </c>
      <c r="GD58" s="6">
        <f t="shared" si="96"/>
        <v>0</v>
      </c>
      <c r="GE58" s="6">
        <f t="shared" si="96"/>
        <v>0</v>
      </c>
      <c r="GF58" s="6">
        <f t="shared" si="96"/>
        <v>0</v>
      </c>
      <c r="GG58" s="6">
        <f t="shared" si="96"/>
        <v>0</v>
      </c>
      <c r="GH58" s="6">
        <f t="shared" si="96"/>
        <v>0</v>
      </c>
      <c r="GI58" s="6">
        <f t="shared" si="96"/>
        <v>0</v>
      </c>
      <c r="GJ58" s="6">
        <f t="shared" si="96"/>
        <v>0</v>
      </c>
      <c r="GK58" s="6">
        <f t="shared" si="96"/>
        <v>0</v>
      </c>
      <c r="GL58" s="6">
        <f t="shared" si="96"/>
        <v>0</v>
      </c>
      <c r="GM58" s="6">
        <f t="shared" si="96"/>
        <v>0</v>
      </c>
      <c r="GN58" s="6">
        <f t="shared" si="96"/>
        <v>0</v>
      </c>
      <c r="GO58" s="6">
        <f t="shared" si="96"/>
        <v>0</v>
      </c>
      <c r="GP58" s="6">
        <f t="shared" ref="GP58:JA58" si="97">GP54*$C$58</f>
        <v>0</v>
      </c>
      <c r="GQ58" s="6">
        <f t="shared" si="97"/>
        <v>0</v>
      </c>
      <c r="GR58" s="6">
        <f t="shared" si="97"/>
        <v>0</v>
      </c>
      <c r="GS58" s="6">
        <f t="shared" si="97"/>
        <v>0</v>
      </c>
      <c r="GT58" s="6">
        <f t="shared" si="97"/>
        <v>0</v>
      </c>
      <c r="GU58" s="6">
        <f t="shared" si="97"/>
        <v>0</v>
      </c>
      <c r="GV58" s="6">
        <f t="shared" si="97"/>
        <v>0</v>
      </c>
      <c r="GW58" s="6">
        <f t="shared" si="97"/>
        <v>0</v>
      </c>
      <c r="GX58" s="6">
        <f t="shared" si="97"/>
        <v>0</v>
      </c>
      <c r="GY58" s="6">
        <f t="shared" si="97"/>
        <v>0</v>
      </c>
      <c r="GZ58" s="6">
        <f t="shared" si="97"/>
        <v>0</v>
      </c>
      <c r="HA58" s="6">
        <f t="shared" si="97"/>
        <v>0</v>
      </c>
      <c r="HB58" s="6">
        <f t="shared" si="97"/>
        <v>0</v>
      </c>
      <c r="HC58" s="6">
        <f t="shared" si="97"/>
        <v>0</v>
      </c>
      <c r="HD58" s="6">
        <f t="shared" si="97"/>
        <v>0</v>
      </c>
      <c r="HE58" s="6">
        <f t="shared" si="97"/>
        <v>0</v>
      </c>
      <c r="HF58" s="6">
        <f t="shared" si="97"/>
        <v>0</v>
      </c>
      <c r="HG58" s="6">
        <f t="shared" si="97"/>
        <v>0</v>
      </c>
      <c r="HH58" s="6">
        <f t="shared" si="97"/>
        <v>0</v>
      </c>
      <c r="HI58" s="6">
        <f t="shared" si="97"/>
        <v>0</v>
      </c>
      <c r="HJ58" s="6">
        <f t="shared" si="97"/>
        <v>0</v>
      </c>
      <c r="HK58" s="6">
        <f t="shared" si="97"/>
        <v>0</v>
      </c>
      <c r="HL58" s="6">
        <f t="shared" si="97"/>
        <v>0</v>
      </c>
      <c r="HM58" s="6">
        <f t="shared" si="97"/>
        <v>0</v>
      </c>
      <c r="HN58" s="6">
        <f t="shared" si="97"/>
        <v>0</v>
      </c>
      <c r="HO58" s="6">
        <f t="shared" si="97"/>
        <v>0</v>
      </c>
      <c r="HP58" s="6">
        <f t="shared" si="97"/>
        <v>0</v>
      </c>
      <c r="HQ58" s="6">
        <f t="shared" si="97"/>
        <v>0</v>
      </c>
      <c r="HR58" s="6">
        <f t="shared" si="97"/>
        <v>0</v>
      </c>
      <c r="HS58" s="6">
        <f t="shared" si="97"/>
        <v>0</v>
      </c>
      <c r="HT58" s="6">
        <f t="shared" si="97"/>
        <v>0</v>
      </c>
      <c r="HU58" s="6">
        <f t="shared" si="97"/>
        <v>0</v>
      </c>
      <c r="HV58" s="6">
        <f t="shared" si="97"/>
        <v>0</v>
      </c>
      <c r="HW58" s="6">
        <f t="shared" si="97"/>
        <v>0</v>
      </c>
      <c r="HX58" s="6">
        <f t="shared" si="97"/>
        <v>0</v>
      </c>
      <c r="HY58" s="6">
        <f t="shared" si="97"/>
        <v>0</v>
      </c>
      <c r="HZ58" s="6">
        <f t="shared" si="97"/>
        <v>0</v>
      </c>
      <c r="IA58" s="6">
        <f t="shared" si="97"/>
        <v>0</v>
      </c>
      <c r="IB58" s="6">
        <f t="shared" si="97"/>
        <v>0</v>
      </c>
      <c r="IC58" s="6">
        <f t="shared" si="97"/>
        <v>0</v>
      </c>
      <c r="ID58" s="6">
        <f t="shared" si="97"/>
        <v>0</v>
      </c>
      <c r="IE58" s="6">
        <f t="shared" si="97"/>
        <v>0</v>
      </c>
      <c r="IF58" s="6">
        <f t="shared" si="97"/>
        <v>0</v>
      </c>
      <c r="IG58" s="6">
        <f t="shared" si="97"/>
        <v>0</v>
      </c>
      <c r="IH58" s="6">
        <f t="shared" si="97"/>
        <v>0</v>
      </c>
      <c r="II58" s="6">
        <f t="shared" si="97"/>
        <v>0</v>
      </c>
      <c r="IJ58" s="6">
        <f t="shared" si="97"/>
        <v>0</v>
      </c>
      <c r="IK58" s="6">
        <f t="shared" si="97"/>
        <v>0</v>
      </c>
      <c r="IL58" s="6">
        <f t="shared" si="97"/>
        <v>0</v>
      </c>
      <c r="IM58" s="6">
        <f t="shared" si="97"/>
        <v>0</v>
      </c>
      <c r="IN58" s="6">
        <f t="shared" si="97"/>
        <v>0</v>
      </c>
      <c r="IO58" s="6">
        <f t="shared" si="97"/>
        <v>0</v>
      </c>
      <c r="IP58" s="6">
        <f t="shared" si="97"/>
        <v>0</v>
      </c>
      <c r="IQ58" s="6">
        <f t="shared" si="97"/>
        <v>0</v>
      </c>
      <c r="IR58" s="6">
        <f t="shared" si="97"/>
        <v>0</v>
      </c>
      <c r="IS58" s="6">
        <f t="shared" si="97"/>
        <v>0</v>
      </c>
      <c r="IT58" s="6">
        <f t="shared" si="97"/>
        <v>0</v>
      </c>
      <c r="IU58" s="6">
        <f t="shared" si="97"/>
        <v>0</v>
      </c>
      <c r="IV58" s="6">
        <f t="shared" si="97"/>
        <v>0</v>
      </c>
      <c r="IW58" s="6">
        <f t="shared" si="97"/>
        <v>0</v>
      </c>
      <c r="IX58" s="6">
        <f t="shared" si="97"/>
        <v>0</v>
      </c>
      <c r="IY58" s="6">
        <f t="shared" si="97"/>
        <v>0</v>
      </c>
      <c r="IZ58" s="6">
        <f t="shared" si="97"/>
        <v>0</v>
      </c>
      <c r="JA58" s="6">
        <f t="shared" si="97"/>
        <v>0</v>
      </c>
      <c r="JB58" s="6">
        <f t="shared" ref="JB58:KS58" si="98">JB54*$C$58</f>
        <v>0</v>
      </c>
      <c r="JC58" s="6">
        <f t="shared" si="98"/>
        <v>0</v>
      </c>
      <c r="JD58" s="6">
        <f t="shared" si="98"/>
        <v>0</v>
      </c>
      <c r="JE58" s="6">
        <f t="shared" si="98"/>
        <v>0</v>
      </c>
      <c r="JF58" s="6">
        <f t="shared" si="98"/>
        <v>0</v>
      </c>
      <c r="JG58" s="6">
        <f t="shared" si="98"/>
        <v>0</v>
      </c>
      <c r="JH58" s="6">
        <f t="shared" si="98"/>
        <v>0</v>
      </c>
      <c r="JI58" s="6">
        <f t="shared" si="98"/>
        <v>0</v>
      </c>
      <c r="JJ58" s="6">
        <f t="shared" si="98"/>
        <v>0</v>
      </c>
      <c r="JK58" s="6">
        <f t="shared" si="98"/>
        <v>0</v>
      </c>
      <c r="JL58" s="6">
        <f t="shared" si="98"/>
        <v>0</v>
      </c>
      <c r="JM58" s="6">
        <f t="shared" si="98"/>
        <v>0</v>
      </c>
      <c r="JN58" s="6">
        <f t="shared" si="98"/>
        <v>0</v>
      </c>
      <c r="JO58" s="6">
        <f t="shared" si="98"/>
        <v>0</v>
      </c>
      <c r="JP58" s="6">
        <f t="shared" si="98"/>
        <v>0</v>
      </c>
      <c r="JQ58" s="6">
        <f t="shared" si="98"/>
        <v>0</v>
      </c>
      <c r="JR58" s="6">
        <f t="shared" si="98"/>
        <v>0</v>
      </c>
      <c r="JS58" s="6">
        <f t="shared" si="98"/>
        <v>0</v>
      </c>
      <c r="JT58" s="6">
        <f t="shared" si="98"/>
        <v>0</v>
      </c>
      <c r="JU58" s="6">
        <f t="shared" si="98"/>
        <v>0</v>
      </c>
      <c r="JV58" s="6">
        <f t="shared" si="98"/>
        <v>0</v>
      </c>
      <c r="JW58" s="6">
        <f t="shared" si="98"/>
        <v>0</v>
      </c>
      <c r="JX58" s="6">
        <f t="shared" si="98"/>
        <v>0</v>
      </c>
      <c r="JY58" s="6">
        <f t="shared" si="98"/>
        <v>0</v>
      </c>
      <c r="JZ58" s="6">
        <f t="shared" si="98"/>
        <v>0</v>
      </c>
      <c r="KA58" s="6">
        <f t="shared" si="98"/>
        <v>0</v>
      </c>
      <c r="KB58" s="6">
        <f t="shared" si="98"/>
        <v>0</v>
      </c>
      <c r="KC58" s="6">
        <f t="shared" si="98"/>
        <v>0</v>
      </c>
      <c r="KD58" s="6">
        <f t="shared" si="98"/>
        <v>0</v>
      </c>
      <c r="KE58" s="6">
        <f t="shared" si="98"/>
        <v>0</v>
      </c>
      <c r="KF58" s="6">
        <f t="shared" si="98"/>
        <v>0</v>
      </c>
      <c r="KG58" s="6">
        <f t="shared" si="98"/>
        <v>0</v>
      </c>
      <c r="KH58" s="6">
        <f t="shared" si="98"/>
        <v>0</v>
      </c>
      <c r="KI58" s="6">
        <f t="shared" si="98"/>
        <v>0</v>
      </c>
      <c r="KJ58" s="6">
        <f t="shared" si="98"/>
        <v>0</v>
      </c>
      <c r="KK58" s="6">
        <f t="shared" si="98"/>
        <v>0</v>
      </c>
      <c r="KL58" s="6">
        <f t="shared" si="98"/>
        <v>0</v>
      </c>
      <c r="KM58" s="6">
        <f t="shared" si="98"/>
        <v>0</v>
      </c>
      <c r="KN58" s="6">
        <f t="shared" si="98"/>
        <v>0</v>
      </c>
      <c r="KO58" s="6">
        <f t="shared" si="98"/>
        <v>0</v>
      </c>
      <c r="KP58" s="6">
        <f t="shared" si="98"/>
        <v>0</v>
      </c>
      <c r="KQ58" s="6">
        <f t="shared" si="98"/>
        <v>0</v>
      </c>
      <c r="KR58" s="6">
        <f t="shared" si="98"/>
        <v>0</v>
      </c>
      <c r="KS58" s="6">
        <f t="shared" si="98"/>
        <v>0</v>
      </c>
    </row>
    <row r="59" spans="2:305">
      <c r="C59" s="12"/>
    </row>
    <row r="61" spans="2:305">
      <c r="B61" s="4" t="s">
        <v>58</v>
      </c>
    </row>
    <row r="62" spans="2:305">
      <c r="B62" t="s">
        <v>19</v>
      </c>
      <c r="C62" s="6">
        <f>-SUMIF(F62:KS62,"&lt;0")-E62</f>
        <v>163200</v>
      </c>
      <c r="E62" s="6">
        <f>E4*Inputs!$E$3</f>
        <v>-163200</v>
      </c>
      <c r="F62" s="6">
        <f>F4*Inputs!$E$3</f>
        <v>0</v>
      </c>
      <c r="G62" s="6">
        <f>G4*Inputs!$E$3</f>
        <v>0</v>
      </c>
      <c r="H62" s="6">
        <f>H4*Inputs!$E$3</f>
        <v>0</v>
      </c>
      <c r="I62" s="6">
        <f>I4*Inputs!$E$3</f>
        <v>0</v>
      </c>
      <c r="J62" s="6">
        <f>J4*Inputs!$E$3</f>
        <v>0</v>
      </c>
      <c r="K62" s="6">
        <f>K4*Inputs!$E$3</f>
        <v>0</v>
      </c>
      <c r="L62" s="6">
        <f>L4*Inputs!$E$3</f>
        <v>0</v>
      </c>
      <c r="M62" s="6">
        <f>M4*Inputs!$E$3</f>
        <v>0</v>
      </c>
      <c r="N62" s="6">
        <f>N4*Inputs!$E$3</f>
        <v>0</v>
      </c>
      <c r="O62" s="6">
        <f>O4*Inputs!$E$3</f>
        <v>0</v>
      </c>
      <c r="P62" s="6">
        <f>P4*Inputs!$E$3</f>
        <v>0</v>
      </c>
      <c r="Q62" s="6">
        <f>Q4*Inputs!$E$3</f>
        <v>0</v>
      </c>
      <c r="R62" s="6">
        <f>R4*Inputs!$E$3</f>
        <v>0</v>
      </c>
      <c r="S62" s="6">
        <f>S4*Inputs!$E$3</f>
        <v>0</v>
      </c>
      <c r="T62" s="6">
        <f>T4*Inputs!$E$3</f>
        <v>0</v>
      </c>
      <c r="U62" s="6">
        <f>U4*Inputs!$E$3</f>
        <v>0</v>
      </c>
      <c r="V62" s="6">
        <f>V4*Inputs!$E$3</f>
        <v>0</v>
      </c>
      <c r="W62" s="6">
        <f>W4*Inputs!$E$3</f>
        <v>0</v>
      </c>
      <c r="X62" s="6">
        <f>X4*Inputs!$E$3</f>
        <v>0</v>
      </c>
      <c r="Y62" s="6">
        <f>Y4*Inputs!$E$3</f>
        <v>0</v>
      </c>
      <c r="Z62" s="6">
        <f>Z4*Inputs!$E$3</f>
        <v>0</v>
      </c>
      <c r="AA62" s="6">
        <f>AA4*Inputs!$E$3</f>
        <v>0</v>
      </c>
      <c r="AB62" s="6">
        <f>AB4*Inputs!$E$3</f>
        <v>0</v>
      </c>
      <c r="AC62" s="6">
        <f>AC4*Inputs!$E$3</f>
        <v>0</v>
      </c>
      <c r="AD62" s="6">
        <f>AD4*Inputs!$E$3</f>
        <v>0</v>
      </c>
      <c r="AE62" s="6">
        <f>AE4*Inputs!$E$3</f>
        <v>0</v>
      </c>
      <c r="AF62" s="6">
        <f>AF4*Inputs!$E$3</f>
        <v>0</v>
      </c>
      <c r="AG62" s="6">
        <f>AG4*Inputs!$E$3</f>
        <v>0</v>
      </c>
      <c r="AH62" s="6">
        <f>AH4*Inputs!$E$3</f>
        <v>0</v>
      </c>
      <c r="AI62" s="6">
        <f>AI4*Inputs!$E$3</f>
        <v>0</v>
      </c>
      <c r="AJ62" s="6">
        <f>AJ4*Inputs!$E$3</f>
        <v>0</v>
      </c>
      <c r="AK62" s="6">
        <f>AK4*Inputs!$E$3</f>
        <v>0</v>
      </c>
      <c r="AL62" s="6">
        <f>AL4*Inputs!$E$3</f>
        <v>0</v>
      </c>
      <c r="AM62" s="6">
        <f>AM4*Inputs!$E$3</f>
        <v>0</v>
      </c>
      <c r="AN62" s="6">
        <f>AN4*Inputs!$E$3</f>
        <v>0</v>
      </c>
      <c r="AO62" s="6">
        <f>AO4*Inputs!$E$3</f>
        <v>0</v>
      </c>
      <c r="AP62" s="6">
        <f>AP4*Inputs!$E$3</f>
        <v>0</v>
      </c>
      <c r="AQ62" s="6">
        <f>AQ4*Inputs!$E$3</f>
        <v>0</v>
      </c>
      <c r="AR62" s="6">
        <f>AR4*Inputs!$E$3</f>
        <v>0</v>
      </c>
      <c r="AS62" s="6">
        <f>AS4*Inputs!$E$3</f>
        <v>0</v>
      </c>
      <c r="AT62" s="6">
        <f>AT4*Inputs!$E$3</f>
        <v>0</v>
      </c>
      <c r="AU62" s="6">
        <f>AU4*Inputs!$E$3</f>
        <v>0</v>
      </c>
      <c r="AV62" s="6">
        <f>AV4*Inputs!$E$3</f>
        <v>0</v>
      </c>
      <c r="AW62" s="6">
        <f>AW4*Inputs!$E$3</f>
        <v>0</v>
      </c>
      <c r="AX62" s="6">
        <f>AX4*Inputs!$E$3</f>
        <v>0</v>
      </c>
      <c r="AY62" s="6">
        <f>AY4*Inputs!$E$3</f>
        <v>0</v>
      </c>
      <c r="AZ62" s="6">
        <f>AZ4*Inputs!$E$3</f>
        <v>0</v>
      </c>
      <c r="BA62" s="6">
        <f>BA4*Inputs!$E$3</f>
        <v>0</v>
      </c>
      <c r="BB62" s="6">
        <f>BB4*Inputs!$E$3</f>
        <v>0</v>
      </c>
      <c r="BC62" s="6">
        <f>BC4*Inputs!$E$3</f>
        <v>0</v>
      </c>
      <c r="BD62" s="6">
        <f>BD4*Inputs!$E$3</f>
        <v>0</v>
      </c>
      <c r="BE62" s="6">
        <f>BE4*Inputs!$E$3</f>
        <v>0</v>
      </c>
      <c r="BF62" s="6">
        <f>BF4*Inputs!$E$3</f>
        <v>0</v>
      </c>
      <c r="BG62" s="6">
        <f>BG4*Inputs!$E$3</f>
        <v>0</v>
      </c>
      <c r="BH62" s="6">
        <f>BH4*Inputs!$E$3</f>
        <v>0</v>
      </c>
      <c r="BI62" s="6">
        <f>BI4*Inputs!$E$3</f>
        <v>0</v>
      </c>
      <c r="BJ62" s="6">
        <f>BJ4*Inputs!$E$3</f>
        <v>0</v>
      </c>
      <c r="BK62" s="6">
        <f>BK4*Inputs!$E$3</f>
        <v>0</v>
      </c>
      <c r="BL62" s="6">
        <f>BL4*Inputs!$E$3</f>
        <v>0</v>
      </c>
      <c r="BM62" s="6">
        <f>BM4*Inputs!$E$3</f>
        <v>0</v>
      </c>
      <c r="BN62" s="6">
        <f>BN4*Inputs!$E$3</f>
        <v>0</v>
      </c>
      <c r="BO62" s="6">
        <f>BO4*Inputs!$E$3</f>
        <v>0</v>
      </c>
      <c r="BP62" s="6">
        <f>BP4*Inputs!$E$3</f>
        <v>0</v>
      </c>
      <c r="BQ62" s="6">
        <f>BQ4*Inputs!$E$3</f>
        <v>0</v>
      </c>
      <c r="BR62" s="6">
        <f>BR4*Inputs!$E$3</f>
        <v>0</v>
      </c>
      <c r="BS62" s="6">
        <f>BS4*Inputs!$E$3</f>
        <v>0</v>
      </c>
      <c r="BT62" s="6">
        <f>BT4*Inputs!$E$3</f>
        <v>0</v>
      </c>
      <c r="BU62" s="6">
        <f>BU4*Inputs!$E$3</f>
        <v>0</v>
      </c>
      <c r="BV62" s="6">
        <f>BV4*Inputs!$E$3</f>
        <v>0</v>
      </c>
      <c r="BW62" s="6">
        <f>BW4*Inputs!$E$3</f>
        <v>0</v>
      </c>
      <c r="BX62" s="6">
        <f>BX4*Inputs!$E$3</f>
        <v>0</v>
      </c>
      <c r="BY62" s="6">
        <f>BY4*Inputs!$E$3</f>
        <v>0</v>
      </c>
      <c r="BZ62" s="6">
        <f>BZ4*Inputs!$E$3</f>
        <v>0</v>
      </c>
      <c r="CA62" s="6">
        <f>CA4*Inputs!$E$3</f>
        <v>0</v>
      </c>
      <c r="CB62" s="6">
        <f>CB4*Inputs!$E$3</f>
        <v>0</v>
      </c>
      <c r="CC62" s="6">
        <f>CC4*Inputs!$E$3</f>
        <v>0</v>
      </c>
      <c r="CD62" s="6">
        <f>CD4*Inputs!$E$3</f>
        <v>0</v>
      </c>
      <c r="CE62" s="6">
        <f>CE4*Inputs!$E$3</f>
        <v>0</v>
      </c>
      <c r="CF62" s="6">
        <f>CF4*Inputs!$E$3</f>
        <v>0</v>
      </c>
      <c r="CG62" s="6">
        <f>CG4*Inputs!$E$3</f>
        <v>0</v>
      </c>
      <c r="CH62" s="6">
        <f>CH4*Inputs!$E$3</f>
        <v>0</v>
      </c>
      <c r="CI62" s="6">
        <f>CI4*Inputs!$E$3</f>
        <v>0</v>
      </c>
      <c r="CJ62" s="6">
        <f>CJ4*Inputs!$E$3</f>
        <v>0</v>
      </c>
      <c r="CK62" s="6">
        <f>CK4*Inputs!$E$3</f>
        <v>0</v>
      </c>
      <c r="CL62" s="6">
        <f>CL4*Inputs!$E$3</f>
        <v>0</v>
      </c>
      <c r="CM62" s="6">
        <f>CM4*Inputs!$E$3</f>
        <v>0</v>
      </c>
      <c r="CN62" s="6">
        <f>CN4*Inputs!$E$3</f>
        <v>0</v>
      </c>
      <c r="CO62" s="6">
        <f>CO4*Inputs!$E$3</f>
        <v>0</v>
      </c>
      <c r="CP62" s="6">
        <f>CP4*Inputs!$E$3</f>
        <v>0</v>
      </c>
      <c r="CQ62" s="6">
        <f>CQ4*Inputs!$E$3</f>
        <v>0</v>
      </c>
      <c r="CR62" s="6">
        <f>CR4*Inputs!$E$3</f>
        <v>0</v>
      </c>
      <c r="CS62" s="6">
        <f>CS4*Inputs!$E$3</f>
        <v>0</v>
      </c>
      <c r="CT62" s="6">
        <f>CT4*Inputs!$E$3</f>
        <v>0</v>
      </c>
      <c r="CU62" s="6">
        <f>CU4*Inputs!$E$3</f>
        <v>0</v>
      </c>
      <c r="CV62" s="6">
        <f>CV4*Inputs!$E$3</f>
        <v>0</v>
      </c>
      <c r="CW62" s="6">
        <f>CW4*Inputs!$E$3</f>
        <v>0</v>
      </c>
      <c r="CX62" s="6">
        <f>CX4*Inputs!$E$3</f>
        <v>0</v>
      </c>
      <c r="CY62" s="6">
        <f>CY4*Inputs!$E$3</f>
        <v>0</v>
      </c>
      <c r="CZ62" s="6">
        <f>CZ4*Inputs!$E$3</f>
        <v>0</v>
      </c>
      <c r="DA62" s="6">
        <f>DA4*Inputs!$E$3</f>
        <v>0</v>
      </c>
      <c r="DB62" s="6">
        <f>DB4*Inputs!$E$3</f>
        <v>0</v>
      </c>
      <c r="DC62" s="6">
        <f>DC4*Inputs!$E$3</f>
        <v>0</v>
      </c>
      <c r="DD62" s="6">
        <f>DD4*Inputs!$E$3</f>
        <v>0</v>
      </c>
      <c r="DE62" s="6">
        <f>DE4*Inputs!$E$3</f>
        <v>0</v>
      </c>
      <c r="DF62" s="6">
        <f>DF4*Inputs!$E$3</f>
        <v>0</v>
      </c>
      <c r="DG62" s="6">
        <f>DG4*Inputs!$E$3</f>
        <v>0</v>
      </c>
      <c r="DH62" s="6">
        <f>DH4*Inputs!$E$3</f>
        <v>0</v>
      </c>
      <c r="DI62" s="6">
        <f>DI4*Inputs!$E$3</f>
        <v>0</v>
      </c>
      <c r="DJ62" s="6">
        <f>DJ4*Inputs!$E$3</f>
        <v>0</v>
      </c>
      <c r="DK62" s="6">
        <f>DK4*Inputs!$E$3</f>
        <v>0</v>
      </c>
      <c r="DL62" s="6">
        <f>DL4*Inputs!$E$3</f>
        <v>0</v>
      </c>
      <c r="DM62" s="6">
        <f>DM4*Inputs!$E$3</f>
        <v>0</v>
      </c>
      <c r="DN62" s="6">
        <f>DN4*Inputs!$E$3</f>
        <v>0</v>
      </c>
      <c r="DO62" s="6">
        <f>DO4*Inputs!$E$3</f>
        <v>0</v>
      </c>
      <c r="DP62" s="6">
        <f>DP4*Inputs!$E$3</f>
        <v>0</v>
      </c>
      <c r="DQ62" s="6">
        <f>DQ4*Inputs!$E$3</f>
        <v>0</v>
      </c>
      <c r="DR62" s="6">
        <f>DR4*Inputs!$E$3</f>
        <v>0</v>
      </c>
      <c r="DS62" s="6">
        <f>DS4*Inputs!$E$3</f>
        <v>0</v>
      </c>
      <c r="DT62" s="6">
        <f>DT4*Inputs!$E$3</f>
        <v>0</v>
      </c>
      <c r="DU62" s="6">
        <f>DU4*Inputs!$E$3</f>
        <v>0</v>
      </c>
      <c r="DV62" s="6">
        <f>DV4*Inputs!$E$3</f>
        <v>0</v>
      </c>
      <c r="DW62" s="6">
        <f>DW4*Inputs!$E$3</f>
        <v>0</v>
      </c>
      <c r="DX62" s="6">
        <f>DX4*Inputs!$E$3</f>
        <v>0</v>
      </c>
      <c r="DY62" s="6">
        <f>DY4*Inputs!$E$3</f>
        <v>0</v>
      </c>
      <c r="DZ62" s="6">
        <f>DZ4*Inputs!$E$3</f>
        <v>0</v>
      </c>
      <c r="EA62" s="6">
        <f>EA4*Inputs!$E$3</f>
        <v>0</v>
      </c>
      <c r="EB62" s="6">
        <f>EB4*Inputs!$E$3</f>
        <v>0</v>
      </c>
      <c r="EC62" s="6">
        <f>EC4*Inputs!$E$3</f>
        <v>0</v>
      </c>
      <c r="ED62" s="6">
        <f>ED4*Inputs!$E$3</f>
        <v>0</v>
      </c>
      <c r="EE62" s="6">
        <f>EE4*Inputs!$E$3</f>
        <v>0</v>
      </c>
      <c r="EF62" s="6">
        <f>EF4*Inputs!$E$3</f>
        <v>0</v>
      </c>
      <c r="EG62" s="6">
        <f>EG4*Inputs!$E$3</f>
        <v>0</v>
      </c>
      <c r="EH62" s="6">
        <f>EH4*Inputs!$E$3</f>
        <v>0</v>
      </c>
      <c r="EI62" s="6">
        <f>EI4*Inputs!$E$3</f>
        <v>0</v>
      </c>
      <c r="EJ62" s="6">
        <f>EJ4*Inputs!$E$3</f>
        <v>0</v>
      </c>
      <c r="EK62" s="6">
        <f>EK4*Inputs!$E$3</f>
        <v>0</v>
      </c>
      <c r="EL62" s="6">
        <f>EL4*Inputs!$E$3</f>
        <v>0</v>
      </c>
      <c r="EM62" s="6">
        <f>EM4*Inputs!$E$3</f>
        <v>0</v>
      </c>
      <c r="EN62" s="6">
        <f>EN4*Inputs!$E$3</f>
        <v>0</v>
      </c>
      <c r="EO62" s="6">
        <f>EO4*Inputs!$E$3</f>
        <v>0</v>
      </c>
      <c r="EP62" s="6">
        <f>EP4*Inputs!$E$3</f>
        <v>0</v>
      </c>
      <c r="EQ62" s="6">
        <f>EQ4*Inputs!$E$3</f>
        <v>0</v>
      </c>
      <c r="ER62" s="6">
        <f>ER4*Inputs!$E$3</f>
        <v>0</v>
      </c>
      <c r="ES62" s="6">
        <f>ES4*Inputs!$E$3</f>
        <v>0</v>
      </c>
      <c r="ET62" s="6">
        <f>ET4*Inputs!$E$3</f>
        <v>0</v>
      </c>
      <c r="EU62" s="6">
        <f>EU4*Inputs!$E$3</f>
        <v>0</v>
      </c>
      <c r="EV62" s="6">
        <f>EV4*Inputs!$E$3</f>
        <v>0</v>
      </c>
      <c r="EW62" s="6">
        <f>EW4*Inputs!$E$3</f>
        <v>0</v>
      </c>
      <c r="EX62" s="6">
        <f>EX4*Inputs!$E$3</f>
        <v>0</v>
      </c>
      <c r="EY62" s="6">
        <f>EY4*Inputs!$E$3</f>
        <v>0</v>
      </c>
      <c r="EZ62" s="6">
        <f>EZ4*Inputs!$E$3</f>
        <v>0</v>
      </c>
      <c r="FA62" s="6">
        <f>FA4*Inputs!$E$3</f>
        <v>0</v>
      </c>
      <c r="FB62" s="6">
        <f>FB4*Inputs!$E$3</f>
        <v>0</v>
      </c>
      <c r="FC62" s="6">
        <f>FC4*Inputs!$E$3</f>
        <v>0</v>
      </c>
      <c r="FD62" s="6">
        <f>FD4*Inputs!$E$3</f>
        <v>0</v>
      </c>
      <c r="FE62" s="6">
        <f>FE4*Inputs!$E$3</f>
        <v>0</v>
      </c>
      <c r="FF62" s="6">
        <f>FF4*Inputs!$E$3</f>
        <v>0</v>
      </c>
      <c r="FG62" s="6">
        <f>FG4*Inputs!$E$3</f>
        <v>0</v>
      </c>
      <c r="FH62" s="6">
        <f>FH4*Inputs!$E$3</f>
        <v>0</v>
      </c>
      <c r="FI62" s="6">
        <f>FI4*Inputs!$E$3</f>
        <v>0</v>
      </c>
      <c r="FJ62" s="6">
        <f>FJ4*Inputs!$E$3</f>
        <v>0</v>
      </c>
      <c r="FK62" s="6">
        <f>FK4*Inputs!$E$3</f>
        <v>0</v>
      </c>
      <c r="FL62" s="6">
        <f>FL4*Inputs!$E$3</f>
        <v>0</v>
      </c>
      <c r="FM62" s="6">
        <f>FM4*Inputs!$E$3</f>
        <v>0</v>
      </c>
      <c r="FN62" s="6">
        <f>FN4*Inputs!$E$3</f>
        <v>0</v>
      </c>
      <c r="FO62" s="6">
        <f>FO4*Inputs!$E$3</f>
        <v>0</v>
      </c>
      <c r="FP62" s="6">
        <f>FP4*Inputs!$E$3</f>
        <v>0</v>
      </c>
      <c r="FQ62" s="6">
        <f>FQ4*Inputs!$E$3</f>
        <v>0</v>
      </c>
      <c r="FR62" s="6">
        <f>FR4*Inputs!$E$3</f>
        <v>0</v>
      </c>
      <c r="FS62" s="6">
        <f>FS4*Inputs!$E$3</f>
        <v>0</v>
      </c>
      <c r="FT62" s="6">
        <f>FT4*Inputs!$E$3</f>
        <v>0</v>
      </c>
      <c r="FU62" s="6">
        <f>FU4*Inputs!$E$3</f>
        <v>0</v>
      </c>
      <c r="FV62" s="6">
        <f>FV4*Inputs!$E$3</f>
        <v>0</v>
      </c>
      <c r="FW62" s="6">
        <f>FW4*Inputs!$E$3</f>
        <v>0</v>
      </c>
      <c r="FX62" s="6">
        <f>FX4*Inputs!$E$3</f>
        <v>0</v>
      </c>
      <c r="FY62" s="6">
        <f>FY4*Inputs!$E$3</f>
        <v>0</v>
      </c>
      <c r="FZ62" s="6">
        <f>FZ4*Inputs!$E$3</f>
        <v>0</v>
      </c>
      <c r="GA62" s="6">
        <f>GA4*Inputs!$E$3</f>
        <v>0</v>
      </c>
      <c r="GB62" s="6">
        <f>GB4*Inputs!$E$3</f>
        <v>0</v>
      </c>
      <c r="GC62" s="6">
        <f>GC4*Inputs!$E$3</f>
        <v>0</v>
      </c>
      <c r="GD62" s="6">
        <f>GD4*Inputs!$E$3</f>
        <v>0</v>
      </c>
      <c r="GE62" s="6">
        <f>GE4*Inputs!$E$3</f>
        <v>0</v>
      </c>
      <c r="GF62" s="6">
        <f>GF4*Inputs!$E$3</f>
        <v>0</v>
      </c>
      <c r="GG62" s="6">
        <f>GG4*Inputs!$E$3</f>
        <v>0</v>
      </c>
      <c r="GH62" s="6">
        <f>GH4*Inputs!$E$3</f>
        <v>0</v>
      </c>
      <c r="GI62" s="6">
        <f>GI4*Inputs!$E$3</f>
        <v>0</v>
      </c>
      <c r="GJ62" s="6">
        <f>GJ4*Inputs!$E$3</f>
        <v>0</v>
      </c>
      <c r="GK62" s="6">
        <f>GK4*Inputs!$E$3</f>
        <v>0</v>
      </c>
      <c r="GL62" s="6">
        <f>GL4*Inputs!$E$3</f>
        <v>0</v>
      </c>
      <c r="GM62" s="6">
        <f>GM4*Inputs!$E$3</f>
        <v>0</v>
      </c>
      <c r="GN62" s="6">
        <f>GN4*Inputs!$E$3</f>
        <v>0</v>
      </c>
      <c r="GO62" s="6">
        <f>GO4*Inputs!$E$3</f>
        <v>0</v>
      </c>
      <c r="GP62" s="6">
        <f>GP4*Inputs!$E$3</f>
        <v>0</v>
      </c>
      <c r="GQ62" s="6">
        <f>GQ4*Inputs!$E$3</f>
        <v>0</v>
      </c>
      <c r="GR62" s="6">
        <f>GR4*Inputs!$E$3</f>
        <v>0</v>
      </c>
      <c r="GS62" s="6">
        <f>GS4*Inputs!$E$3</f>
        <v>0</v>
      </c>
      <c r="GT62" s="6">
        <f>GT4*Inputs!$E$3</f>
        <v>0</v>
      </c>
      <c r="GU62" s="6">
        <f>GU4*Inputs!$E$3</f>
        <v>0</v>
      </c>
      <c r="GV62" s="6">
        <f>GV4*Inputs!$E$3</f>
        <v>0</v>
      </c>
      <c r="GW62" s="6">
        <f>GW4*Inputs!$E$3</f>
        <v>0</v>
      </c>
      <c r="GX62" s="6">
        <f>GX4*Inputs!$E$3</f>
        <v>0</v>
      </c>
      <c r="GY62" s="6">
        <f>GY4*Inputs!$E$3</f>
        <v>0</v>
      </c>
      <c r="GZ62" s="6">
        <f>GZ4*Inputs!$E$3</f>
        <v>0</v>
      </c>
      <c r="HA62" s="6">
        <f>HA4*Inputs!$E$3</f>
        <v>0</v>
      </c>
      <c r="HB62" s="6">
        <f>HB4*Inputs!$E$3</f>
        <v>0</v>
      </c>
      <c r="HC62" s="6">
        <f>HC4*Inputs!$E$3</f>
        <v>0</v>
      </c>
      <c r="HD62" s="6">
        <f>HD4*Inputs!$E$3</f>
        <v>0</v>
      </c>
      <c r="HE62" s="6">
        <f>HE4*Inputs!$E$3</f>
        <v>0</v>
      </c>
      <c r="HF62" s="6">
        <f>HF4*Inputs!$E$3</f>
        <v>0</v>
      </c>
      <c r="HG62" s="6">
        <f>HG4*Inputs!$E$3</f>
        <v>0</v>
      </c>
      <c r="HH62" s="6">
        <f>HH4*Inputs!$E$3</f>
        <v>0</v>
      </c>
      <c r="HI62" s="6">
        <f>HI4*Inputs!$E$3</f>
        <v>0</v>
      </c>
      <c r="HJ62" s="6">
        <f>HJ4*Inputs!$E$3</f>
        <v>0</v>
      </c>
      <c r="HK62" s="6">
        <f>HK4*Inputs!$E$3</f>
        <v>0</v>
      </c>
      <c r="HL62" s="6">
        <f>HL4*Inputs!$E$3</f>
        <v>0</v>
      </c>
      <c r="HM62" s="6">
        <f>HM4*Inputs!$E$3</f>
        <v>0</v>
      </c>
      <c r="HN62" s="6">
        <f>HN4*Inputs!$E$3</f>
        <v>0</v>
      </c>
      <c r="HO62" s="6">
        <f>HO4*Inputs!$E$3</f>
        <v>0</v>
      </c>
      <c r="HP62" s="6">
        <f>HP4*Inputs!$E$3</f>
        <v>0</v>
      </c>
      <c r="HQ62" s="6">
        <f>HQ4*Inputs!$E$3</f>
        <v>0</v>
      </c>
      <c r="HR62" s="6">
        <f>HR4*Inputs!$E$3</f>
        <v>0</v>
      </c>
      <c r="HS62" s="6">
        <f>HS4*Inputs!$E$3</f>
        <v>0</v>
      </c>
      <c r="HT62" s="6">
        <f>HT4*Inputs!$E$3</f>
        <v>0</v>
      </c>
      <c r="HU62" s="6">
        <f>HU4*Inputs!$E$3</f>
        <v>0</v>
      </c>
      <c r="HV62" s="6">
        <f>HV4*Inputs!$E$3</f>
        <v>0</v>
      </c>
      <c r="HW62" s="6">
        <f>HW4*Inputs!$E$3</f>
        <v>0</v>
      </c>
      <c r="HX62" s="6">
        <f>HX4*Inputs!$E$3</f>
        <v>0</v>
      </c>
      <c r="HY62" s="6">
        <f>HY4*Inputs!$E$3</f>
        <v>0</v>
      </c>
      <c r="HZ62" s="6">
        <f>HZ4*Inputs!$E$3</f>
        <v>0</v>
      </c>
      <c r="IA62" s="6">
        <f>IA4*Inputs!$E$3</f>
        <v>0</v>
      </c>
      <c r="IB62" s="6">
        <f>IB4*Inputs!$E$3</f>
        <v>0</v>
      </c>
      <c r="IC62" s="6">
        <f>IC4*Inputs!$E$3</f>
        <v>0</v>
      </c>
      <c r="ID62" s="6">
        <f>ID4*Inputs!$E$3</f>
        <v>0</v>
      </c>
      <c r="IE62" s="6">
        <f>IE4*Inputs!$E$3</f>
        <v>0</v>
      </c>
      <c r="IF62" s="6">
        <f>IF4*Inputs!$E$3</f>
        <v>0</v>
      </c>
      <c r="IG62" s="6">
        <f>IG4*Inputs!$E$3</f>
        <v>0</v>
      </c>
      <c r="IH62" s="6">
        <f>IH4*Inputs!$E$3</f>
        <v>0</v>
      </c>
      <c r="II62" s="6">
        <f>II4*Inputs!$E$3</f>
        <v>0</v>
      </c>
      <c r="IJ62" s="6">
        <f>IJ4*Inputs!$E$3</f>
        <v>0</v>
      </c>
      <c r="IK62" s="6">
        <f>IK4*Inputs!$E$3</f>
        <v>0</v>
      </c>
      <c r="IL62" s="6">
        <f>IL4*Inputs!$E$3</f>
        <v>0</v>
      </c>
      <c r="IM62" s="6">
        <f>IM4*Inputs!$E$3</f>
        <v>0</v>
      </c>
      <c r="IN62" s="6">
        <f>IN4*Inputs!$E$3</f>
        <v>0</v>
      </c>
      <c r="IO62" s="6">
        <f>IO4*Inputs!$E$3</f>
        <v>0</v>
      </c>
      <c r="IP62" s="6">
        <f>IP4*Inputs!$E$3</f>
        <v>0</v>
      </c>
      <c r="IQ62" s="6">
        <f>IQ4*Inputs!$E$3</f>
        <v>0</v>
      </c>
      <c r="IR62" s="6">
        <f>IR4*Inputs!$E$3</f>
        <v>0</v>
      </c>
      <c r="IS62" s="6">
        <f>IS4*Inputs!$E$3</f>
        <v>0</v>
      </c>
      <c r="IT62" s="6">
        <f>IT4*Inputs!$E$3</f>
        <v>0</v>
      </c>
      <c r="IU62" s="6">
        <f>IU4*Inputs!$E$3</f>
        <v>0</v>
      </c>
      <c r="IV62" s="6">
        <f>IV4*Inputs!$E$3</f>
        <v>0</v>
      </c>
      <c r="IW62" s="6">
        <f>IW4*Inputs!$E$3</f>
        <v>0</v>
      </c>
      <c r="IX62" s="6">
        <f>IX4*Inputs!$E$3</f>
        <v>0</v>
      </c>
      <c r="IY62" s="6">
        <f>IY4*Inputs!$E$3</f>
        <v>0</v>
      </c>
      <c r="IZ62" s="6">
        <f>IZ4*Inputs!$E$3</f>
        <v>0</v>
      </c>
      <c r="JA62" s="6">
        <f>JA4*Inputs!$E$3</f>
        <v>0</v>
      </c>
      <c r="JB62" s="6">
        <f>JB4*Inputs!$E$3</f>
        <v>0</v>
      </c>
      <c r="JC62" s="6">
        <f>JC4*Inputs!$E$3</f>
        <v>0</v>
      </c>
      <c r="JD62" s="6">
        <f>JD4*Inputs!$E$3</f>
        <v>0</v>
      </c>
      <c r="JE62" s="6">
        <f>JE4*Inputs!$E$3</f>
        <v>0</v>
      </c>
      <c r="JF62" s="6">
        <f>JF4*Inputs!$E$3</f>
        <v>0</v>
      </c>
      <c r="JG62" s="6">
        <f>JG4*Inputs!$E$3</f>
        <v>0</v>
      </c>
      <c r="JH62" s="6">
        <f>JH4*Inputs!$E$3</f>
        <v>0</v>
      </c>
      <c r="JI62" s="6">
        <f>JI4*Inputs!$E$3</f>
        <v>0</v>
      </c>
      <c r="JJ62" s="6">
        <f>JJ4*Inputs!$E$3</f>
        <v>0</v>
      </c>
      <c r="JK62" s="6">
        <f>JK4*Inputs!$E$3</f>
        <v>0</v>
      </c>
      <c r="JL62" s="6">
        <f>JL4*Inputs!$E$3</f>
        <v>0</v>
      </c>
      <c r="JM62" s="6">
        <f>JM4*Inputs!$E$3</f>
        <v>0</v>
      </c>
      <c r="JN62" s="6">
        <f>JN4*Inputs!$E$3</f>
        <v>0</v>
      </c>
      <c r="JO62" s="6">
        <f>JO4*Inputs!$E$3</f>
        <v>0</v>
      </c>
      <c r="JP62" s="6">
        <f>JP4*Inputs!$E$3</f>
        <v>0</v>
      </c>
      <c r="JQ62" s="6">
        <f>JQ4*Inputs!$E$3</f>
        <v>0</v>
      </c>
      <c r="JR62" s="6">
        <f>JR4*Inputs!$E$3</f>
        <v>0</v>
      </c>
      <c r="JS62" s="6">
        <f>JS4*Inputs!$E$3</f>
        <v>0</v>
      </c>
      <c r="JT62" s="6">
        <f>JT4*Inputs!$E$3</f>
        <v>0</v>
      </c>
      <c r="JU62" s="6">
        <f>JU4*Inputs!$E$3</f>
        <v>0</v>
      </c>
      <c r="JV62" s="6">
        <f>JV4*Inputs!$E$3</f>
        <v>0</v>
      </c>
      <c r="JW62" s="6">
        <f>JW4*Inputs!$E$3</f>
        <v>0</v>
      </c>
      <c r="JX62" s="6">
        <f>JX4*Inputs!$E$3</f>
        <v>0</v>
      </c>
      <c r="JY62" s="6">
        <f>JY4*Inputs!$E$3</f>
        <v>0</v>
      </c>
      <c r="JZ62" s="6">
        <f>JZ4*Inputs!$E$3</f>
        <v>0</v>
      </c>
      <c r="KA62" s="6">
        <f>KA4*Inputs!$E$3</f>
        <v>0</v>
      </c>
      <c r="KB62" s="6">
        <f>KB4*Inputs!$E$3</f>
        <v>0</v>
      </c>
      <c r="KC62" s="6">
        <f>KC4*Inputs!$E$3</f>
        <v>0</v>
      </c>
      <c r="KD62" s="6">
        <f>KD4*Inputs!$E$3</f>
        <v>0</v>
      </c>
      <c r="KE62" s="6">
        <f>KE4*Inputs!$E$3</f>
        <v>0</v>
      </c>
      <c r="KF62" s="6">
        <f>KF4*Inputs!$E$3</f>
        <v>0</v>
      </c>
      <c r="KG62" s="6">
        <f>KG4*Inputs!$E$3</f>
        <v>0</v>
      </c>
      <c r="KH62" s="6">
        <f>KH4*Inputs!$E$3</f>
        <v>0</v>
      </c>
      <c r="KI62" s="6">
        <f>KI4*Inputs!$E$3</f>
        <v>0</v>
      </c>
      <c r="KJ62" s="6">
        <f>KJ4*Inputs!$E$3</f>
        <v>0</v>
      </c>
      <c r="KK62" s="6">
        <f>KK4*Inputs!$E$3</f>
        <v>0</v>
      </c>
      <c r="KL62" s="6">
        <f>KL4*Inputs!$E$3</f>
        <v>0</v>
      </c>
      <c r="KM62" s="6">
        <f>KM4*Inputs!$E$3</f>
        <v>0</v>
      </c>
      <c r="KN62" s="6">
        <f>KN4*Inputs!$E$3</f>
        <v>0</v>
      </c>
      <c r="KO62" s="6">
        <f>KO4*Inputs!$E$3</f>
        <v>0</v>
      </c>
      <c r="KP62" s="6">
        <f>KP4*Inputs!$E$3</f>
        <v>0</v>
      </c>
      <c r="KQ62" s="6">
        <f>KQ4*Inputs!$E$3</f>
        <v>0</v>
      </c>
      <c r="KR62" s="6">
        <f>KR4*Inputs!$E$3</f>
        <v>0</v>
      </c>
      <c r="KS62" s="6">
        <f>KS4*Inputs!$E$3</f>
        <v>0</v>
      </c>
    </row>
    <row r="63" spans="2:305">
      <c r="B63" t="s">
        <v>20</v>
      </c>
      <c r="C63" s="6">
        <f>+SUM(E63:KS63)+SUMIF(E62:KS62,"&gt;0")</f>
        <v>908779.78367811511</v>
      </c>
      <c r="E63" s="6">
        <f t="shared" ref="E63:BP63" si="99">-E16+E35+E41-E51+E57</f>
        <v>0</v>
      </c>
      <c r="F63" s="6">
        <f t="shared" si="99"/>
        <v>1650</v>
      </c>
      <c r="G63" s="6">
        <f t="shared" si="99"/>
        <v>1650</v>
      </c>
      <c r="H63" s="6">
        <f t="shared" si="99"/>
        <v>1650</v>
      </c>
      <c r="I63" s="6">
        <f t="shared" si="99"/>
        <v>1650</v>
      </c>
      <c r="J63" s="6">
        <f t="shared" si="99"/>
        <v>1650</v>
      </c>
      <c r="K63" s="6">
        <f t="shared" si="99"/>
        <v>1650</v>
      </c>
      <c r="L63" s="6">
        <f t="shared" si="99"/>
        <v>1650</v>
      </c>
      <c r="M63" s="6">
        <f t="shared" si="99"/>
        <v>1650</v>
      </c>
      <c r="N63" s="6">
        <f t="shared" si="99"/>
        <v>1650</v>
      </c>
      <c r="O63" s="6">
        <f t="shared" si="99"/>
        <v>1650</v>
      </c>
      <c r="P63" s="6">
        <f t="shared" si="99"/>
        <v>2165</v>
      </c>
      <c r="Q63" s="6">
        <f t="shared" si="99"/>
        <v>2321</v>
      </c>
      <c r="R63" s="6">
        <f t="shared" si="99"/>
        <v>2321</v>
      </c>
      <c r="S63" s="6">
        <f t="shared" si="99"/>
        <v>2321</v>
      </c>
      <c r="T63" s="6">
        <f t="shared" si="99"/>
        <v>2321</v>
      </c>
      <c r="U63" s="6">
        <f t="shared" si="99"/>
        <v>2321</v>
      </c>
      <c r="V63" s="6">
        <f t="shared" si="99"/>
        <v>2321</v>
      </c>
      <c r="W63" s="6">
        <f t="shared" si="99"/>
        <v>2321</v>
      </c>
      <c r="X63" s="6">
        <f t="shared" si="99"/>
        <v>2321</v>
      </c>
      <c r="Y63" s="6">
        <f t="shared" si="99"/>
        <v>2321</v>
      </c>
      <c r="Z63" s="6">
        <f t="shared" si="99"/>
        <v>2321</v>
      </c>
      <c r="AA63" s="6">
        <f t="shared" si="99"/>
        <v>2321</v>
      </c>
      <c r="AB63" s="6">
        <f t="shared" si="99"/>
        <v>2321</v>
      </c>
      <c r="AC63" s="6">
        <f t="shared" si="99"/>
        <v>2480.12</v>
      </c>
      <c r="AD63" s="6">
        <f t="shared" si="99"/>
        <v>2480.12</v>
      </c>
      <c r="AE63" s="6">
        <f t="shared" si="99"/>
        <v>2480.12</v>
      </c>
      <c r="AF63" s="6">
        <f t="shared" si="99"/>
        <v>2480.12</v>
      </c>
      <c r="AG63" s="6">
        <f t="shared" si="99"/>
        <v>2480.12</v>
      </c>
      <c r="AH63" s="6">
        <f t="shared" si="99"/>
        <v>2480.12</v>
      </c>
      <c r="AI63" s="6">
        <f t="shared" si="99"/>
        <v>2480.12</v>
      </c>
      <c r="AJ63" s="6">
        <f t="shared" si="99"/>
        <v>2480.12</v>
      </c>
      <c r="AK63" s="6">
        <f t="shared" si="99"/>
        <v>2480.12</v>
      </c>
      <c r="AL63" s="6">
        <f t="shared" si="99"/>
        <v>2480.12</v>
      </c>
      <c r="AM63" s="6">
        <f t="shared" si="99"/>
        <v>2480.12</v>
      </c>
      <c r="AN63" s="6">
        <f t="shared" si="99"/>
        <v>2480.12</v>
      </c>
      <c r="AO63" s="6">
        <f t="shared" si="99"/>
        <v>258.68779999999998</v>
      </c>
      <c r="AP63" s="6">
        <f t="shared" si="99"/>
        <v>1308.6227899999999</v>
      </c>
      <c r="AQ63" s="6">
        <f t="shared" si="99"/>
        <v>861.13809000000003</v>
      </c>
      <c r="AR63" s="6">
        <f t="shared" si="99"/>
        <v>494.80500999999998</v>
      </c>
      <c r="AS63" s="6">
        <f t="shared" si="99"/>
        <v>1472.1238000000001</v>
      </c>
      <c r="AT63" s="6">
        <f t="shared" si="99"/>
        <v>147.37223</v>
      </c>
      <c r="AU63" s="6">
        <f t="shared" si="99"/>
        <v>1275.2013400000001</v>
      </c>
      <c r="AV63" s="6">
        <f t="shared" si="99"/>
        <v>1024.56223</v>
      </c>
      <c r="AW63" s="6">
        <f t="shared" si="99"/>
        <v>1488.32266</v>
      </c>
      <c r="AX63" s="6">
        <f t="shared" si="99"/>
        <v>1699.7643399999999</v>
      </c>
      <c r="AY63" s="6">
        <f t="shared" si="99"/>
        <v>2642.3755999999998</v>
      </c>
      <c r="AZ63" s="6">
        <f t="shared" si="99"/>
        <v>2642.3755999999998</v>
      </c>
      <c r="BA63" s="6">
        <f t="shared" si="99"/>
        <v>2807.7789699999998</v>
      </c>
      <c r="BB63" s="6">
        <f t="shared" si="99"/>
        <v>2807.7789699999998</v>
      </c>
      <c r="BC63" s="6">
        <f t="shared" si="99"/>
        <v>2807.7789699999998</v>
      </c>
      <c r="BD63" s="6">
        <f t="shared" si="99"/>
        <v>2807.7789699999998</v>
      </c>
      <c r="BE63" s="6">
        <f t="shared" si="99"/>
        <v>2807.7789699999998</v>
      </c>
      <c r="BF63" s="6">
        <f t="shared" si="99"/>
        <v>2807.7789699999998</v>
      </c>
      <c r="BG63" s="6">
        <f t="shared" si="99"/>
        <v>2807.7789699999998</v>
      </c>
      <c r="BH63" s="6">
        <f t="shared" si="99"/>
        <v>2807.7789699999998</v>
      </c>
      <c r="BI63" s="6">
        <f t="shared" si="99"/>
        <v>2807.7789699999998</v>
      </c>
      <c r="BJ63" s="6">
        <f t="shared" si="99"/>
        <v>2807.7789699999998</v>
      </c>
      <c r="BK63" s="6">
        <f t="shared" si="99"/>
        <v>2807.7789699999998</v>
      </c>
      <c r="BL63" s="6">
        <f t="shared" si="99"/>
        <v>2807.7789699999998</v>
      </c>
      <c r="BM63" s="6">
        <f t="shared" si="99"/>
        <v>2976.3385400000002</v>
      </c>
      <c r="BN63" s="6">
        <f t="shared" si="99"/>
        <v>2976.3385400000002</v>
      </c>
      <c r="BO63" s="6">
        <f t="shared" si="99"/>
        <v>2976.3385400000002</v>
      </c>
      <c r="BP63" s="6">
        <f t="shared" si="99"/>
        <v>2976.3385400000002</v>
      </c>
      <c r="BQ63" s="6">
        <f t="shared" ref="BQ63:CE63" si="100">-BQ16+BQ35+BQ41-BQ51+BQ57</f>
        <v>2976.3385400000002</v>
      </c>
      <c r="BR63" s="6">
        <f t="shared" si="100"/>
        <v>2976.3385400000002</v>
      </c>
      <c r="BS63" s="6">
        <f t="shared" si="100"/>
        <v>2976.3385400000002</v>
      </c>
      <c r="BT63" s="6">
        <f t="shared" si="100"/>
        <v>2976.3385400000002</v>
      </c>
      <c r="BU63" s="6">
        <f t="shared" si="100"/>
        <v>2976.3385400000002</v>
      </c>
      <c r="BV63" s="6">
        <f t="shared" si="100"/>
        <v>2976.3385400000002</v>
      </c>
      <c r="BW63" s="6">
        <f t="shared" si="100"/>
        <v>2976.3385400000002</v>
      </c>
      <c r="BX63" s="6">
        <f t="shared" si="100"/>
        <v>2976.3385400000002</v>
      </c>
      <c r="BY63" s="6">
        <f t="shared" si="100"/>
        <v>3148.0587099999998</v>
      </c>
      <c r="BZ63" s="6">
        <f t="shared" si="100"/>
        <v>3148.0587099999998</v>
      </c>
      <c r="CA63" s="6">
        <f t="shared" si="100"/>
        <v>3148.0587099999998</v>
      </c>
      <c r="CB63" s="6">
        <f t="shared" si="100"/>
        <v>3148.0587099999998</v>
      </c>
      <c r="CC63" s="6">
        <f t="shared" si="100"/>
        <v>3148.0587099999998</v>
      </c>
      <c r="CD63" s="6">
        <f t="shared" si="100"/>
        <v>3148.0587099999998</v>
      </c>
      <c r="CE63" s="6">
        <f t="shared" si="100"/>
        <v>3148.0587099999998</v>
      </c>
      <c r="CF63" s="6">
        <f>-CF16+CF35+CF41-CF51+CF57</f>
        <v>3148.0587099999998</v>
      </c>
      <c r="CG63" s="6">
        <f t="shared" ref="CG63:ER63" si="101">-CG16+CG35+CG41-CG51+CG57</f>
        <v>3148.0587099999998</v>
      </c>
      <c r="CH63" s="6">
        <f t="shared" si="101"/>
        <v>3148.0587099999998</v>
      </c>
      <c r="CI63" s="6">
        <f t="shared" si="101"/>
        <v>3148.0587099999998</v>
      </c>
      <c r="CJ63" s="6">
        <f t="shared" si="101"/>
        <v>2574.0456721147611</v>
      </c>
      <c r="CK63" s="6">
        <f t="shared" si="101"/>
        <v>2326.0576430000001</v>
      </c>
      <c r="CL63" s="6">
        <f t="shared" si="101"/>
        <v>2326.0576430000001</v>
      </c>
      <c r="CM63" s="6">
        <f t="shared" si="101"/>
        <v>2326.0576430000001</v>
      </c>
      <c r="CN63" s="6">
        <f t="shared" si="101"/>
        <v>2326.0576430000001</v>
      </c>
      <c r="CO63" s="6">
        <f t="shared" si="101"/>
        <v>2326.0576430000001</v>
      </c>
      <c r="CP63" s="6">
        <f t="shared" si="101"/>
        <v>2326.0576430000001</v>
      </c>
      <c r="CQ63" s="6">
        <f t="shared" si="101"/>
        <v>2326.0576430000001</v>
      </c>
      <c r="CR63" s="6">
        <f t="shared" si="101"/>
        <v>2326.0576430000001</v>
      </c>
      <c r="CS63" s="6">
        <f t="shared" si="101"/>
        <v>2326.0576430000001</v>
      </c>
      <c r="CT63" s="6">
        <f t="shared" si="101"/>
        <v>2326.0576430000001</v>
      </c>
      <c r="CU63" s="6">
        <f t="shared" si="101"/>
        <v>2326.0576430000001</v>
      </c>
      <c r="CV63" s="6">
        <f t="shared" si="101"/>
        <v>2326.0576430000001</v>
      </c>
      <c r="CW63" s="6">
        <f t="shared" si="101"/>
        <v>481.59164899999996</v>
      </c>
      <c r="CX63" s="6">
        <f t="shared" si="101"/>
        <v>166.559946</v>
      </c>
      <c r="CY63" s="6">
        <f t="shared" si="101"/>
        <v>558.29113899999993</v>
      </c>
      <c r="CZ63" s="6">
        <f t="shared" si="101"/>
        <v>390.80628999999999</v>
      </c>
      <c r="DA63" s="6">
        <f t="shared" si="101"/>
        <v>489.12847199999993</v>
      </c>
      <c r="DB63" s="6">
        <f t="shared" si="101"/>
        <v>447.59689099999997</v>
      </c>
      <c r="DC63" s="6">
        <f t="shared" si="101"/>
        <v>451.58417500000002</v>
      </c>
      <c r="DD63" s="6">
        <f t="shared" si="101"/>
        <v>88.861219999999989</v>
      </c>
      <c r="DE63" s="6">
        <f t="shared" si="101"/>
        <v>2450.6832979999999</v>
      </c>
      <c r="DF63" s="6">
        <f t="shared" si="101"/>
        <v>2450.6832979999999</v>
      </c>
      <c r="DG63" s="6">
        <f t="shared" si="101"/>
        <v>2450.6832979999999</v>
      </c>
      <c r="DH63" s="6">
        <f t="shared" si="101"/>
        <v>2450.6832979999999</v>
      </c>
      <c r="DI63" s="6">
        <f t="shared" si="101"/>
        <v>2577.5111739999998</v>
      </c>
      <c r="DJ63" s="6">
        <f t="shared" si="101"/>
        <v>2577.5111739999998</v>
      </c>
      <c r="DK63" s="6">
        <f t="shared" si="101"/>
        <v>2577.5111739999998</v>
      </c>
      <c r="DL63" s="6">
        <f t="shared" si="101"/>
        <v>2577.5111739999998</v>
      </c>
      <c r="DM63" s="6">
        <f t="shared" si="101"/>
        <v>2577.5111739999998</v>
      </c>
      <c r="DN63" s="6">
        <f t="shared" si="101"/>
        <v>2577.5111739999998</v>
      </c>
      <c r="DO63" s="6">
        <f t="shared" si="101"/>
        <v>2577.5111739999998</v>
      </c>
      <c r="DP63" s="6">
        <f t="shared" si="101"/>
        <v>2577.5111739999998</v>
      </c>
      <c r="DQ63" s="6">
        <f t="shared" si="101"/>
        <v>2577.5111739999998</v>
      </c>
      <c r="DR63" s="6">
        <f t="shared" si="101"/>
        <v>2577.5111739999998</v>
      </c>
      <c r="DS63" s="6">
        <f t="shared" si="101"/>
        <v>2577.5111739999998</v>
      </c>
      <c r="DT63" s="6">
        <f t="shared" si="101"/>
        <v>2577.5111739999998</v>
      </c>
      <c r="DU63" s="6">
        <f t="shared" si="101"/>
        <v>2706.5304979999996</v>
      </c>
      <c r="DV63" s="6">
        <f t="shared" si="101"/>
        <v>2706.5304979999996</v>
      </c>
      <c r="DW63" s="6">
        <f t="shared" si="101"/>
        <v>2706.5304979999996</v>
      </c>
      <c r="DX63" s="6">
        <f t="shared" si="101"/>
        <v>2706.5304979999996</v>
      </c>
      <c r="DY63" s="6">
        <f t="shared" si="101"/>
        <v>2706.5304979999996</v>
      </c>
      <c r="DZ63" s="6">
        <f t="shared" si="101"/>
        <v>2706.5304979999996</v>
      </c>
      <c r="EA63" s="6">
        <f t="shared" si="101"/>
        <v>2706.5304979999996</v>
      </c>
      <c r="EB63" s="6">
        <f t="shared" si="101"/>
        <v>2706.5304979999996</v>
      </c>
      <c r="EC63" s="6">
        <f t="shared" si="101"/>
        <v>2706.5304979999996</v>
      </c>
      <c r="ED63" s="6">
        <f t="shared" si="101"/>
        <v>2706.5304979999996</v>
      </c>
      <c r="EE63" s="6">
        <f t="shared" si="101"/>
        <v>2706.5304979999996</v>
      </c>
      <c r="EF63" s="6">
        <f t="shared" si="101"/>
        <v>2706.5304979999996</v>
      </c>
      <c r="EG63" s="6">
        <f t="shared" si="101"/>
        <v>2837.7263529999996</v>
      </c>
      <c r="EH63" s="6">
        <f t="shared" si="101"/>
        <v>2837.7263529999996</v>
      </c>
      <c r="EI63" s="6">
        <f t="shared" si="101"/>
        <v>2837.7263529999996</v>
      </c>
      <c r="EJ63" s="6">
        <f t="shared" si="101"/>
        <v>2837.7263529999996</v>
      </c>
      <c r="EK63" s="6">
        <f t="shared" si="101"/>
        <v>2837.7263529999996</v>
      </c>
      <c r="EL63" s="6">
        <f t="shared" si="101"/>
        <v>2837.7263529999996</v>
      </c>
      <c r="EM63" s="6">
        <f t="shared" si="101"/>
        <v>2837.7263529999996</v>
      </c>
      <c r="EN63" s="6">
        <f t="shared" si="101"/>
        <v>2837.7263529999996</v>
      </c>
      <c r="EO63" s="6">
        <f t="shared" si="101"/>
        <v>2837.7263529999996</v>
      </c>
      <c r="EP63" s="6">
        <f t="shared" si="101"/>
        <v>2837.7263529999996</v>
      </c>
      <c r="EQ63" s="6">
        <f t="shared" si="101"/>
        <v>2837.7263529999996</v>
      </c>
      <c r="ER63" s="6">
        <f t="shared" si="101"/>
        <v>2837.7263529999996</v>
      </c>
      <c r="ES63" s="6">
        <f t="shared" ref="ES63:HD63" si="102">-ES16+ES35+ES41-ES51+ES57</f>
        <v>2971.0793349999999</v>
      </c>
      <c r="ET63" s="6">
        <f t="shared" si="102"/>
        <v>2971.0793349999999</v>
      </c>
      <c r="EU63" s="6">
        <f t="shared" si="102"/>
        <v>2971.0793349999999</v>
      </c>
      <c r="EV63" s="6">
        <f t="shared" si="102"/>
        <v>2971.0793349999999</v>
      </c>
      <c r="EW63" s="6">
        <f t="shared" si="102"/>
        <v>2971.0793349999999</v>
      </c>
      <c r="EX63" s="6">
        <f t="shared" si="102"/>
        <v>2971.0793349999999</v>
      </c>
      <c r="EY63" s="6">
        <f t="shared" si="102"/>
        <v>2971.0793349999999</v>
      </c>
      <c r="EZ63" s="6">
        <f t="shared" si="102"/>
        <v>2971.0793349999999</v>
      </c>
      <c r="FA63" s="6">
        <f t="shared" si="102"/>
        <v>2971.0793349999999</v>
      </c>
      <c r="FB63" s="6">
        <f t="shared" si="102"/>
        <v>2971.0793349999999</v>
      </c>
      <c r="FC63" s="6">
        <f t="shared" si="102"/>
        <v>2971.0793349999999</v>
      </c>
      <c r="FD63" s="6">
        <f t="shared" si="102"/>
        <v>2971.0793349999999</v>
      </c>
      <c r="FE63" s="6">
        <f t="shared" si="102"/>
        <v>809.53260499999999</v>
      </c>
      <c r="FF63" s="6">
        <f t="shared" si="102"/>
        <v>2966.7628690000001</v>
      </c>
      <c r="FG63" s="6">
        <f t="shared" si="102"/>
        <v>1620.9831819999997</v>
      </c>
      <c r="FH63" s="6">
        <f t="shared" si="102"/>
        <v>2028.4220389999998</v>
      </c>
      <c r="FI63" s="6">
        <f t="shared" si="102"/>
        <v>3139.6135260000001</v>
      </c>
      <c r="FJ63" s="6">
        <f t="shared" si="102"/>
        <v>692.1527759999999</v>
      </c>
      <c r="FK63" s="6">
        <f t="shared" si="102"/>
        <v>1138.058145</v>
      </c>
      <c r="FL63" s="6">
        <f t="shared" si="102"/>
        <v>2903.7997449999998</v>
      </c>
      <c r="FM63" s="6">
        <f t="shared" si="102"/>
        <v>3106.5652100000002</v>
      </c>
      <c r="FN63" s="6">
        <f t="shared" si="102"/>
        <v>3106.5652100000002</v>
      </c>
      <c r="FO63" s="6">
        <f t="shared" si="102"/>
        <v>3106.5652100000002</v>
      </c>
      <c r="FP63" s="6">
        <f t="shared" si="102"/>
        <v>3106.5652100000002</v>
      </c>
      <c r="FQ63" s="6">
        <f t="shared" si="102"/>
        <v>3244.1545919999999</v>
      </c>
      <c r="FR63" s="6">
        <f t="shared" si="102"/>
        <v>3244.1545919999999</v>
      </c>
      <c r="FS63" s="6">
        <f t="shared" si="102"/>
        <v>3244.1545919999999</v>
      </c>
      <c r="FT63" s="6">
        <f t="shared" si="102"/>
        <v>3244.1545919999999</v>
      </c>
      <c r="FU63" s="6">
        <f t="shared" si="102"/>
        <v>3244.1545919999999</v>
      </c>
      <c r="FV63" s="6">
        <f t="shared" si="102"/>
        <v>3244.1545919999999</v>
      </c>
      <c r="FW63" s="6">
        <f t="shared" si="102"/>
        <v>3244.1545919999999</v>
      </c>
      <c r="FX63" s="6">
        <f t="shared" si="102"/>
        <v>3244.1545919999999</v>
      </c>
      <c r="FY63" s="6">
        <f t="shared" si="102"/>
        <v>3244.1545919999999</v>
      </c>
      <c r="FZ63" s="6">
        <f t="shared" si="102"/>
        <v>3244.1545919999999</v>
      </c>
      <c r="GA63" s="6">
        <f t="shared" si="102"/>
        <v>3244.1545919999999</v>
      </c>
      <c r="GB63" s="6">
        <f t="shared" si="102"/>
        <v>3244.1545919999999</v>
      </c>
      <c r="GC63" s="6">
        <f t="shared" si="102"/>
        <v>3383.8125230000001</v>
      </c>
      <c r="GD63" s="6">
        <f t="shared" si="102"/>
        <v>3383.8125230000001</v>
      </c>
      <c r="GE63" s="6">
        <f t="shared" si="102"/>
        <v>3383.8125230000001</v>
      </c>
      <c r="GF63" s="6">
        <f t="shared" si="102"/>
        <v>3383.8125230000001</v>
      </c>
      <c r="GG63" s="6">
        <f t="shared" si="102"/>
        <v>3383.8125230000001</v>
      </c>
      <c r="GH63" s="6">
        <f t="shared" si="102"/>
        <v>3383.8125230000001</v>
      </c>
      <c r="GI63" s="6">
        <f t="shared" si="102"/>
        <v>3383.8125230000001</v>
      </c>
      <c r="GJ63" s="6">
        <f t="shared" si="102"/>
        <v>3383.8125230000001</v>
      </c>
      <c r="GK63" s="6">
        <f t="shared" si="102"/>
        <v>3383.8125230000001</v>
      </c>
      <c r="GL63" s="6">
        <f t="shared" si="102"/>
        <v>3383.8125230000001</v>
      </c>
      <c r="GM63" s="6">
        <f t="shared" si="102"/>
        <v>3383.8125230000001</v>
      </c>
      <c r="GN63" s="6">
        <f t="shared" si="102"/>
        <v>3383.8125230000001</v>
      </c>
      <c r="GO63" s="6">
        <f t="shared" si="102"/>
        <v>3525.4981089999997</v>
      </c>
      <c r="GP63" s="6">
        <f t="shared" si="102"/>
        <v>3525.4981089999997</v>
      </c>
      <c r="GQ63" s="6">
        <f t="shared" si="102"/>
        <v>3525.4981089999997</v>
      </c>
      <c r="GR63" s="6">
        <f t="shared" si="102"/>
        <v>3525.4981089999997</v>
      </c>
      <c r="GS63" s="6">
        <f t="shared" si="102"/>
        <v>3525.4981089999997</v>
      </c>
      <c r="GT63" s="6">
        <f t="shared" si="102"/>
        <v>3525.4981089999997</v>
      </c>
      <c r="GU63" s="6">
        <f t="shared" si="102"/>
        <v>3525.4981089999997</v>
      </c>
      <c r="GV63" s="6">
        <f t="shared" si="102"/>
        <v>3525.4981089999997</v>
      </c>
      <c r="GW63" s="6">
        <f t="shared" si="102"/>
        <v>3525.4981089999997</v>
      </c>
      <c r="GX63" s="6">
        <f t="shared" si="102"/>
        <v>3525.4981089999997</v>
      </c>
      <c r="GY63" s="6">
        <f t="shared" si="102"/>
        <v>3525.4981089999997</v>
      </c>
      <c r="GZ63" s="6">
        <f t="shared" si="102"/>
        <v>3525.4981089999997</v>
      </c>
      <c r="HA63" s="6">
        <f t="shared" si="102"/>
        <v>3669.1640719999996</v>
      </c>
      <c r="HB63" s="6">
        <f t="shared" si="102"/>
        <v>3669.1640719999996</v>
      </c>
      <c r="HC63" s="6">
        <f t="shared" si="102"/>
        <v>3669.1640719999996</v>
      </c>
      <c r="HD63" s="6">
        <f t="shared" si="102"/>
        <v>3669.1640719999996</v>
      </c>
      <c r="HE63" s="6">
        <f t="shared" ref="HE63:JP63" si="103">-HE16+HE35+HE41-HE51+HE57</f>
        <v>3669.1640719999996</v>
      </c>
      <c r="HF63" s="6">
        <f t="shared" si="103"/>
        <v>3669.1640719999996</v>
      </c>
      <c r="HG63" s="6">
        <f t="shared" si="103"/>
        <v>3669.1640719999996</v>
      </c>
      <c r="HH63" s="6">
        <f t="shared" si="103"/>
        <v>3669.1640719999996</v>
      </c>
      <c r="HI63" s="6">
        <f t="shared" si="103"/>
        <v>3669.1640719999996</v>
      </c>
      <c r="HJ63" s="6">
        <f t="shared" si="103"/>
        <v>3669.1640719999996</v>
      </c>
      <c r="HK63" s="6">
        <f t="shared" si="103"/>
        <v>3669.1640719999996</v>
      </c>
      <c r="HL63" s="6">
        <f t="shared" si="103"/>
        <v>3669.1640719999996</v>
      </c>
      <c r="HM63" s="6">
        <f t="shared" si="103"/>
        <v>1163.628158</v>
      </c>
      <c r="HN63" s="6">
        <f t="shared" si="103"/>
        <v>1138.267613</v>
      </c>
      <c r="HO63" s="6">
        <f t="shared" si="103"/>
        <v>1567.8623239999999</v>
      </c>
      <c r="HP63" s="6">
        <f t="shared" si="103"/>
        <v>1371.421891</v>
      </c>
      <c r="HQ63" s="6">
        <f t="shared" si="103"/>
        <v>1268.6451259999999</v>
      </c>
      <c r="HR63" s="6">
        <f t="shared" si="103"/>
        <v>1009.5878029999999</v>
      </c>
      <c r="HS63" s="6">
        <f t="shared" si="103"/>
        <v>2085.274324</v>
      </c>
      <c r="HT63" s="6">
        <f t="shared" si="103"/>
        <v>3814.7563089999994</v>
      </c>
      <c r="HU63" s="6">
        <f t="shared" si="103"/>
        <v>3814.7563089999994</v>
      </c>
      <c r="HV63" s="6">
        <f t="shared" si="103"/>
        <v>3814.7563089999994</v>
      </c>
      <c r="HW63" s="6">
        <f t="shared" si="103"/>
        <v>3814.7563089999994</v>
      </c>
      <c r="HX63" s="6">
        <f t="shared" si="103"/>
        <v>3814.7563089999994</v>
      </c>
      <c r="HY63" s="6">
        <f t="shared" si="103"/>
        <v>3962.2134369999994</v>
      </c>
      <c r="HZ63" s="6">
        <f t="shared" si="103"/>
        <v>3962.2134369999994</v>
      </c>
      <c r="IA63" s="6">
        <f t="shared" si="103"/>
        <v>3962.2134369999994</v>
      </c>
      <c r="IB63" s="6">
        <f t="shared" si="103"/>
        <v>3962.2134369999994</v>
      </c>
      <c r="IC63" s="6">
        <f t="shared" si="103"/>
        <v>3962.2134369999994</v>
      </c>
      <c r="ID63" s="6">
        <f t="shared" si="103"/>
        <v>3962.2134369999994</v>
      </c>
      <c r="IE63" s="6">
        <f t="shared" si="103"/>
        <v>3962.2134369999994</v>
      </c>
      <c r="IF63" s="6">
        <f t="shared" si="103"/>
        <v>3962.2134369999994</v>
      </c>
      <c r="IG63" s="6">
        <f t="shared" si="103"/>
        <v>3962.2134369999994</v>
      </c>
      <c r="IH63" s="6">
        <f t="shared" si="103"/>
        <v>3962.2134369999994</v>
      </c>
      <c r="II63" s="6">
        <f t="shared" si="103"/>
        <v>3962.2134369999994</v>
      </c>
      <c r="IJ63" s="6">
        <f t="shared" si="103"/>
        <v>3962.2134369999994</v>
      </c>
      <c r="IK63" s="6">
        <f t="shared" si="103"/>
        <v>4111.4662470000003</v>
      </c>
      <c r="IL63" s="6">
        <f t="shared" si="103"/>
        <v>4111.4662470000003</v>
      </c>
      <c r="IM63" s="6">
        <f t="shared" si="103"/>
        <v>4111.4662470000003</v>
      </c>
      <c r="IN63" s="6">
        <f t="shared" si="103"/>
        <v>4111.4662470000003</v>
      </c>
      <c r="IO63" s="6">
        <f t="shared" si="103"/>
        <v>4111.4662470000003</v>
      </c>
      <c r="IP63" s="6">
        <f t="shared" si="103"/>
        <v>4111.4662470000003</v>
      </c>
      <c r="IQ63" s="6">
        <f t="shared" si="103"/>
        <v>4111.4662470000003</v>
      </c>
      <c r="IR63" s="6">
        <f t="shared" si="103"/>
        <v>4111.4662470000003</v>
      </c>
      <c r="IS63" s="6">
        <f t="shared" si="103"/>
        <v>4111.4662470000003</v>
      </c>
      <c r="IT63" s="6">
        <f t="shared" si="103"/>
        <v>4111.4662470000003</v>
      </c>
      <c r="IU63" s="6">
        <f t="shared" si="103"/>
        <v>4111.4662470000003</v>
      </c>
      <c r="IV63" s="6">
        <f t="shared" si="103"/>
        <v>4111.4662470000003</v>
      </c>
      <c r="IW63" s="6">
        <f t="shared" si="103"/>
        <v>4262.4372139999996</v>
      </c>
      <c r="IX63" s="6">
        <f t="shared" si="103"/>
        <v>4262.4372139999996</v>
      </c>
      <c r="IY63" s="6">
        <f t="shared" si="103"/>
        <v>4262.4372139999996</v>
      </c>
      <c r="IZ63" s="6">
        <f t="shared" si="103"/>
        <v>4262.4372139999996</v>
      </c>
      <c r="JA63" s="6">
        <f t="shared" si="103"/>
        <v>4262.4372139999996</v>
      </c>
      <c r="JB63" s="6">
        <f t="shared" si="103"/>
        <v>4262.4372139999996</v>
      </c>
      <c r="JC63" s="6">
        <f t="shared" si="103"/>
        <v>4262.4372139999996</v>
      </c>
      <c r="JD63" s="6">
        <f t="shared" si="103"/>
        <v>4262.4372139999996</v>
      </c>
      <c r="JE63" s="6">
        <f t="shared" si="103"/>
        <v>4262.4372139999996</v>
      </c>
      <c r="JF63" s="6">
        <f t="shared" si="103"/>
        <v>4262.4372139999996</v>
      </c>
      <c r="JG63" s="6">
        <f t="shared" si="103"/>
        <v>4262.4372139999996</v>
      </c>
      <c r="JH63" s="6">
        <f t="shared" si="103"/>
        <v>4262.4372139999996</v>
      </c>
      <c r="JI63" s="6">
        <f t="shared" si="103"/>
        <v>4415.0399090000001</v>
      </c>
      <c r="JJ63" s="6">
        <f t="shared" si="103"/>
        <v>4415.0399090000001</v>
      </c>
      <c r="JK63" s="6">
        <f t="shared" si="103"/>
        <v>4415.0399090000001</v>
      </c>
      <c r="JL63" s="6">
        <f t="shared" si="103"/>
        <v>4415.0399090000001</v>
      </c>
      <c r="JM63" s="6">
        <f t="shared" si="103"/>
        <v>4415.0399090000001</v>
      </c>
      <c r="JN63" s="6">
        <f t="shared" si="103"/>
        <v>4415.0399090000001</v>
      </c>
      <c r="JO63" s="6">
        <f t="shared" si="103"/>
        <v>4415.0399090000001</v>
      </c>
      <c r="JP63" s="6">
        <f t="shared" si="103"/>
        <v>4415.0399090000001</v>
      </c>
      <c r="JQ63" s="6">
        <f t="shared" ref="JQ63:KR63" si="104">-JQ16+JQ35+JQ41-JQ51+JQ57</f>
        <v>4415.0399090000001</v>
      </c>
      <c r="JR63" s="6">
        <f t="shared" si="104"/>
        <v>4415.0399090000001</v>
      </c>
      <c r="JS63" s="6">
        <f t="shared" si="104"/>
        <v>4415.0399090000001</v>
      </c>
      <c r="JT63" s="6">
        <f t="shared" si="104"/>
        <v>4415.0399090000001</v>
      </c>
      <c r="JU63" s="6">
        <f t="shared" si="104"/>
        <v>1540.8392019999999</v>
      </c>
      <c r="JV63" s="6">
        <f t="shared" si="104"/>
        <v>4569.1784109999999</v>
      </c>
      <c r="JW63" s="6">
        <f t="shared" si="104"/>
        <v>4569.1784109999999</v>
      </c>
      <c r="JX63" s="6">
        <f t="shared" si="104"/>
        <v>4569.1784109999999</v>
      </c>
      <c r="JY63" s="6">
        <f t="shared" si="104"/>
        <v>4569.1784109999999</v>
      </c>
      <c r="JZ63" s="6">
        <f t="shared" si="104"/>
        <v>4569.1784109999999</v>
      </c>
      <c r="KA63" s="6">
        <f t="shared" si="104"/>
        <v>4569.1784109999999</v>
      </c>
      <c r="KB63" s="6">
        <f t="shared" si="104"/>
        <v>4569.1784109999999</v>
      </c>
      <c r="KC63" s="6">
        <f t="shared" si="104"/>
        <v>4569.1784109999999</v>
      </c>
      <c r="KD63" s="6">
        <f t="shared" si="104"/>
        <v>4569.1784109999999</v>
      </c>
      <c r="KE63" s="6">
        <f t="shared" si="104"/>
        <v>4569.1784109999999</v>
      </c>
      <c r="KF63" s="6">
        <f t="shared" si="104"/>
        <v>4569.1784109999999</v>
      </c>
      <c r="KG63" s="6">
        <f t="shared" si="104"/>
        <v>4724.7466839999997</v>
      </c>
      <c r="KH63" s="6">
        <f t="shared" si="104"/>
        <v>4724.7466839999997</v>
      </c>
      <c r="KI63" s="6">
        <f t="shared" si="104"/>
        <v>4724.7466839999997</v>
      </c>
      <c r="KJ63" s="6">
        <f t="shared" si="104"/>
        <v>4724.7466839999997</v>
      </c>
      <c r="KK63" s="6">
        <f t="shared" si="104"/>
        <v>4724.7466839999997</v>
      </c>
      <c r="KL63" s="6">
        <f t="shared" si="104"/>
        <v>4724.7466839999997</v>
      </c>
      <c r="KM63" s="6">
        <f t="shared" si="104"/>
        <v>4724.7466839999997</v>
      </c>
      <c r="KN63" s="6">
        <f t="shared" si="104"/>
        <v>4724.7466839999997</v>
      </c>
      <c r="KO63" s="6">
        <f t="shared" si="104"/>
        <v>4724.7466839999997</v>
      </c>
      <c r="KP63" s="6">
        <f t="shared" si="104"/>
        <v>4724.7466839999997</v>
      </c>
      <c r="KQ63" s="6">
        <f t="shared" si="104"/>
        <v>4724.7466839999997</v>
      </c>
      <c r="KR63" s="6">
        <f t="shared" si="104"/>
        <v>4724.7466839999997</v>
      </c>
      <c r="KS63" s="6">
        <f>-KS16+KS35+KS41-KS51+KS57</f>
        <v>4881.6278979999997</v>
      </c>
    </row>
    <row r="64" spans="2:305">
      <c r="B64" t="s">
        <v>21</v>
      </c>
      <c r="E64" s="6">
        <f>SUM(E62:E63)</f>
        <v>-163200</v>
      </c>
      <c r="F64" s="6">
        <f t="shared" ref="F64:BQ64" si="105">SUM(F62:F63)</f>
        <v>1650</v>
      </c>
      <c r="G64" s="6">
        <f t="shared" si="105"/>
        <v>1650</v>
      </c>
      <c r="H64" s="6">
        <f t="shared" si="105"/>
        <v>1650</v>
      </c>
      <c r="I64" s="6">
        <f t="shared" si="105"/>
        <v>1650</v>
      </c>
      <c r="J64" s="6">
        <f t="shared" si="105"/>
        <v>1650</v>
      </c>
      <c r="K64" s="6">
        <f t="shared" si="105"/>
        <v>1650</v>
      </c>
      <c r="L64" s="6">
        <f t="shared" si="105"/>
        <v>1650</v>
      </c>
      <c r="M64" s="6">
        <f t="shared" si="105"/>
        <v>1650</v>
      </c>
      <c r="N64" s="6">
        <f t="shared" si="105"/>
        <v>1650</v>
      </c>
      <c r="O64" s="6">
        <f t="shared" si="105"/>
        <v>1650</v>
      </c>
      <c r="P64" s="6">
        <f t="shared" si="105"/>
        <v>2165</v>
      </c>
      <c r="Q64" s="6">
        <f t="shared" si="105"/>
        <v>2321</v>
      </c>
      <c r="R64" s="6">
        <f t="shared" si="105"/>
        <v>2321</v>
      </c>
      <c r="S64" s="6">
        <f t="shared" si="105"/>
        <v>2321</v>
      </c>
      <c r="T64" s="6">
        <f t="shared" si="105"/>
        <v>2321</v>
      </c>
      <c r="U64" s="6">
        <f t="shared" si="105"/>
        <v>2321</v>
      </c>
      <c r="V64" s="6">
        <f t="shared" si="105"/>
        <v>2321</v>
      </c>
      <c r="W64" s="6">
        <f t="shared" si="105"/>
        <v>2321</v>
      </c>
      <c r="X64" s="6">
        <f t="shared" si="105"/>
        <v>2321</v>
      </c>
      <c r="Y64" s="6">
        <f t="shared" si="105"/>
        <v>2321</v>
      </c>
      <c r="Z64" s="6">
        <f t="shared" si="105"/>
        <v>2321</v>
      </c>
      <c r="AA64" s="6">
        <f t="shared" si="105"/>
        <v>2321</v>
      </c>
      <c r="AB64" s="6">
        <f t="shared" si="105"/>
        <v>2321</v>
      </c>
      <c r="AC64" s="6">
        <f t="shared" si="105"/>
        <v>2480.12</v>
      </c>
      <c r="AD64" s="6">
        <f t="shared" si="105"/>
        <v>2480.12</v>
      </c>
      <c r="AE64" s="6">
        <f t="shared" si="105"/>
        <v>2480.12</v>
      </c>
      <c r="AF64" s="6">
        <f t="shared" si="105"/>
        <v>2480.12</v>
      </c>
      <c r="AG64" s="6">
        <f t="shared" si="105"/>
        <v>2480.12</v>
      </c>
      <c r="AH64" s="6">
        <f t="shared" si="105"/>
        <v>2480.12</v>
      </c>
      <c r="AI64" s="6">
        <f t="shared" si="105"/>
        <v>2480.12</v>
      </c>
      <c r="AJ64" s="6">
        <f t="shared" si="105"/>
        <v>2480.12</v>
      </c>
      <c r="AK64" s="6">
        <f t="shared" si="105"/>
        <v>2480.12</v>
      </c>
      <c r="AL64" s="6">
        <f t="shared" si="105"/>
        <v>2480.12</v>
      </c>
      <c r="AM64" s="6">
        <f t="shared" si="105"/>
        <v>2480.12</v>
      </c>
      <c r="AN64" s="6">
        <f t="shared" si="105"/>
        <v>2480.12</v>
      </c>
      <c r="AO64" s="6">
        <f t="shared" si="105"/>
        <v>258.68779999999998</v>
      </c>
      <c r="AP64" s="6">
        <f t="shared" si="105"/>
        <v>1308.6227899999999</v>
      </c>
      <c r="AQ64" s="6">
        <f t="shared" si="105"/>
        <v>861.13809000000003</v>
      </c>
      <c r="AR64" s="6">
        <f t="shared" si="105"/>
        <v>494.80500999999998</v>
      </c>
      <c r="AS64" s="6">
        <f t="shared" si="105"/>
        <v>1472.1238000000001</v>
      </c>
      <c r="AT64" s="6">
        <f t="shared" si="105"/>
        <v>147.37223</v>
      </c>
      <c r="AU64" s="6">
        <f t="shared" si="105"/>
        <v>1275.2013400000001</v>
      </c>
      <c r="AV64" s="6">
        <f t="shared" si="105"/>
        <v>1024.56223</v>
      </c>
      <c r="AW64" s="6">
        <f t="shared" si="105"/>
        <v>1488.32266</v>
      </c>
      <c r="AX64" s="6">
        <f t="shared" si="105"/>
        <v>1699.7643399999999</v>
      </c>
      <c r="AY64" s="6">
        <f t="shared" si="105"/>
        <v>2642.3755999999998</v>
      </c>
      <c r="AZ64" s="6">
        <f t="shared" si="105"/>
        <v>2642.3755999999998</v>
      </c>
      <c r="BA64" s="6">
        <f t="shared" si="105"/>
        <v>2807.7789699999998</v>
      </c>
      <c r="BB64" s="6">
        <f t="shared" si="105"/>
        <v>2807.7789699999998</v>
      </c>
      <c r="BC64" s="6">
        <f t="shared" si="105"/>
        <v>2807.7789699999998</v>
      </c>
      <c r="BD64" s="6">
        <f t="shared" si="105"/>
        <v>2807.7789699999998</v>
      </c>
      <c r="BE64" s="6">
        <f t="shared" si="105"/>
        <v>2807.7789699999998</v>
      </c>
      <c r="BF64" s="6">
        <f t="shared" si="105"/>
        <v>2807.7789699999998</v>
      </c>
      <c r="BG64" s="6">
        <f t="shared" si="105"/>
        <v>2807.7789699999998</v>
      </c>
      <c r="BH64" s="6">
        <f t="shared" si="105"/>
        <v>2807.7789699999998</v>
      </c>
      <c r="BI64" s="6">
        <f t="shared" si="105"/>
        <v>2807.7789699999998</v>
      </c>
      <c r="BJ64" s="6">
        <f t="shared" si="105"/>
        <v>2807.7789699999998</v>
      </c>
      <c r="BK64" s="6">
        <f t="shared" si="105"/>
        <v>2807.7789699999998</v>
      </c>
      <c r="BL64" s="6">
        <f t="shared" si="105"/>
        <v>2807.7789699999998</v>
      </c>
      <c r="BM64" s="6">
        <f t="shared" si="105"/>
        <v>2976.3385400000002</v>
      </c>
      <c r="BN64" s="6">
        <f t="shared" si="105"/>
        <v>2976.3385400000002</v>
      </c>
      <c r="BO64" s="6">
        <f t="shared" si="105"/>
        <v>2976.3385400000002</v>
      </c>
      <c r="BP64" s="6">
        <f t="shared" si="105"/>
        <v>2976.3385400000002</v>
      </c>
      <c r="BQ64" s="6">
        <f t="shared" si="105"/>
        <v>2976.3385400000002</v>
      </c>
      <c r="BR64" s="6">
        <f t="shared" ref="BR64:EC64" si="106">SUM(BR62:BR63)</f>
        <v>2976.3385400000002</v>
      </c>
      <c r="BS64" s="6">
        <f t="shared" si="106"/>
        <v>2976.3385400000002</v>
      </c>
      <c r="BT64" s="6">
        <f t="shared" si="106"/>
        <v>2976.3385400000002</v>
      </c>
      <c r="BU64" s="6">
        <f t="shared" si="106"/>
        <v>2976.3385400000002</v>
      </c>
      <c r="BV64" s="6">
        <f t="shared" si="106"/>
        <v>2976.3385400000002</v>
      </c>
      <c r="BW64" s="6">
        <f t="shared" si="106"/>
        <v>2976.3385400000002</v>
      </c>
      <c r="BX64" s="6">
        <f t="shared" si="106"/>
        <v>2976.3385400000002</v>
      </c>
      <c r="BY64" s="6">
        <f t="shared" si="106"/>
        <v>3148.0587099999998</v>
      </c>
      <c r="BZ64" s="6">
        <f t="shared" si="106"/>
        <v>3148.0587099999998</v>
      </c>
      <c r="CA64" s="6">
        <f t="shared" si="106"/>
        <v>3148.0587099999998</v>
      </c>
      <c r="CB64" s="6">
        <f t="shared" si="106"/>
        <v>3148.0587099999998</v>
      </c>
      <c r="CC64" s="6">
        <f t="shared" si="106"/>
        <v>3148.0587099999998</v>
      </c>
      <c r="CD64" s="6">
        <f t="shared" si="106"/>
        <v>3148.0587099999998</v>
      </c>
      <c r="CE64" s="6">
        <f t="shared" si="106"/>
        <v>3148.0587099999998</v>
      </c>
      <c r="CF64" s="6">
        <f t="shared" si="106"/>
        <v>3148.0587099999998</v>
      </c>
      <c r="CG64" s="6">
        <f t="shared" si="106"/>
        <v>3148.0587099999998</v>
      </c>
      <c r="CH64" s="6">
        <f t="shared" si="106"/>
        <v>3148.0587099999998</v>
      </c>
      <c r="CI64" s="6">
        <f t="shared" si="106"/>
        <v>3148.0587099999998</v>
      </c>
      <c r="CJ64" s="6">
        <f t="shared" si="106"/>
        <v>2574.0456721147611</v>
      </c>
      <c r="CK64" s="6">
        <f t="shared" si="106"/>
        <v>2326.0576430000001</v>
      </c>
      <c r="CL64" s="6">
        <f t="shared" si="106"/>
        <v>2326.0576430000001</v>
      </c>
      <c r="CM64" s="6">
        <f t="shared" si="106"/>
        <v>2326.0576430000001</v>
      </c>
      <c r="CN64" s="6">
        <f t="shared" si="106"/>
        <v>2326.0576430000001</v>
      </c>
      <c r="CO64" s="6">
        <f t="shared" si="106"/>
        <v>2326.0576430000001</v>
      </c>
      <c r="CP64" s="6">
        <f t="shared" si="106"/>
        <v>2326.0576430000001</v>
      </c>
      <c r="CQ64" s="6">
        <f t="shared" si="106"/>
        <v>2326.0576430000001</v>
      </c>
      <c r="CR64" s="6">
        <f t="shared" si="106"/>
        <v>2326.0576430000001</v>
      </c>
      <c r="CS64" s="6">
        <f t="shared" si="106"/>
        <v>2326.0576430000001</v>
      </c>
      <c r="CT64" s="6">
        <f t="shared" si="106"/>
        <v>2326.0576430000001</v>
      </c>
      <c r="CU64" s="6">
        <f t="shared" si="106"/>
        <v>2326.0576430000001</v>
      </c>
      <c r="CV64" s="6">
        <f t="shared" si="106"/>
        <v>2326.0576430000001</v>
      </c>
      <c r="CW64" s="6">
        <f t="shared" si="106"/>
        <v>481.59164899999996</v>
      </c>
      <c r="CX64" s="6">
        <f t="shared" si="106"/>
        <v>166.559946</v>
      </c>
      <c r="CY64" s="6">
        <f t="shared" si="106"/>
        <v>558.29113899999993</v>
      </c>
      <c r="CZ64" s="6">
        <f t="shared" si="106"/>
        <v>390.80628999999999</v>
      </c>
      <c r="DA64" s="6">
        <f t="shared" si="106"/>
        <v>489.12847199999993</v>
      </c>
      <c r="DB64" s="6">
        <f t="shared" si="106"/>
        <v>447.59689099999997</v>
      </c>
      <c r="DC64" s="6">
        <f t="shared" si="106"/>
        <v>451.58417500000002</v>
      </c>
      <c r="DD64" s="6">
        <f t="shared" si="106"/>
        <v>88.861219999999989</v>
      </c>
      <c r="DE64" s="6">
        <f t="shared" si="106"/>
        <v>2450.6832979999999</v>
      </c>
      <c r="DF64" s="6">
        <f t="shared" si="106"/>
        <v>2450.6832979999999</v>
      </c>
      <c r="DG64" s="6">
        <f t="shared" si="106"/>
        <v>2450.6832979999999</v>
      </c>
      <c r="DH64" s="6">
        <f t="shared" si="106"/>
        <v>2450.6832979999999</v>
      </c>
      <c r="DI64" s="6">
        <f t="shared" si="106"/>
        <v>2577.5111739999998</v>
      </c>
      <c r="DJ64" s="6">
        <f t="shared" si="106"/>
        <v>2577.5111739999998</v>
      </c>
      <c r="DK64" s="6">
        <f t="shared" si="106"/>
        <v>2577.5111739999998</v>
      </c>
      <c r="DL64" s="6">
        <f t="shared" si="106"/>
        <v>2577.5111739999998</v>
      </c>
      <c r="DM64" s="6">
        <f t="shared" si="106"/>
        <v>2577.5111739999998</v>
      </c>
      <c r="DN64" s="6">
        <f t="shared" si="106"/>
        <v>2577.5111739999998</v>
      </c>
      <c r="DO64" s="6">
        <f t="shared" si="106"/>
        <v>2577.5111739999998</v>
      </c>
      <c r="DP64" s="6">
        <f t="shared" si="106"/>
        <v>2577.5111739999998</v>
      </c>
      <c r="DQ64" s="6">
        <f t="shared" si="106"/>
        <v>2577.5111739999998</v>
      </c>
      <c r="DR64" s="6">
        <f t="shared" si="106"/>
        <v>2577.5111739999998</v>
      </c>
      <c r="DS64" s="6">
        <f t="shared" si="106"/>
        <v>2577.5111739999998</v>
      </c>
      <c r="DT64" s="6">
        <f t="shared" si="106"/>
        <v>2577.5111739999998</v>
      </c>
      <c r="DU64" s="6">
        <f t="shared" si="106"/>
        <v>2706.5304979999996</v>
      </c>
      <c r="DV64" s="6">
        <f t="shared" si="106"/>
        <v>2706.5304979999996</v>
      </c>
      <c r="DW64" s="6">
        <f t="shared" si="106"/>
        <v>2706.5304979999996</v>
      </c>
      <c r="DX64" s="6">
        <f t="shared" si="106"/>
        <v>2706.5304979999996</v>
      </c>
      <c r="DY64" s="6">
        <f t="shared" si="106"/>
        <v>2706.5304979999996</v>
      </c>
      <c r="DZ64" s="6">
        <f t="shared" si="106"/>
        <v>2706.5304979999996</v>
      </c>
      <c r="EA64" s="6">
        <f t="shared" si="106"/>
        <v>2706.5304979999996</v>
      </c>
      <c r="EB64" s="6">
        <f t="shared" si="106"/>
        <v>2706.5304979999996</v>
      </c>
      <c r="EC64" s="6">
        <f t="shared" si="106"/>
        <v>2706.5304979999996</v>
      </c>
      <c r="ED64" s="6">
        <f t="shared" ref="ED64:GO64" si="107">SUM(ED62:ED63)</f>
        <v>2706.5304979999996</v>
      </c>
      <c r="EE64" s="6">
        <f t="shared" si="107"/>
        <v>2706.5304979999996</v>
      </c>
      <c r="EF64" s="6">
        <f t="shared" si="107"/>
        <v>2706.5304979999996</v>
      </c>
      <c r="EG64" s="6">
        <f t="shared" si="107"/>
        <v>2837.7263529999996</v>
      </c>
      <c r="EH64" s="6">
        <f t="shared" si="107"/>
        <v>2837.7263529999996</v>
      </c>
      <c r="EI64" s="6">
        <f t="shared" si="107"/>
        <v>2837.7263529999996</v>
      </c>
      <c r="EJ64" s="6">
        <f t="shared" si="107"/>
        <v>2837.7263529999996</v>
      </c>
      <c r="EK64" s="6">
        <f t="shared" si="107"/>
        <v>2837.7263529999996</v>
      </c>
      <c r="EL64" s="6">
        <f t="shared" si="107"/>
        <v>2837.7263529999996</v>
      </c>
      <c r="EM64" s="6">
        <f t="shared" si="107"/>
        <v>2837.7263529999996</v>
      </c>
      <c r="EN64" s="6">
        <f t="shared" si="107"/>
        <v>2837.7263529999996</v>
      </c>
      <c r="EO64" s="6">
        <f t="shared" si="107"/>
        <v>2837.7263529999996</v>
      </c>
      <c r="EP64" s="6">
        <f t="shared" si="107"/>
        <v>2837.7263529999996</v>
      </c>
      <c r="EQ64" s="6">
        <f t="shared" si="107"/>
        <v>2837.7263529999996</v>
      </c>
      <c r="ER64" s="6">
        <f t="shared" si="107"/>
        <v>2837.7263529999996</v>
      </c>
      <c r="ES64" s="6">
        <f t="shared" si="107"/>
        <v>2971.0793349999999</v>
      </c>
      <c r="ET64" s="6">
        <f t="shared" si="107"/>
        <v>2971.0793349999999</v>
      </c>
      <c r="EU64" s="6">
        <f t="shared" si="107"/>
        <v>2971.0793349999999</v>
      </c>
      <c r="EV64" s="6">
        <f t="shared" si="107"/>
        <v>2971.0793349999999</v>
      </c>
      <c r="EW64" s="6">
        <f t="shared" si="107"/>
        <v>2971.0793349999999</v>
      </c>
      <c r="EX64" s="6">
        <f t="shared" si="107"/>
        <v>2971.0793349999999</v>
      </c>
      <c r="EY64" s="6">
        <f t="shared" si="107"/>
        <v>2971.0793349999999</v>
      </c>
      <c r="EZ64" s="6">
        <f t="shared" si="107"/>
        <v>2971.0793349999999</v>
      </c>
      <c r="FA64" s="6">
        <f t="shared" si="107"/>
        <v>2971.0793349999999</v>
      </c>
      <c r="FB64" s="6">
        <f t="shared" si="107"/>
        <v>2971.0793349999999</v>
      </c>
      <c r="FC64" s="6">
        <f t="shared" si="107"/>
        <v>2971.0793349999999</v>
      </c>
      <c r="FD64" s="6">
        <f t="shared" si="107"/>
        <v>2971.0793349999999</v>
      </c>
      <c r="FE64" s="6">
        <f t="shared" si="107"/>
        <v>809.53260499999999</v>
      </c>
      <c r="FF64" s="6">
        <f t="shared" si="107"/>
        <v>2966.7628690000001</v>
      </c>
      <c r="FG64" s="6">
        <f t="shared" si="107"/>
        <v>1620.9831819999997</v>
      </c>
      <c r="FH64" s="6">
        <f t="shared" si="107"/>
        <v>2028.4220389999998</v>
      </c>
      <c r="FI64" s="6">
        <f t="shared" si="107"/>
        <v>3139.6135260000001</v>
      </c>
      <c r="FJ64" s="6">
        <f t="shared" si="107"/>
        <v>692.1527759999999</v>
      </c>
      <c r="FK64" s="6">
        <f t="shared" si="107"/>
        <v>1138.058145</v>
      </c>
      <c r="FL64" s="6">
        <f t="shared" si="107"/>
        <v>2903.7997449999998</v>
      </c>
      <c r="FM64" s="6">
        <f t="shared" si="107"/>
        <v>3106.5652100000002</v>
      </c>
      <c r="FN64" s="6">
        <f t="shared" si="107"/>
        <v>3106.5652100000002</v>
      </c>
      <c r="FO64" s="6">
        <f t="shared" si="107"/>
        <v>3106.5652100000002</v>
      </c>
      <c r="FP64" s="6">
        <f t="shared" si="107"/>
        <v>3106.5652100000002</v>
      </c>
      <c r="FQ64" s="6">
        <f t="shared" si="107"/>
        <v>3244.1545919999999</v>
      </c>
      <c r="FR64" s="6">
        <f t="shared" si="107"/>
        <v>3244.1545919999999</v>
      </c>
      <c r="FS64" s="6">
        <f t="shared" si="107"/>
        <v>3244.1545919999999</v>
      </c>
      <c r="FT64" s="6">
        <f t="shared" si="107"/>
        <v>3244.1545919999999</v>
      </c>
      <c r="FU64" s="6">
        <f t="shared" si="107"/>
        <v>3244.1545919999999</v>
      </c>
      <c r="FV64" s="6">
        <f t="shared" si="107"/>
        <v>3244.1545919999999</v>
      </c>
      <c r="FW64" s="6">
        <f t="shared" si="107"/>
        <v>3244.1545919999999</v>
      </c>
      <c r="FX64" s="6">
        <f t="shared" si="107"/>
        <v>3244.1545919999999</v>
      </c>
      <c r="FY64" s="6">
        <f t="shared" si="107"/>
        <v>3244.1545919999999</v>
      </c>
      <c r="FZ64" s="6">
        <f t="shared" si="107"/>
        <v>3244.1545919999999</v>
      </c>
      <c r="GA64" s="6">
        <f t="shared" si="107"/>
        <v>3244.1545919999999</v>
      </c>
      <c r="GB64" s="6">
        <f t="shared" si="107"/>
        <v>3244.1545919999999</v>
      </c>
      <c r="GC64" s="6">
        <f t="shared" si="107"/>
        <v>3383.8125230000001</v>
      </c>
      <c r="GD64" s="6">
        <f t="shared" si="107"/>
        <v>3383.8125230000001</v>
      </c>
      <c r="GE64" s="6">
        <f t="shared" si="107"/>
        <v>3383.8125230000001</v>
      </c>
      <c r="GF64" s="6">
        <f t="shared" si="107"/>
        <v>3383.8125230000001</v>
      </c>
      <c r="GG64" s="6">
        <f t="shared" si="107"/>
        <v>3383.8125230000001</v>
      </c>
      <c r="GH64" s="6">
        <f t="shared" si="107"/>
        <v>3383.8125230000001</v>
      </c>
      <c r="GI64" s="6">
        <f t="shared" si="107"/>
        <v>3383.8125230000001</v>
      </c>
      <c r="GJ64" s="6">
        <f t="shared" si="107"/>
        <v>3383.8125230000001</v>
      </c>
      <c r="GK64" s="6">
        <f t="shared" si="107"/>
        <v>3383.8125230000001</v>
      </c>
      <c r="GL64" s="6">
        <f t="shared" si="107"/>
        <v>3383.8125230000001</v>
      </c>
      <c r="GM64" s="6">
        <f t="shared" si="107"/>
        <v>3383.8125230000001</v>
      </c>
      <c r="GN64" s="6">
        <f t="shared" si="107"/>
        <v>3383.8125230000001</v>
      </c>
      <c r="GO64" s="6">
        <f t="shared" si="107"/>
        <v>3525.4981089999997</v>
      </c>
      <c r="GP64" s="6">
        <f t="shared" ref="GP64:JA64" si="108">SUM(GP62:GP63)</f>
        <v>3525.4981089999997</v>
      </c>
      <c r="GQ64" s="6">
        <f t="shared" si="108"/>
        <v>3525.4981089999997</v>
      </c>
      <c r="GR64" s="6">
        <f t="shared" si="108"/>
        <v>3525.4981089999997</v>
      </c>
      <c r="GS64" s="6">
        <f t="shared" si="108"/>
        <v>3525.4981089999997</v>
      </c>
      <c r="GT64" s="6">
        <f t="shared" si="108"/>
        <v>3525.4981089999997</v>
      </c>
      <c r="GU64" s="6">
        <f t="shared" si="108"/>
        <v>3525.4981089999997</v>
      </c>
      <c r="GV64" s="6">
        <f t="shared" si="108"/>
        <v>3525.4981089999997</v>
      </c>
      <c r="GW64" s="6">
        <f t="shared" si="108"/>
        <v>3525.4981089999997</v>
      </c>
      <c r="GX64" s="6">
        <f t="shared" si="108"/>
        <v>3525.4981089999997</v>
      </c>
      <c r="GY64" s="6">
        <f t="shared" si="108"/>
        <v>3525.4981089999997</v>
      </c>
      <c r="GZ64" s="6">
        <f t="shared" si="108"/>
        <v>3525.4981089999997</v>
      </c>
      <c r="HA64" s="6">
        <f t="shared" si="108"/>
        <v>3669.1640719999996</v>
      </c>
      <c r="HB64" s="6">
        <f t="shared" si="108"/>
        <v>3669.1640719999996</v>
      </c>
      <c r="HC64" s="6">
        <f t="shared" si="108"/>
        <v>3669.1640719999996</v>
      </c>
      <c r="HD64" s="6">
        <f t="shared" si="108"/>
        <v>3669.1640719999996</v>
      </c>
      <c r="HE64" s="6">
        <f t="shared" si="108"/>
        <v>3669.1640719999996</v>
      </c>
      <c r="HF64" s="6">
        <f t="shared" si="108"/>
        <v>3669.1640719999996</v>
      </c>
      <c r="HG64" s="6">
        <f t="shared" si="108"/>
        <v>3669.1640719999996</v>
      </c>
      <c r="HH64" s="6">
        <f t="shared" si="108"/>
        <v>3669.1640719999996</v>
      </c>
      <c r="HI64" s="6">
        <f t="shared" si="108"/>
        <v>3669.1640719999996</v>
      </c>
      <c r="HJ64" s="6">
        <f t="shared" si="108"/>
        <v>3669.1640719999996</v>
      </c>
      <c r="HK64" s="6">
        <f t="shared" si="108"/>
        <v>3669.1640719999996</v>
      </c>
      <c r="HL64" s="6">
        <f t="shared" si="108"/>
        <v>3669.1640719999996</v>
      </c>
      <c r="HM64" s="6">
        <f t="shared" si="108"/>
        <v>1163.628158</v>
      </c>
      <c r="HN64" s="6">
        <f t="shared" si="108"/>
        <v>1138.267613</v>
      </c>
      <c r="HO64" s="6">
        <f t="shared" si="108"/>
        <v>1567.8623239999999</v>
      </c>
      <c r="HP64" s="6">
        <f t="shared" si="108"/>
        <v>1371.421891</v>
      </c>
      <c r="HQ64" s="6">
        <f t="shared" si="108"/>
        <v>1268.6451259999999</v>
      </c>
      <c r="HR64" s="6">
        <f t="shared" si="108"/>
        <v>1009.5878029999999</v>
      </c>
      <c r="HS64" s="6">
        <f t="shared" si="108"/>
        <v>2085.274324</v>
      </c>
      <c r="HT64" s="6">
        <f t="shared" si="108"/>
        <v>3814.7563089999994</v>
      </c>
      <c r="HU64" s="6">
        <f t="shared" si="108"/>
        <v>3814.7563089999994</v>
      </c>
      <c r="HV64" s="6">
        <f t="shared" si="108"/>
        <v>3814.7563089999994</v>
      </c>
      <c r="HW64" s="6">
        <f t="shared" si="108"/>
        <v>3814.7563089999994</v>
      </c>
      <c r="HX64" s="6">
        <f t="shared" si="108"/>
        <v>3814.7563089999994</v>
      </c>
      <c r="HY64" s="6">
        <f t="shared" si="108"/>
        <v>3962.2134369999994</v>
      </c>
      <c r="HZ64" s="6">
        <f t="shared" si="108"/>
        <v>3962.2134369999994</v>
      </c>
      <c r="IA64" s="6">
        <f t="shared" si="108"/>
        <v>3962.2134369999994</v>
      </c>
      <c r="IB64" s="6">
        <f t="shared" si="108"/>
        <v>3962.2134369999994</v>
      </c>
      <c r="IC64" s="6">
        <f t="shared" si="108"/>
        <v>3962.2134369999994</v>
      </c>
      <c r="ID64" s="6">
        <f t="shared" si="108"/>
        <v>3962.2134369999994</v>
      </c>
      <c r="IE64" s="6">
        <f t="shared" si="108"/>
        <v>3962.2134369999994</v>
      </c>
      <c r="IF64" s="6">
        <f t="shared" si="108"/>
        <v>3962.2134369999994</v>
      </c>
      <c r="IG64" s="6">
        <f t="shared" si="108"/>
        <v>3962.2134369999994</v>
      </c>
      <c r="IH64" s="6">
        <f t="shared" si="108"/>
        <v>3962.2134369999994</v>
      </c>
      <c r="II64" s="6">
        <f t="shared" si="108"/>
        <v>3962.2134369999994</v>
      </c>
      <c r="IJ64" s="6">
        <f t="shared" si="108"/>
        <v>3962.2134369999994</v>
      </c>
      <c r="IK64" s="6">
        <f t="shared" si="108"/>
        <v>4111.4662470000003</v>
      </c>
      <c r="IL64" s="6">
        <f t="shared" si="108"/>
        <v>4111.4662470000003</v>
      </c>
      <c r="IM64" s="6">
        <f t="shared" si="108"/>
        <v>4111.4662470000003</v>
      </c>
      <c r="IN64" s="6">
        <f t="shared" si="108"/>
        <v>4111.4662470000003</v>
      </c>
      <c r="IO64" s="6">
        <f t="shared" si="108"/>
        <v>4111.4662470000003</v>
      </c>
      <c r="IP64" s="6">
        <f t="shared" si="108"/>
        <v>4111.4662470000003</v>
      </c>
      <c r="IQ64" s="6">
        <f t="shared" si="108"/>
        <v>4111.4662470000003</v>
      </c>
      <c r="IR64" s="6">
        <f t="shared" si="108"/>
        <v>4111.4662470000003</v>
      </c>
      <c r="IS64" s="6">
        <f t="shared" si="108"/>
        <v>4111.4662470000003</v>
      </c>
      <c r="IT64" s="6">
        <f t="shared" si="108"/>
        <v>4111.4662470000003</v>
      </c>
      <c r="IU64" s="6">
        <f t="shared" si="108"/>
        <v>4111.4662470000003</v>
      </c>
      <c r="IV64" s="6">
        <f t="shared" si="108"/>
        <v>4111.4662470000003</v>
      </c>
      <c r="IW64" s="6">
        <f t="shared" si="108"/>
        <v>4262.4372139999996</v>
      </c>
      <c r="IX64" s="6">
        <f t="shared" si="108"/>
        <v>4262.4372139999996</v>
      </c>
      <c r="IY64" s="6">
        <f t="shared" si="108"/>
        <v>4262.4372139999996</v>
      </c>
      <c r="IZ64" s="6">
        <f t="shared" si="108"/>
        <v>4262.4372139999996</v>
      </c>
      <c r="JA64" s="6">
        <f t="shared" si="108"/>
        <v>4262.4372139999996</v>
      </c>
      <c r="JB64" s="6">
        <f t="shared" ref="JB64:KS64" si="109">SUM(JB62:JB63)</f>
        <v>4262.4372139999996</v>
      </c>
      <c r="JC64" s="6">
        <f t="shared" si="109"/>
        <v>4262.4372139999996</v>
      </c>
      <c r="JD64" s="6">
        <f t="shared" si="109"/>
        <v>4262.4372139999996</v>
      </c>
      <c r="JE64" s="6">
        <f t="shared" si="109"/>
        <v>4262.4372139999996</v>
      </c>
      <c r="JF64" s="6">
        <f t="shared" si="109"/>
        <v>4262.4372139999996</v>
      </c>
      <c r="JG64" s="6">
        <f t="shared" si="109"/>
        <v>4262.4372139999996</v>
      </c>
      <c r="JH64" s="6">
        <f t="shared" si="109"/>
        <v>4262.4372139999996</v>
      </c>
      <c r="JI64" s="6">
        <f t="shared" si="109"/>
        <v>4415.0399090000001</v>
      </c>
      <c r="JJ64" s="6">
        <f t="shared" si="109"/>
        <v>4415.0399090000001</v>
      </c>
      <c r="JK64" s="6">
        <f t="shared" si="109"/>
        <v>4415.0399090000001</v>
      </c>
      <c r="JL64" s="6">
        <f t="shared" si="109"/>
        <v>4415.0399090000001</v>
      </c>
      <c r="JM64" s="6">
        <f t="shared" si="109"/>
        <v>4415.0399090000001</v>
      </c>
      <c r="JN64" s="6">
        <f t="shared" si="109"/>
        <v>4415.0399090000001</v>
      </c>
      <c r="JO64" s="6">
        <f t="shared" si="109"/>
        <v>4415.0399090000001</v>
      </c>
      <c r="JP64" s="6">
        <f t="shared" si="109"/>
        <v>4415.0399090000001</v>
      </c>
      <c r="JQ64" s="6">
        <f t="shared" si="109"/>
        <v>4415.0399090000001</v>
      </c>
      <c r="JR64" s="6">
        <f t="shared" si="109"/>
        <v>4415.0399090000001</v>
      </c>
      <c r="JS64" s="6">
        <f t="shared" si="109"/>
        <v>4415.0399090000001</v>
      </c>
      <c r="JT64" s="6">
        <f t="shared" si="109"/>
        <v>4415.0399090000001</v>
      </c>
      <c r="JU64" s="6">
        <f t="shared" si="109"/>
        <v>1540.8392019999999</v>
      </c>
      <c r="JV64" s="6">
        <f t="shared" si="109"/>
        <v>4569.1784109999999</v>
      </c>
      <c r="JW64" s="6">
        <f t="shared" si="109"/>
        <v>4569.1784109999999</v>
      </c>
      <c r="JX64" s="6">
        <f t="shared" si="109"/>
        <v>4569.1784109999999</v>
      </c>
      <c r="JY64" s="6">
        <f t="shared" si="109"/>
        <v>4569.1784109999999</v>
      </c>
      <c r="JZ64" s="6">
        <f t="shared" si="109"/>
        <v>4569.1784109999999</v>
      </c>
      <c r="KA64" s="6">
        <f t="shared" si="109"/>
        <v>4569.1784109999999</v>
      </c>
      <c r="KB64" s="6">
        <f t="shared" si="109"/>
        <v>4569.1784109999999</v>
      </c>
      <c r="KC64" s="6">
        <f t="shared" si="109"/>
        <v>4569.1784109999999</v>
      </c>
      <c r="KD64" s="6">
        <f t="shared" si="109"/>
        <v>4569.1784109999999</v>
      </c>
      <c r="KE64" s="6">
        <f t="shared" si="109"/>
        <v>4569.1784109999999</v>
      </c>
      <c r="KF64" s="6">
        <f t="shared" si="109"/>
        <v>4569.1784109999999</v>
      </c>
      <c r="KG64" s="6">
        <f t="shared" si="109"/>
        <v>4724.7466839999997</v>
      </c>
      <c r="KH64" s="6">
        <f t="shared" si="109"/>
        <v>4724.7466839999997</v>
      </c>
      <c r="KI64" s="6">
        <f t="shared" si="109"/>
        <v>4724.7466839999997</v>
      </c>
      <c r="KJ64" s="6">
        <f t="shared" si="109"/>
        <v>4724.7466839999997</v>
      </c>
      <c r="KK64" s="6">
        <f t="shared" si="109"/>
        <v>4724.7466839999997</v>
      </c>
      <c r="KL64" s="6">
        <f t="shared" si="109"/>
        <v>4724.7466839999997</v>
      </c>
      <c r="KM64" s="6">
        <f t="shared" si="109"/>
        <v>4724.7466839999997</v>
      </c>
      <c r="KN64" s="6">
        <f t="shared" si="109"/>
        <v>4724.7466839999997</v>
      </c>
      <c r="KO64" s="6">
        <f t="shared" si="109"/>
        <v>4724.7466839999997</v>
      </c>
      <c r="KP64" s="6">
        <f t="shared" si="109"/>
        <v>4724.7466839999997</v>
      </c>
      <c r="KQ64" s="6">
        <f t="shared" si="109"/>
        <v>4724.7466839999997</v>
      </c>
      <c r="KR64" s="6">
        <f t="shared" si="109"/>
        <v>4724.7466839999997</v>
      </c>
      <c r="KS64" s="6">
        <f t="shared" si="109"/>
        <v>4881.6278979999997</v>
      </c>
    </row>
    <row r="65" spans="2:305">
      <c r="B65" s="41" t="s">
        <v>22</v>
      </c>
      <c r="C65" s="42">
        <f>XIRR(E64:KS64,$E$2:$KS$2)</f>
        <v>0.18577688336372378</v>
      </c>
    </row>
    <row r="67" spans="2:305">
      <c r="B67" s="4" t="s">
        <v>59</v>
      </c>
    </row>
    <row r="68" spans="2:305">
      <c r="B68" t="s">
        <v>19</v>
      </c>
      <c r="C68" s="6">
        <f>-SUMIF(F68:KS68,"&lt;0")-E68</f>
        <v>40799.999999999993</v>
      </c>
      <c r="E68" s="6">
        <f>E4*Inputs!$E$4</f>
        <v>-40799.999999999993</v>
      </c>
      <c r="F68" s="6">
        <f>F4*Inputs!$E$4</f>
        <v>0</v>
      </c>
      <c r="G68" s="6">
        <f>G4*Inputs!$E$4</f>
        <v>0</v>
      </c>
      <c r="H68" s="6">
        <f>H4*Inputs!$E$4</f>
        <v>0</v>
      </c>
      <c r="I68" s="6">
        <f>I4*Inputs!$E$4</f>
        <v>0</v>
      </c>
      <c r="J68" s="6">
        <f>J4*Inputs!$E$4</f>
        <v>0</v>
      </c>
      <c r="K68" s="6">
        <f>K4*Inputs!$E$4</f>
        <v>0</v>
      </c>
      <c r="L68" s="6">
        <f>L4*Inputs!$E$4</f>
        <v>0</v>
      </c>
      <c r="M68" s="6">
        <f>M4*Inputs!$E$4</f>
        <v>0</v>
      </c>
      <c r="N68" s="6">
        <f>N4*Inputs!$E$4</f>
        <v>0</v>
      </c>
      <c r="O68" s="6">
        <f>O4*Inputs!$E$4</f>
        <v>0</v>
      </c>
      <c r="P68" s="6">
        <f>P4*Inputs!$E$4</f>
        <v>0</v>
      </c>
      <c r="Q68" s="6">
        <f>Q4*Inputs!$E$4</f>
        <v>0</v>
      </c>
      <c r="R68" s="6">
        <f>R4*Inputs!$E$4</f>
        <v>0</v>
      </c>
      <c r="S68" s="6">
        <f>S4*Inputs!$E$4</f>
        <v>0</v>
      </c>
      <c r="T68" s="6">
        <f>T4*Inputs!$E$4</f>
        <v>0</v>
      </c>
      <c r="U68" s="6">
        <f>U4*Inputs!$E$4</f>
        <v>0</v>
      </c>
      <c r="V68" s="6">
        <f>V4*Inputs!$E$4</f>
        <v>0</v>
      </c>
      <c r="W68" s="6">
        <f>W4*Inputs!$E$4</f>
        <v>0</v>
      </c>
      <c r="X68" s="6">
        <f>X4*Inputs!$E$4</f>
        <v>0</v>
      </c>
      <c r="Y68" s="6">
        <f>Y4*Inputs!$E$4</f>
        <v>0</v>
      </c>
      <c r="Z68" s="6">
        <f>Z4*Inputs!$E$4</f>
        <v>0</v>
      </c>
      <c r="AA68" s="6">
        <f>AA4*Inputs!$E$4</f>
        <v>0</v>
      </c>
      <c r="AB68" s="6">
        <f>AB4*Inputs!$E$4</f>
        <v>0</v>
      </c>
      <c r="AC68" s="6">
        <f>AC4*Inputs!$E$4</f>
        <v>0</v>
      </c>
      <c r="AD68" s="6">
        <f>AD4*Inputs!$E$4</f>
        <v>0</v>
      </c>
      <c r="AE68" s="6">
        <f>AE4*Inputs!$E$4</f>
        <v>0</v>
      </c>
      <c r="AF68" s="6">
        <f>AF4*Inputs!$E$4</f>
        <v>0</v>
      </c>
      <c r="AG68" s="6">
        <f>AG4*Inputs!$E$4</f>
        <v>0</v>
      </c>
      <c r="AH68" s="6">
        <f>AH4*Inputs!$E$4</f>
        <v>0</v>
      </c>
      <c r="AI68" s="6">
        <f>AI4*Inputs!$E$4</f>
        <v>0</v>
      </c>
      <c r="AJ68" s="6">
        <f>AJ4*Inputs!$E$4</f>
        <v>0</v>
      </c>
      <c r="AK68" s="6">
        <f>AK4*Inputs!$E$4</f>
        <v>0</v>
      </c>
      <c r="AL68" s="6">
        <f>AL4*Inputs!$E$4</f>
        <v>0</v>
      </c>
      <c r="AM68" s="6">
        <f>AM4*Inputs!$E$4</f>
        <v>0</v>
      </c>
      <c r="AN68" s="6">
        <f>AN4*Inputs!$E$4</f>
        <v>0</v>
      </c>
      <c r="AO68" s="6">
        <f>AO4*Inputs!$E$4</f>
        <v>0</v>
      </c>
      <c r="AP68" s="6">
        <f>AP4*Inputs!$E$4</f>
        <v>0</v>
      </c>
      <c r="AQ68" s="6">
        <f>AQ4*Inputs!$E$4</f>
        <v>0</v>
      </c>
      <c r="AR68" s="6">
        <f>AR4*Inputs!$E$4</f>
        <v>0</v>
      </c>
      <c r="AS68" s="6">
        <f>AS4*Inputs!$E$4</f>
        <v>0</v>
      </c>
      <c r="AT68" s="6">
        <f>AT4*Inputs!$E$4</f>
        <v>0</v>
      </c>
      <c r="AU68" s="6">
        <f>AU4*Inputs!$E$4</f>
        <v>0</v>
      </c>
      <c r="AV68" s="6">
        <f>AV4*Inputs!$E$4</f>
        <v>0</v>
      </c>
      <c r="AW68" s="6">
        <f>AW4*Inputs!$E$4</f>
        <v>0</v>
      </c>
      <c r="AX68" s="6">
        <f>AX4*Inputs!$E$4</f>
        <v>0</v>
      </c>
      <c r="AY68" s="6">
        <f>AY4*Inputs!$E$4</f>
        <v>0</v>
      </c>
      <c r="AZ68" s="6">
        <f>AZ4*Inputs!$E$4</f>
        <v>0</v>
      </c>
      <c r="BA68" s="6">
        <f>BA4*Inputs!$E$4</f>
        <v>0</v>
      </c>
      <c r="BB68" s="6">
        <f>BB4*Inputs!$E$4</f>
        <v>0</v>
      </c>
      <c r="BC68" s="6">
        <f>BC4*Inputs!$E$4</f>
        <v>0</v>
      </c>
      <c r="BD68" s="6">
        <f>BD4*Inputs!$E$4</f>
        <v>0</v>
      </c>
      <c r="BE68" s="6">
        <f>BE4*Inputs!$E$4</f>
        <v>0</v>
      </c>
      <c r="BF68" s="6">
        <f>BF4*Inputs!$E$4</f>
        <v>0</v>
      </c>
      <c r="BG68" s="6">
        <f>BG4*Inputs!$E$4</f>
        <v>0</v>
      </c>
      <c r="BH68" s="6">
        <f>BH4*Inputs!$E$4</f>
        <v>0</v>
      </c>
      <c r="BI68" s="6">
        <f>BI4*Inputs!$E$4</f>
        <v>0</v>
      </c>
      <c r="BJ68" s="6">
        <f>BJ4*Inputs!$E$4</f>
        <v>0</v>
      </c>
      <c r="BK68" s="6">
        <f>BK4*Inputs!$E$4</f>
        <v>0</v>
      </c>
      <c r="BL68" s="6">
        <f>BL4*Inputs!$E$4</f>
        <v>0</v>
      </c>
      <c r="BM68" s="6">
        <f>BM4*Inputs!$E$4</f>
        <v>0</v>
      </c>
      <c r="BN68" s="6">
        <f>BN4*Inputs!$E$4</f>
        <v>0</v>
      </c>
      <c r="BO68" s="6">
        <f>BO4*Inputs!$E$4</f>
        <v>0</v>
      </c>
      <c r="BP68" s="6">
        <f>BP4*Inputs!$E$4</f>
        <v>0</v>
      </c>
      <c r="BQ68" s="6">
        <f>BQ4*Inputs!$E$4</f>
        <v>0</v>
      </c>
      <c r="BR68" s="6">
        <f>BR4*Inputs!$E$4</f>
        <v>0</v>
      </c>
      <c r="BS68" s="6">
        <f>BS4*Inputs!$E$4</f>
        <v>0</v>
      </c>
      <c r="BT68" s="6">
        <f>BT4*Inputs!$E$4</f>
        <v>0</v>
      </c>
      <c r="BU68" s="6">
        <f>BU4*Inputs!$E$4</f>
        <v>0</v>
      </c>
      <c r="BV68" s="6">
        <f>BV4*Inputs!$E$4</f>
        <v>0</v>
      </c>
      <c r="BW68" s="6">
        <f>BW4*Inputs!$E$4</f>
        <v>0</v>
      </c>
      <c r="BX68" s="6">
        <f>BX4*Inputs!$E$4</f>
        <v>0</v>
      </c>
      <c r="BY68" s="6">
        <f>BY4*Inputs!$E$4</f>
        <v>0</v>
      </c>
      <c r="BZ68" s="6">
        <f>BZ4*Inputs!$E$4</f>
        <v>0</v>
      </c>
      <c r="CA68" s="6">
        <f>CA4*Inputs!$E$4</f>
        <v>0</v>
      </c>
      <c r="CB68" s="6">
        <f>CB4*Inputs!$E$4</f>
        <v>0</v>
      </c>
      <c r="CC68" s="6">
        <f>CC4*Inputs!$E$4</f>
        <v>0</v>
      </c>
      <c r="CD68" s="6">
        <f>CD4*Inputs!$E$4</f>
        <v>0</v>
      </c>
      <c r="CE68" s="6">
        <f>CE4*Inputs!$E$4</f>
        <v>0</v>
      </c>
      <c r="CF68" s="6">
        <f>CF4*Inputs!$E$4</f>
        <v>0</v>
      </c>
      <c r="CG68" s="6">
        <f>CG4*Inputs!$E$4</f>
        <v>0</v>
      </c>
      <c r="CH68" s="6">
        <f>CH4*Inputs!$E$4</f>
        <v>0</v>
      </c>
      <c r="CI68" s="6">
        <f>CI4*Inputs!$E$4</f>
        <v>0</v>
      </c>
      <c r="CJ68" s="6">
        <f>CJ4*Inputs!$E$4</f>
        <v>0</v>
      </c>
      <c r="CK68" s="6">
        <f>CK4*Inputs!$E$4</f>
        <v>0</v>
      </c>
      <c r="CL68" s="6">
        <f>CL4*Inputs!$E$4</f>
        <v>0</v>
      </c>
      <c r="CM68" s="6">
        <f>CM4*Inputs!$E$4</f>
        <v>0</v>
      </c>
      <c r="CN68" s="6">
        <f>CN4*Inputs!$E$4</f>
        <v>0</v>
      </c>
      <c r="CO68" s="6">
        <f>CO4*Inputs!$E$4</f>
        <v>0</v>
      </c>
      <c r="CP68" s="6">
        <f>CP4*Inputs!$E$4</f>
        <v>0</v>
      </c>
      <c r="CQ68" s="6">
        <f>CQ4*Inputs!$E$4</f>
        <v>0</v>
      </c>
      <c r="CR68" s="6">
        <f>CR4*Inputs!$E$4</f>
        <v>0</v>
      </c>
      <c r="CS68" s="6">
        <f>CS4*Inputs!$E$4</f>
        <v>0</v>
      </c>
      <c r="CT68" s="6">
        <f>CT4*Inputs!$E$4</f>
        <v>0</v>
      </c>
      <c r="CU68" s="6">
        <f>CU4*Inputs!$E$4</f>
        <v>0</v>
      </c>
      <c r="CV68" s="6">
        <f>CV4*Inputs!$E$4</f>
        <v>0</v>
      </c>
      <c r="CW68" s="6">
        <f>CW4*Inputs!$E$4</f>
        <v>0</v>
      </c>
      <c r="CX68" s="6">
        <f>CX4*Inputs!$E$4</f>
        <v>0</v>
      </c>
      <c r="CY68" s="6">
        <f>CY4*Inputs!$E$4</f>
        <v>0</v>
      </c>
      <c r="CZ68" s="6">
        <f>CZ4*Inputs!$E$4</f>
        <v>0</v>
      </c>
      <c r="DA68" s="6">
        <f>DA4*Inputs!$E$4</f>
        <v>0</v>
      </c>
      <c r="DB68" s="6">
        <f>DB4*Inputs!$E$4</f>
        <v>0</v>
      </c>
      <c r="DC68" s="6">
        <f>DC4*Inputs!$E$4</f>
        <v>0</v>
      </c>
      <c r="DD68" s="6">
        <f>DD4*Inputs!$E$4</f>
        <v>0</v>
      </c>
      <c r="DE68" s="6">
        <f>DE4*Inputs!$E$4</f>
        <v>0</v>
      </c>
      <c r="DF68" s="6">
        <f>DF4*Inputs!$E$4</f>
        <v>0</v>
      </c>
      <c r="DG68" s="6">
        <f>DG4*Inputs!$E$4</f>
        <v>0</v>
      </c>
      <c r="DH68" s="6">
        <f>DH4*Inputs!$E$4</f>
        <v>0</v>
      </c>
      <c r="DI68" s="6">
        <f>DI4*Inputs!$E$4</f>
        <v>0</v>
      </c>
      <c r="DJ68" s="6">
        <f>DJ4*Inputs!$E$4</f>
        <v>0</v>
      </c>
      <c r="DK68" s="6">
        <f>DK4*Inputs!$E$4</f>
        <v>0</v>
      </c>
      <c r="DL68" s="6">
        <f>DL4*Inputs!$E$4</f>
        <v>0</v>
      </c>
      <c r="DM68" s="6">
        <f>DM4*Inputs!$E$4</f>
        <v>0</v>
      </c>
      <c r="DN68" s="6">
        <f>DN4*Inputs!$E$4</f>
        <v>0</v>
      </c>
      <c r="DO68" s="6">
        <f>DO4*Inputs!$E$4</f>
        <v>0</v>
      </c>
      <c r="DP68" s="6">
        <f>DP4*Inputs!$E$4</f>
        <v>0</v>
      </c>
      <c r="DQ68" s="6">
        <f>DQ4*Inputs!$E$4</f>
        <v>0</v>
      </c>
      <c r="DR68" s="6">
        <f>DR4*Inputs!$E$4</f>
        <v>0</v>
      </c>
      <c r="DS68" s="6">
        <f>DS4*Inputs!$E$4</f>
        <v>0</v>
      </c>
      <c r="DT68" s="6">
        <f>DT4*Inputs!$E$4</f>
        <v>0</v>
      </c>
      <c r="DU68" s="6">
        <f>DU4*Inputs!$E$4</f>
        <v>0</v>
      </c>
      <c r="DV68" s="6">
        <f>DV4*Inputs!$E$4</f>
        <v>0</v>
      </c>
      <c r="DW68" s="6">
        <f>DW4*Inputs!$E$4</f>
        <v>0</v>
      </c>
      <c r="DX68" s="6">
        <f>DX4*Inputs!$E$4</f>
        <v>0</v>
      </c>
      <c r="DY68" s="6">
        <f>DY4*Inputs!$E$4</f>
        <v>0</v>
      </c>
      <c r="DZ68" s="6">
        <f>DZ4*Inputs!$E$4</f>
        <v>0</v>
      </c>
      <c r="EA68" s="6">
        <f>EA4*Inputs!$E$4</f>
        <v>0</v>
      </c>
      <c r="EB68" s="6">
        <f>EB4*Inputs!$E$4</f>
        <v>0</v>
      </c>
      <c r="EC68" s="6">
        <f>EC4*Inputs!$E$4</f>
        <v>0</v>
      </c>
      <c r="ED68" s="6">
        <f>ED4*Inputs!$E$4</f>
        <v>0</v>
      </c>
      <c r="EE68" s="6">
        <f>EE4*Inputs!$E$4</f>
        <v>0</v>
      </c>
      <c r="EF68" s="6">
        <f>EF4*Inputs!$E$4</f>
        <v>0</v>
      </c>
      <c r="EG68" s="6">
        <f>EG4*Inputs!$E$4</f>
        <v>0</v>
      </c>
      <c r="EH68" s="6">
        <f>EH4*Inputs!$E$4</f>
        <v>0</v>
      </c>
      <c r="EI68" s="6">
        <f>EI4*Inputs!$E$4</f>
        <v>0</v>
      </c>
      <c r="EJ68" s="6">
        <f>EJ4*Inputs!$E$4</f>
        <v>0</v>
      </c>
      <c r="EK68" s="6">
        <f>EK4*Inputs!$E$4</f>
        <v>0</v>
      </c>
      <c r="EL68" s="6">
        <f>EL4*Inputs!$E$4</f>
        <v>0</v>
      </c>
      <c r="EM68" s="6">
        <f>EM4*Inputs!$E$4</f>
        <v>0</v>
      </c>
      <c r="EN68" s="6">
        <f>EN4*Inputs!$E$4</f>
        <v>0</v>
      </c>
      <c r="EO68" s="6">
        <f>EO4*Inputs!$E$4</f>
        <v>0</v>
      </c>
      <c r="EP68" s="6">
        <f>EP4*Inputs!$E$4</f>
        <v>0</v>
      </c>
      <c r="EQ68" s="6">
        <f>EQ4*Inputs!$E$4</f>
        <v>0</v>
      </c>
      <c r="ER68" s="6">
        <f>ER4*Inputs!$E$4</f>
        <v>0</v>
      </c>
      <c r="ES68" s="6">
        <f>ES4*Inputs!$E$4</f>
        <v>0</v>
      </c>
      <c r="ET68" s="6">
        <f>ET4*Inputs!$E$4</f>
        <v>0</v>
      </c>
      <c r="EU68" s="6">
        <f>EU4*Inputs!$E$4</f>
        <v>0</v>
      </c>
      <c r="EV68" s="6">
        <f>EV4*Inputs!$E$4</f>
        <v>0</v>
      </c>
      <c r="EW68" s="6">
        <f>EW4*Inputs!$E$4</f>
        <v>0</v>
      </c>
      <c r="EX68" s="6">
        <f>EX4*Inputs!$E$4</f>
        <v>0</v>
      </c>
      <c r="EY68" s="6">
        <f>EY4*Inputs!$E$4</f>
        <v>0</v>
      </c>
      <c r="EZ68" s="6">
        <f>EZ4*Inputs!$E$4</f>
        <v>0</v>
      </c>
      <c r="FA68" s="6">
        <f>FA4*Inputs!$E$4</f>
        <v>0</v>
      </c>
      <c r="FB68" s="6">
        <f>FB4*Inputs!$E$4</f>
        <v>0</v>
      </c>
      <c r="FC68" s="6">
        <f>FC4*Inputs!$E$4</f>
        <v>0</v>
      </c>
      <c r="FD68" s="6">
        <f>FD4*Inputs!$E$4</f>
        <v>0</v>
      </c>
      <c r="FE68" s="6">
        <f>FE4*Inputs!$E$4</f>
        <v>0</v>
      </c>
      <c r="FF68" s="6">
        <f>FF4*Inputs!$E$4</f>
        <v>0</v>
      </c>
      <c r="FG68" s="6">
        <f>FG4*Inputs!$E$4</f>
        <v>0</v>
      </c>
      <c r="FH68" s="6">
        <f>FH4*Inputs!$E$4</f>
        <v>0</v>
      </c>
      <c r="FI68" s="6">
        <f>FI4*Inputs!$E$4</f>
        <v>0</v>
      </c>
      <c r="FJ68" s="6">
        <f>FJ4*Inputs!$E$4</f>
        <v>0</v>
      </c>
      <c r="FK68" s="6">
        <f>FK4*Inputs!$E$4</f>
        <v>0</v>
      </c>
      <c r="FL68" s="6">
        <f>FL4*Inputs!$E$4</f>
        <v>0</v>
      </c>
      <c r="FM68" s="6">
        <f>FM4*Inputs!$E$4</f>
        <v>0</v>
      </c>
      <c r="FN68" s="6">
        <f>FN4*Inputs!$E$4</f>
        <v>0</v>
      </c>
      <c r="FO68" s="6">
        <f>FO4*Inputs!$E$4</f>
        <v>0</v>
      </c>
      <c r="FP68" s="6">
        <f>FP4*Inputs!$E$4</f>
        <v>0</v>
      </c>
      <c r="FQ68" s="6">
        <f>FQ4*Inputs!$E$4</f>
        <v>0</v>
      </c>
      <c r="FR68" s="6">
        <f>FR4*Inputs!$E$4</f>
        <v>0</v>
      </c>
      <c r="FS68" s="6">
        <f>FS4*Inputs!$E$4</f>
        <v>0</v>
      </c>
      <c r="FT68" s="6">
        <f>FT4*Inputs!$E$4</f>
        <v>0</v>
      </c>
      <c r="FU68" s="6">
        <f>FU4*Inputs!$E$4</f>
        <v>0</v>
      </c>
      <c r="FV68" s="6">
        <f>FV4*Inputs!$E$4</f>
        <v>0</v>
      </c>
      <c r="FW68" s="6">
        <f>FW4*Inputs!$E$4</f>
        <v>0</v>
      </c>
      <c r="FX68" s="6">
        <f>FX4*Inputs!$E$4</f>
        <v>0</v>
      </c>
      <c r="FY68" s="6">
        <f>FY4*Inputs!$E$4</f>
        <v>0</v>
      </c>
      <c r="FZ68" s="6">
        <f>FZ4*Inputs!$E$4</f>
        <v>0</v>
      </c>
      <c r="GA68" s="6">
        <f>GA4*Inputs!$E$4</f>
        <v>0</v>
      </c>
      <c r="GB68" s="6">
        <f>GB4*Inputs!$E$4</f>
        <v>0</v>
      </c>
      <c r="GC68" s="6">
        <f>GC4*Inputs!$E$4</f>
        <v>0</v>
      </c>
      <c r="GD68" s="6">
        <f>GD4*Inputs!$E$4</f>
        <v>0</v>
      </c>
      <c r="GE68" s="6">
        <f>GE4*Inputs!$E$4</f>
        <v>0</v>
      </c>
      <c r="GF68" s="6">
        <f>GF4*Inputs!$E$4</f>
        <v>0</v>
      </c>
      <c r="GG68" s="6">
        <f>GG4*Inputs!$E$4</f>
        <v>0</v>
      </c>
      <c r="GH68" s="6">
        <f>GH4*Inputs!$E$4</f>
        <v>0</v>
      </c>
      <c r="GI68" s="6">
        <f>GI4*Inputs!$E$4</f>
        <v>0</v>
      </c>
      <c r="GJ68" s="6">
        <f>GJ4*Inputs!$E$4</f>
        <v>0</v>
      </c>
      <c r="GK68" s="6">
        <f>GK4*Inputs!$E$4</f>
        <v>0</v>
      </c>
      <c r="GL68" s="6">
        <f>GL4*Inputs!$E$4</f>
        <v>0</v>
      </c>
      <c r="GM68" s="6">
        <f>GM4*Inputs!$E$4</f>
        <v>0</v>
      </c>
      <c r="GN68" s="6">
        <f>GN4*Inputs!$E$4</f>
        <v>0</v>
      </c>
      <c r="GO68" s="6">
        <f>GO4*Inputs!$E$4</f>
        <v>0</v>
      </c>
      <c r="GP68" s="6">
        <f>GP4*Inputs!$E$4</f>
        <v>0</v>
      </c>
      <c r="GQ68" s="6">
        <f>GQ4*Inputs!$E$4</f>
        <v>0</v>
      </c>
      <c r="GR68" s="6">
        <f>GR4*Inputs!$E$4</f>
        <v>0</v>
      </c>
      <c r="GS68" s="6">
        <f>GS4*Inputs!$E$4</f>
        <v>0</v>
      </c>
      <c r="GT68" s="6">
        <f>GT4*Inputs!$E$4</f>
        <v>0</v>
      </c>
      <c r="GU68" s="6">
        <f>GU4*Inputs!$E$4</f>
        <v>0</v>
      </c>
      <c r="GV68" s="6">
        <f>GV4*Inputs!$E$4</f>
        <v>0</v>
      </c>
      <c r="GW68" s="6">
        <f>GW4*Inputs!$E$4</f>
        <v>0</v>
      </c>
      <c r="GX68" s="6">
        <f>GX4*Inputs!$E$4</f>
        <v>0</v>
      </c>
      <c r="GY68" s="6">
        <f>GY4*Inputs!$E$4</f>
        <v>0</v>
      </c>
      <c r="GZ68" s="6">
        <f>GZ4*Inputs!$E$4</f>
        <v>0</v>
      </c>
      <c r="HA68" s="6">
        <f>HA4*Inputs!$E$4</f>
        <v>0</v>
      </c>
      <c r="HB68" s="6">
        <f>HB4*Inputs!$E$4</f>
        <v>0</v>
      </c>
      <c r="HC68" s="6">
        <f>HC4*Inputs!$E$4</f>
        <v>0</v>
      </c>
      <c r="HD68" s="6">
        <f>HD4*Inputs!$E$4</f>
        <v>0</v>
      </c>
      <c r="HE68" s="6">
        <f>HE4*Inputs!$E$4</f>
        <v>0</v>
      </c>
      <c r="HF68" s="6">
        <f>HF4*Inputs!$E$4</f>
        <v>0</v>
      </c>
      <c r="HG68" s="6">
        <f>HG4*Inputs!$E$4</f>
        <v>0</v>
      </c>
      <c r="HH68" s="6">
        <f>HH4*Inputs!$E$4</f>
        <v>0</v>
      </c>
      <c r="HI68" s="6">
        <f>HI4*Inputs!$E$4</f>
        <v>0</v>
      </c>
      <c r="HJ68" s="6">
        <f>HJ4*Inputs!$E$4</f>
        <v>0</v>
      </c>
      <c r="HK68" s="6">
        <f>HK4*Inputs!$E$4</f>
        <v>0</v>
      </c>
      <c r="HL68" s="6">
        <f>HL4*Inputs!$E$4</f>
        <v>0</v>
      </c>
      <c r="HM68" s="6">
        <f>HM4*Inputs!$E$4</f>
        <v>0</v>
      </c>
      <c r="HN68" s="6">
        <f>HN4*Inputs!$E$4</f>
        <v>0</v>
      </c>
      <c r="HO68" s="6">
        <f>HO4*Inputs!$E$4</f>
        <v>0</v>
      </c>
      <c r="HP68" s="6">
        <f>HP4*Inputs!$E$4</f>
        <v>0</v>
      </c>
      <c r="HQ68" s="6">
        <f>HQ4*Inputs!$E$4</f>
        <v>0</v>
      </c>
      <c r="HR68" s="6">
        <f>HR4*Inputs!$E$4</f>
        <v>0</v>
      </c>
      <c r="HS68" s="6">
        <f>HS4*Inputs!$E$4</f>
        <v>0</v>
      </c>
      <c r="HT68" s="6">
        <f>HT4*Inputs!$E$4</f>
        <v>0</v>
      </c>
      <c r="HU68" s="6">
        <f>HU4*Inputs!$E$4</f>
        <v>0</v>
      </c>
      <c r="HV68" s="6">
        <f>HV4*Inputs!$E$4</f>
        <v>0</v>
      </c>
      <c r="HW68" s="6">
        <f>HW4*Inputs!$E$4</f>
        <v>0</v>
      </c>
      <c r="HX68" s="6">
        <f>HX4*Inputs!$E$4</f>
        <v>0</v>
      </c>
      <c r="HY68" s="6">
        <f>HY4*Inputs!$E$4</f>
        <v>0</v>
      </c>
      <c r="HZ68" s="6">
        <f>HZ4*Inputs!$E$4</f>
        <v>0</v>
      </c>
      <c r="IA68" s="6">
        <f>IA4*Inputs!$E$4</f>
        <v>0</v>
      </c>
      <c r="IB68" s="6">
        <f>IB4*Inputs!$E$4</f>
        <v>0</v>
      </c>
      <c r="IC68" s="6">
        <f>IC4*Inputs!$E$4</f>
        <v>0</v>
      </c>
      <c r="ID68" s="6">
        <f>ID4*Inputs!$E$4</f>
        <v>0</v>
      </c>
      <c r="IE68" s="6">
        <f>IE4*Inputs!$E$4</f>
        <v>0</v>
      </c>
      <c r="IF68" s="6">
        <f>IF4*Inputs!$E$4</f>
        <v>0</v>
      </c>
      <c r="IG68" s="6">
        <f>IG4*Inputs!$E$4</f>
        <v>0</v>
      </c>
      <c r="IH68" s="6">
        <f>IH4*Inputs!$E$4</f>
        <v>0</v>
      </c>
      <c r="II68" s="6">
        <f>II4*Inputs!$E$4</f>
        <v>0</v>
      </c>
      <c r="IJ68" s="6">
        <f>IJ4*Inputs!$E$4</f>
        <v>0</v>
      </c>
      <c r="IK68" s="6">
        <f>IK4*Inputs!$E$4</f>
        <v>0</v>
      </c>
      <c r="IL68" s="6">
        <f>IL4*Inputs!$E$4</f>
        <v>0</v>
      </c>
      <c r="IM68" s="6">
        <f>IM4*Inputs!$E$4</f>
        <v>0</v>
      </c>
      <c r="IN68" s="6">
        <f>IN4*Inputs!$E$4</f>
        <v>0</v>
      </c>
      <c r="IO68" s="6">
        <f>IO4*Inputs!$E$4</f>
        <v>0</v>
      </c>
      <c r="IP68" s="6">
        <f>IP4*Inputs!$E$4</f>
        <v>0</v>
      </c>
      <c r="IQ68" s="6">
        <f>IQ4*Inputs!$E$4</f>
        <v>0</v>
      </c>
      <c r="IR68" s="6">
        <f>IR4*Inputs!$E$4</f>
        <v>0</v>
      </c>
      <c r="IS68" s="6">
        <f>IS4*Inputs!$E$4</f>
        <v>0</v>
      </c>
      <c r="IT68" s="6">
        <f>IT4*Inputs!$E$4</f>
        <v>0</v>
      </c>
      <c r="IU68" s="6">
        <f>IU4*Inputs!$E$4</f>
        <v>0</v>
      </c>
      <c r="IV68" s="6">
        <f>IV4*Inputs!$E$4</f>
        <v>0</v>
      </c>
      <c r="IW68" s="6">
        <f>IW4*Inputs!$E$4</f>
        <v>0</v>
      </c>
      <c r="IX68" s="6">
        <f>IX4*Inputs!$E$4</f>
        <v>0</v>
      </c>
      <c r="IY68" s="6">
        <f>IY4*Inputs!$E$4</f>
        <v>0</v>
      </c>
      <c r="IZ68" s="6">
        <f>IZ4*Inputs!$E$4</f>
        <v>0</v>
      </c>
      <c r="JA68" s="6">
        <f>JA4*Inputs!$E$4</f>
        <v>0</v>
      </c>
      <c r="JB68" s="6">
        <f>JB4*Inputs!$E$4</f>
        <v>0</v>
      </c>
      <c r="JC68" s="6">
        <f>JC4*Inputs!$E$4</f>
        <v>0</v>
      </c>
      <c r="JD68" s="6">
        <f>JD4*Inputs!$E$4</f>
        <v>0</v>
      </c>
      <c r="JE68" s="6">
        <f>JE4*Inputs!$E$4</f>
        <v>0</v>
      </c>
      <c r="JF68" s="6">
        <f>JF4*Inputs!$E$4</f>
        <v>0</v>
      </c>
      <c r="JG68" s="6">
        <f>JG4*Inputs!$E$4</f>
        <v>0</v>
      </c>
      <c r="JH68" s="6">
        <f>JH4*Inputs!$E$4</f>
        <v>0</v>
      </c>
      <c r="JI68" s="6">
        <f>JI4*Inputs!$E$4</f>
        <v>0</v>
      </c>
      <c r="JJ68" s="6">
        <f>JJ4*Inputs!$E$4</f>
        <v>0</v>
      </c>
      <c r="JK68" s="6">
        <f>JK4*Inputs!$E$4</f>
        <v>0</v>
      </c>
      <c r="JL68" s="6">
        <f>JL4*Inputs!$E$4</f>
        <v>0</v>
      </c>
      <c r="JM68" s="6">
        <f>JM4*Inputs!$E$4</f>
        <v>0</v>
      </c>
      <c r="JN68" s="6">
        <f>JN4*Inputs!$E$4</f>
        <v>0</v>
      </c>
      <c r="JO68" s="6">
        <f>JO4*Inputs!$E$4</f>
        <v>0</v>
      </c>
      <c r="JP68" s="6">
        <f>JP4*Inputs!$E$4</f>
        <v>0</v>
      </c>
      <c r="JQ68" s="6">
        <f>JQ4*Inputs!$E$4</f>
        <v>0</v>
      </c>
      <c r="JR68" s="6">
        <f>JR4*Inputs!$E$4</f>
        <v>0</v>
      </c>
      <c r="JS68" s="6">
        <f>JS4*Inputs!$E$4</f>
        <v>0</v>
      </c>
      <c r="JT68" s="6">
        <f>JT4*Inputs!$E$4</f>
        <v>0</v>
      </c>
      <c r="JU68" s="6">
        <f>JU4*Inputs!$E$4</f>
        <v>0</v>
      </c>
      <c r="JV68" s="6">
        <f>JV4*Inputs!$E$4</f>
        <v>0</v>
      </c>
      <c r="JW68" s="6">
        <f>JW4*Inputs!$E$4</f>
        <v>0</v>
      </c>
      <c r="JX68" s="6">
        <f>JX4*Inputs!$E$4</f>
        <v>0</v>
      </c>
      <c r="JY68" s="6">
        <f>JY4*Inputs!$E$4</f>
        <v>0</v>
      </c>
      <c r="JZ68" s="6">
        <f>JZ4*Inputs!$E$4</f>
        <v>0</v>
      </c>
      <c r="KA68" s="6">
        <f>KA4*Inputs!$E$4</f>
        <v>0</v>
      </c>
      <c r="KB68" s="6">
        <f>KB4*Inputs!$E$4</f>
        <v>0</v>
      </c>
      <c r="KC68" s="6">
        <f>KC4*Inputs!$E$4</f>
        <v>0</v>
      </c>
      <c r="KD68" s="6">
        <f>KD4*Inputs!$E$4</f>
        <v>0</v>
      </c>
      <c r="KE68" s="6">
        <f>KE4*Inputs!$E$4</f>
        <v>0</v>
      </c>
      <c r="KF68" s="6">
        <f>KF4*Inputs!$E$4</f>
        <v>0</v>
      </c>
      <c r="KG68" s="6">
        <f>KG4*Inputs!$E$4</f>
        <v>0</v>
      </c>
      <c r="KH68" s="6">
        <f>KH4*Inputs!$E$4</f>
        <v>0</v>
      </c>
      <c r="KI68" s="6">
        <f>KI4*Inputs!$E$4</f>
        <v>0</v>
      </c>
      <c r="KJ68" s="6">
        <f>KJ4*Inputs!$E$4</f>
        <v>0</v>
      </c>
      <c r="KK68" s="6">
        <f>KK4*Inputs!$E$4</f>
        <v>0</v>
      </c>
      <c r="KL68" s="6">
        <f>KL4*Inputs!$E$4</f>
        <v>0</v>
      </c>
      <c r="KM68" s="6">
        <f>KM4*Inputs!$E$4</f>
        <v>0</v>
      </c>
      <c r="KN68" s="6">
        <f>KN4*Inputs!$E$4</f>
        <v>0</v>
      </c>
      <c r="KO68" s="6">
        <f>KO4*Inputs!$E$4</f>
        <v>0</v>
      </c>
      <c r="KP68" s="6">
        <f>KP4*Inputs!$E$4</f>
        <v>0</v>
      </c>
      <c r="KQ68" s="6">
        <f>KQ4*Inputs!$E$4</f>
        <v>0</v>
      </c>
      <c r="KR68" s="6">
        <f>KR4*Inputs!$E$4</f>
        <v>0</v>
      </c>
      <c r="KS68" s="6">
        <f>KS4*Inputs!$E$4</f>
        <v>0</v>
      </c>
    </row>
    <row r="69" spans="2:305">
      <c r="B69" t="s">
        <v>20</v>
      </c>
      <c r="C69" s="6">
        <f>+SUM(E69:KS69)+SUMIF(E68:KS68,"&gt;0")</f>
        <v>305105.68043188582</v>
      </c>
      <c r="E69" s="6">
        <f>E36+E58+E42</f>
        <v>0</v>
      </c>
      <c r="F69" s="6">
        <f>F36+F58+F42</f>
        <v>0</v>
      </c>
      <c r="G69" s="6">
        <f>G36+G58+G42</f>
        <v>0</v>
      </c>
      <c r="H69" s="6">
        <f>H36+H58+H42</f>
        <v>0</v>
      </c>
      <c r="I69" s="6">
        <f>I36+I58+I42</f>
        <v>0</v>
      </c>
      <c r="J69" s="6">
        <f>J36+J58+J42</f>
        <v>0</v>
      </c>
      <c r="K69" s="6">
        <f>K36+K58+K42</f>
        <v>0</v>
      </c>
      <c r="L69" s="6">
        <f>L36+L58+L42</f>
        <v>0</v>
      </c>
      <c r="M69" s="6">
        <f>M36+M58+M42</f>
        <v>0</v>
      </c>
      <c r="N69" s="6">
        <f>N36+N58+N42</f>
        <v>0</v>
      </c>
      <c r="O69" s="6">
        <f>O36+O58+O42</f>
        <v>0</v>
      </c>
      <c r="P69" s="6">
        <f>P36+P58+P42</f>
        <v>0</v>
      </c>
      <c r="Q69" s="6">
        <f>Q36+Q58+Q42</f>
        <v>0</v>
      </c>
      <c r="R69" s="6">
        <f>R36+R58+R42</f>
        <v>0</v>
      </c>
      <c r="S69" s="6">
        <f>S36+S58+S42</f>
        <v>0</v>
      </c>
      <c r="T69" s="6">
        <f>T36+T58+T42</f>
        <v>0</v>
      </c>
      <c r="U69" s="6">
        <f>U36+U58+U42</f>
        <v>0</v>
      </c>
      <c r="V69" s="6">
        <f>V36+V58+V42</f>
        <v>0</v>
      </c>
      <c r="W69" s="6">
        <f>W36+W58+W42</f>
        <v>0</v>
      </c>
      <c r="X69" s="6">
        <f>X36+X58+X42</f>
        <v>0</v>
      </c>
      <c r="Y69" s="6">
        <f>Y36+Y58+Y42</f>
        <v>0</v>
      </c>
      <c r="Z69" s="6">
        <f>Z36+Z58+Z42</f>
        <v>0</v>
      </c>
      <c r="AA69" s="6">
        <f>AA36+AA58+AA42</f>
        <v>0</v>
      </c>
      <c r="AB69" s="6">
        <f>AB36+AB58+AB42</f>
        <v>0</v>
      </c>
      <c r="AC69" s="6">
        <f>AC36+AC58+AC42</f>
        <v>0</v>
      </c>
      <c r="AD69" s="6">
        <f>AD36+AD58+AD42</f>
        <v>0</v>
      </c>
      <c r="AE69" s="6">
        <f>AE36+AE58+AE42</f>
        <v>0</v>
      </c>
      <c r="AF69" s="6">
        <f>AF36+AF58+AF42</f>
        <v>0</v>
      </c>
      <c r="AG69" s="6">
        <f>AG36+AG58+AG42</f>
        <v>0</v>
      </c>
      <c r="AH69" s="6">
        <f>AH36+AH58+AH42</f>
        <v>0</v>
      </c>
      <c r="AI69" s="6">
        <f>AI36+AI58+AI42</f>
        <v>0</v>
      </c>
      <c r="AJ69" s="6">
        <f>AJ36+AJ58+AJ42</f>
        <v>0</v>
      </c>
      <c r="AK69" s="6">
        <f>AK36+AK58+AK42</f>
        <v>0</v>
      </c>
      <c r="AL69" s="6">
        <f>AL36+AL58+AL42</f>
        <v>0</v>
      </c>
      <c r="AM69" s="6">
        <f>AM36+AM58+AM42</f>
        <v>0</v>
      </c>
      <c r="AN69" s="6">
        <f>AN36+AN58+AN42</f>
        <v>0</v>
      </c>
      <c r="AO69" s="6">
        <f>AO36+AO58+AO42</f>
        <v>0</v>
      </c>
      <c r="AP69" s="6">
        <f>AP36+AP58+AP42</f>
        <v>0</v>
      </c>
      <c r="AQ69" s="6">
        <f>AQ36+AQ58+AQ42</f>
        <v>0</v>
      </c>
      <c r="AR69" s="6">
        <f>AR36+AR58+AR42</f>
        <v>0</v>
      </c>
      <c r="AS69" s="6">
        <f>AS36+AS58+AS42</f>
        <v>0</v>
      </c>
      <c r="AT69" s="6">
        <f>AT36+AT58+AT42</f>
        <v>0</v>
      </c>
      <c r="AU69" s="6">
        <f>AU36+AU58+AU42</f>
        <v>0</v>
      </c>
      <c r="AV69" s="6">
        <f>AV36+AV58+AV42</f>
        <v>0</v>
      </c>
      <c r="AW69" s="6">
        <f>AW36+AW58+AW42</f>
        <v>0</v>
      </c>
      <c r="AX69" s="6">
        <f>AX36+AX58+AX42</f>
        <v>0</v>
      </c>
      <c r="AY69" s="6">
        <f>AY36+AY58+AY42</f>
        <v>0</v>
      </c>
      <c r="AZ69" s="6">
        <f>AZ36+AZ58+AZ42</f>
        <v>0</v>
      </c>
      <c r="BA69" s="6">
        <f>BA36+BA58+BA42</f>
        <v>0</v>
      </c>
      <c r="BB69" s="6">
        <f>BB36+BB58+BB42</f>
        <v>0</v>
      </c>
      <c r="BC69" s="6">
        <f>BC36+BC58+BC42</f>
        <v>0</v>
      </c>
      <c r="BD69" s="6">
        <f>BD36+BD58+BD42</f>
        <v>0</v>
      </c>
      <c r="BE69" s="6">
        <f>BE36+BE58+BE42</f>
        <v>0</v>
      </c>
      <c r="BF69" s="6">
        <f>BF36+BF58+BF42</f>
        <v>0</v>
      </c>
      <c r="BG69" s="6">
        <f>BG36+BG58+BG42</f>
        <v>0</v>
      </c>
      <c r="BH69" s="6">
        <f>BH36+BH58+BH42</f>
        <v>0</v>
      </c>
      <c r="BI69" s="6">
        <f>BI36+BI58+BI42</f>
        <v>0</v>
      </c>
      <c r="BJ69" s="6">
        <f>BJ36+BJ58+BJ42</f>
        <v>0</v>
      </c>
      <c r="BK69" s="6">
        <f>BK36+BK58+BK42</f>
        <v>0</v>
      </c>
      <c r="BL69" s="6">
        <f>BL36+BL58+BL42</f>
        <v>0</v>
      </c>
      <c r="BM69" s="6">
        <f>BM36+BM58+BM42</f>
        <v>0</v>
      </c>
      <c r="BN69" s="6">
        <f>BN36+BN58+BN42</f>
        <v>0</v>
      </c>
      <c r="BO69" s="6">
        <f>BO36+BO58+BO42</f>
        <v>0</v>
      </c>
      <c r="BP69" s="6">
        <f>BP36+BP58+BP42</f>
        <v>0</v>
      </c>
      <c r="BQ69" s="6">
        <f>BQ36+BQ58+BQ42</f>
        <v>0</v>
      </c>
      <c r="BR69" s="6">
        <f>BR36+BR58+BR42</f>
        <v>0</v>
      </c>
      <c r="BS69" s="6">
        <f>BS36+BS58+BS42</f>
        <v>0</v>
      </c>
      <c r="BT69" s="6">
        <f>BT36+BT58+BT42</f>
        <v>0</v>
      </c>
      <c r="BU69" s="6">
        <f>BU36+BU58+BU42</f>
        <v>0</v>
      </c>
      <c r="BV69" s="6">
        <f>BV36+BV58+BV42</f>
        <v>0</v>
      </c>
      <c r="BW69" s="6">
        <f>BW36+BW58+BW42</f>
        <v>0</v>
      </c>
      <c r="BX69" s="6">
        <f>BX36+BX58+BX42</f>
        <v>0</v>
      </c>
      <c r="BY69" s="6">
        <f>BY36+BY58+BY42</f>
        <v>0</v>
      </c>
      <c r="BZ69" s="6">
        <f>BZ36+BZ58+BZ42</f>
        <v>0</v>
      </c>
      <c r="CA69" s="6">
        <f>CA36+CA58+CA42</f>
        <v>0</v>
      </c>
      <c r="CB69" s="6">
        <f>CB36+CB58+CB42</f>
        <v>0</v>
      </c>
      <c r="CC69" s="6">
        <f>CC36+CC58+CC42</f>
        <v>0</v>
      </c>
      <c r="CD69" s="6">
        <f>CD36+CD58+CD42</f>
        <v>0</v>
      </c>
      <c r="CE69" s="6">
        <f>CE36+CE58+CE42</f>
        <v>0</v>
      </c>
      <c r="CF69" s="6">
        <f>CF36+CF58+CF42</f>
        <v>0</v>
      </c>
      <c r="CG69" s="6">
        <f>CG36+CG58+CG42</f>
        <v>0</v>
      </c>
      <c r="CH69" s="6">
        <f>CH36+CH58+CH42</f>
        <v>0</v>
      </c>
      <c r="CI69" s="6">
        <f>CI36+CI58+CI42</f>
        <v>0</v>
      </c>
      <c r="CJ69" s="6">
        <f>CJ36+CJ58+CJ42</f>
        <v>574.01303788523876</v>
      </c>
      <c r="CK69" s="6">
        <f>CK36+CK58+CK42</f>
        <v>996.88184700000022</v>
      </c>
      <c r="CL69" s="6">
        <f>CL36+CL58+CL42</f>
        <v>996.88184700000022</v>
      </c>
      <c r="CM69" s="6">
        <f>CM36+CM58+CM42</f>
        <v>996.88184700000022</v>
      </c>
      <c r="CN69" s="6">
        <f>CN36+CN58+CN42</f>
        <v>996.88184700000022</v>
      </c>
      <c r="CO69" s="6">
        <f>CO36+CO58+CO42</f>
        <v>996.88184700000022</v>
      </c>
      <c r="CP69" s="6">
        <f>CP36+CP58+CP42</f>
        <v>996.88184700000022</v>
      </c>
      <c r="CQ69" s="6">
        <f>CQ36+CQ58+CQ42</f>
        <v>996.88184700000022</v>
      </c>
      <c r="CR69" s="6">
        <f>CR36+CR58+CR42</f>
        <v>996.88184700000022</v>
      </c>
      <c r="CS69" s="6">
        <f>CS36+CS58+CS42</f>
        <v>996.88184700000022</v>
      </c>
      <c r="CT69" s="6">
        <f>CT36+CT58+CT42</f>
        <v>996.88184700000022</v>
      </c>
      <c r="CU69" s="6">
        <f>CU36+CU58+CU42</f>
        <v>996.88184700000022</v>
      </c>
      <c r="CV69" s="6">
        <f>CV36+CV58+CV42</f>
        <v>996.88184700000022</v>
      </c>
      <c r="CW69" s="6">
        <f>CW36+CW58+CW42</f>
        <v>206.39642100000003</v>
      </c>
      <c r="CX69" s="6">
        <f>CX36+CX58+CX42</f>
        <v>71.382834000000017</v>
      </c>
      <c r="CY69" s="6">
        <f>CY36+CY58+CY42</f>
        <v>239.26763100000002</v>
      </c>
      <c r="CZ69" s="6">
        <f>CZ36+CZ58+CZ42</f>
        <v>167.48841000000004</v>
      </c>
      <c r="DA69" s="6">
        <f>DA36+DA58+DA42</f>
        <v>209.62648800000002</v>
      </c>
      <c r="DB69" s="6">
        <f>DB36+DB58+DB42</f>
        <v>191.82723900000002</v>
      </c>
      <c r="DC69" s="6">
        <f>DC36+DC58+DC42</f>
        <v>193.53607500000004</v>
      </c>
      <c r="DD69" s="6">
        <f>DD36+DD58+DD42</f>
        <v>38.083380000000005</v>
      </c>
      <c r="DE69" s="6">
        <f>DE36+DE58+DE42</f>
        <v>1050.2928420000003</v>
      </c>
      <c r="DF69" s="6">
        <f>DF36+DF58+DF42</f>
        <v>1050.2928420000003</v>
      </c>
      <c r="DG69" s="6">
        <f>DG36+DG58+DG42</f>
        <v>1050.2928420000003</v>
      </c>
      <c r="DH69" s="6">
        <f>DH36+DH58+DH42</f>
        <v>1050.2928420000003</v>
      </c>
      <c r="DI69" s="6">
        <f>DI36+DI58+DI42</f>
        <v>1104.6476460000001</v>
      </c>
      <c r="DJ69" s="6">
        <f>DJ36+DJ58+DJ42</f>
        <v>1104.6476460000001</v>
      </c>
      <c r="DK69" s="6">
        <f>DK36+DK58+DK42</f>
        <v>1104.6476460000001</v>
      </c>
      <c r="DL69" s="6">
        <f>DL36+DL58+DL42</f>
        <v>1104.6476460000001</v>
      </c>
      <c r="DM69" s="6">
        <f>DM36+DM58+DM42</f>
        <v>1104.6476460000001</v>
      </c>
      <c r="DN69" s="6">
        <f>DN36+DN58+DN42</f>
        <v>1104.6476460000001</v>
      </c>
      <c r="DO69" s="6">
        <f>DO36+DO58+DO42</f>
        <v>1104.6476460000001</v>
      </c>
      <c r="DP69" s="6">
        <f>DP36+DP58+DP42</f>
        <v>1104.6476460000001</v>
      </c>
      <c r="DQ69" s="6">
        <f>DQ36+DQ58+DQ42</f>
        <v>1104.6476460000001</v>
      </c>
      <c r="DR69" s="6">
        <f>DR36+DR58+DR42</f>
        <v>1104.6476460000001</v>
      </c>
      <c r="DS69" s="6">
        <f>DS36+DS58+DS42</f>
        <v>1104.6476460000001</v>
      </c>
      <c r="DT69" s="6">
        <f>DT36+DT58+DT42</f>
        <v>1104.6476460000001</v>
      </c>
      <c r="DU69" s="6">
        <f>DU36+DU58+DU42</f>
        <v>1159.9416420000002</v>
      </c>
      <c r="DV69" s="6">
        <f>DV36+DV58+DV42</f>
        <v>1159.9416420000002</v>
      </c>
      <c r="DW69" s="6">
        <f>DW36+DW58+DW42</f>
        <v>1159.9416420000002</v>
      </c>
      <c r="DX69" s="6">
        <f>DX36+DX58+DX42</f>
        <v>1159.9416420000002</v>
      </c>
      <c r="DY69" s="6">
        <f>DY36+DY58+DY42</f>
        <v>1159.9416420000002</v>
      </c>
      <c r="DZ69" s="6">
        <f>DZ36+DZ58+DZ42</f>
        <v>1159.9416420000002</v>
      </c>
      <c r="EA69" s="6">
        <f>EA36+EA58+EA42</f>
        <v>1159.9416420000002</v>
      </c>
      <c r="EB69" s="6">
        <f>EB36+EB58+EB42</f>
        <v>1159.9416420000002</v>
      </c>
      <c r="EC69" s="6">
        <f>EC36+EC58+EC42</f>
        <v>1159.9416420000002</v>
      </c>
      <c r="ED69" s="6">
        <f>ED36+ED58+ED42</f>
        <v>1159.9416420000002</v>
      </c>
      <c r="EE69" s="6">
        <f>EE36+EE58+EE42</f>
        <v>1159.9416420000002</v>
      </c>
      <c r="EF69" s="6">
        <f>EF36+EF58+EF42</f>
        <v>1159.9416420000002</v>
      </c>
      <c r="EG69" s="6">
        <f>EG36+EG58+EG42</f>
        <v>1216.168437</v>
      </c>
      <c r="EH69" s="6">
        <f>EH36+EH58+EH42</f>
        <v>1216.168437</v>
      </c>
      <c r="EI69" s="6">
        <f>EI36+EI58+EI42</f>
        <v>1216.168437</v>
      </c>
      <c r="EJ69" s="6">
        <f>EJ36+EJ58+EJ42</f>
        <v>1216.168437</v>
      </c>
      <c r="EK69" s="6">
        <f>EK36+EK58+EK42</f>
        <v>1216.168437</v>
      </c>
      <c r="EL69" s="6">
        <f>EL36+EL58+EL42</f>
        <v>1216.168437</v>
      </c>
      <c r="EM69" s="6">
        <f>EM36+EM58+EM42</f>
        <v>1216.168437</v>
      </c>
      <c r="EN69" s="6">
        <f>EN36+EN58+EN42</f>
        <v>1216.168437</v>
      </c>
      <c r="EO69" s="6">
        <f>EO36+EO58+EO42</f>
        <v>1216.168437</v>
      </c>
      <c r="EP69" s="6">
        <f>EP36+EP58+EP42</f>
        <v>1216.168437</v>
      </c>
      <c r="EQ69" s="6">
        <f>EQ36+EQ58+EQ42</f>
        <v>1216.168437</v>
      </c>
      <c r="ER69" s="6">
        <f>ER36+ER58+ER42</f>
        <v>1216.168437</v>
      </c>
      <c r="ES69" s="6">
        <f>ES36+ES58+ES42</f>
        <v>1273.3197150000001</v>
      </c>
      <c r="ET69" s="6">
        <f>ET36+ET58+ET42</f>
        <v>1273.3197150000001</v>
      </c>
      <c r="EU69" s="6">
        <f>EU36+EU58+EU42</f>
        <v>1273.3197150000001</v>
      </c>
      <c r="EV69" s="6">
        <f>EV36+EV58+EV42</f>
        <v>1273.3197150000001</v>
      </c>
      <c r="EW69" s="6">
        <f>EW36+EW58+EW42</f>
        <v>1273.3197150000001</v>
      </c>
      <c r="EX69" s="6">
        <f>EX36+EX58+EX42</f>
        <v>1273.3197150000001</v>
      </c>
      <c r="EY69" s="6">
        <f>EY36+EY58+EY42</f>
        <v>1273.3197150000001</v>
      </c>
      <c r="EZ69" s="6">
        <f>EZ36+EZ58+EZ42</f>
        <v>1273.3197150000001</v>
      </c>
      <c r="FA69" s="6">
        <f>FA36+FA58+FA42</f>
        <v>1273.3197150000001</v>
      </c>
      <c r="FB69" s="6">
        <f>FB36+FB58+FB42</f>
        <v>1273.3197150000001</v>
      </c>
      <c r="FC69" s="6">
        <f>FC36+FC58+FC42</f>
        <v>1273.3197150000001</v>
      </c>
      <c r="FD69" s="6">
        <f>FD36+FD58+FD42</f>
        <v>1273.3197150000001</v>
      </c>
      <c r="FE69" s="6">
        <f>FE36+FE58+FE42</f>
        <v>346.94254500000005</v>
      </c>
      <c r="FF69" s="6">
        <f>FF36+FF58+FF42</f>
        <v>1271.4698010000002</v>
      </c>
      <c r="FG69" s="6">
        <f>FG36+FG58+FG42</f>
        <v>694.70707800000002</v>
      </c>
      <c r="FH69" s="6">
        <f>FH36+FH58+FH42</f>
        <v>869.32373100000018</v>
      </c>
      <c r="FI69" s="6">
        <f>FI36+FI58+FI42</f>
        <v>1345.5486540000002</v>
      </c>
      <c r="FJ69" s="6">
        <f>FJ36+FJ58+FJ42</f>
        <v>296.63690400000002</v>
      </c>
      <c r="FK69" s="6">
        <f>FK36+FK58+FK42</f>
        <v>487.73920500000008</v>
      </c>
      <c r="FL69" s="6">
        <f>FL36+FL58+FL42</f>
        <v>1244.4856050000003</v>
      </c>
      <c r="FM69" s="6">
        <f>FM36+FM58+FM42</f>
        <v>1331.3850900000002</v>
      </c>
      <c r="FN69" s="6">
        <f>FN36+FN58+FN42</f>
        <v>1331.3850900000002</v>
      </c>
      <c r="FO69" s="6">
        <f>FO36+FO58+FO42</f>
        <v>1331.3850900000002</v>
      </c>
      <c r="FP69" s="6">
        <f>FP36+FP58+FP42</f>
        <v>1331.3850900000002</v>
      </c>
      <c r="FQ69" s="6">
        <f>FQ36+FQ58+FQ42</f>
        <v>1390.3519680000002</v>
      </c>
      <c r="FR69" s="6">
        <f>FR36+FR58+FR42</f>
        <v>1390.3519680000002</v>
      </c>
      <c r="FS69" s="6">
        <f>FS36+FS58+FS42</f>
        <v>1390.3519680000002</v>
      </c>
      <c r="FT69" s="6">
        <f>FT36+FT58+FT42</f>
        <v>1390.3519680000002</v>
      </c>
      <c r="FU69" s="6">
        <f>FU36+FU58+FU42</f>
        <v>1390.3519680000002</v>
      </c>
      <c r="FV69" s="6">
        <f>FV36+FV58+FV42</f>
        <v>1390.3519680000002</v>
      </c>
      <c r="FW69" s="6">
        <f>FW36+FW58+FW42</f>
        <v>1390.3519680000002</v>
      </c>
      <c r="FX69" s="6">
        <f>FX36+FX58+FX42</f>
        <v>1390.3519680000002</v>
      </c>
      <c r="FY69" s="6">
        <f>FY36+FY58+FY42</f>
        <v>1390.3519680000002</v>
      </c>
      <c r="FZ69" s="6">
        <f>FZ36+FZ58+FZ42</f>
        <v>1390.3519680000002</v>
      </c>
      <c r="GA69" s="6">
        <f>GA36+GA58+GA42</f>
        <v>1390.3519680000002</v>
      </c>
      <c r="GB69" s="6">
        <f>GB36+GB58+GB42</f>
        <v>1390.3519680000002</v>
      </c>
      <c r="GC69" s="6">
        <f>GC36+GC58+GC42</f>
        <v>1450.2053670000003</v>
      </c>
      <c r="GD69" s="6">
        <f>GD36+GD58+GD42</f>
        <v>1450.2053670000003</v>
      </c>
      <c r="GE69" s="6">
        <f>GE36+GE58+GE42</f>
        <v>1450.2053670000003</v>
      </c>
      <c r="GF69" s="6">
        <f>GF36+GF58+GF42</f>
        <v>1450.2053670000003</v>
      </c>
      <c r="GG69" s="6">
        <f>GG36+GG58+GG42</f>
        <v>1450.2053670000003</v>
      </c>
      <c r="GH69" s="6">
        <f>GH36+GH58+GH42</f>
        <v>1450.2053670000003</v>
      </c>
      <c r="GI69" s="6">
        <f>GI36+GI58+GI42</f>
        <v>1450.2053670000003</v>
      </c>
      <c r="GJ69" s="6">
        <f>GJ36+GJ58+GJ42</f>
        <v>1450.2053670000003</v>
      </c>
      <c r="GK69" s="6">
        <f>GK36+GK58+GK42</f>
        <v>1450.2053670000003</v>
      </c>
      <c r="GL69" s="6">
        <f>GL36+GL58+GL42</f>
        <v>1450.2053670000003</v>
      </c>
      <c r="GM69" s="6">
        <f>GM36+GM58+GM42</f>
        <v>1450.2053670000003</v>
      </c>
      <c r="GN69" s="6">
        <f>GN36+GN58+GN42</f>
        <v>1450.2053670000003</v>
      </c>
      <c r="GO69" s="6">
        <f>GO36+GO58+GO42</f>
        <v>1510.9277610000001</v>
      </c>
      <c r="GP69" s="6">
        <f>GP36+GP58+GP42</f>
        <v>1510.9277610000001</v>
      </c>
      <c r="GQ69" s="6">
        <f>GQ36+GQ58+GQ42</f>
        <v>1510.9277610000001</v>
      </c>
      <c r="GR69" s="6">
        <f>GR36+GR58+GR42</f>
        <v>1510.9277610000001</v>
      </c>
      <c r="GS69" s="6">
        <f>GS36+GS58+GS42</f>
        <v>1510.9277610000001</v>
      </c>
      <c r="GT69" s="6">
        <f>GT36+GT58+GT42</f>
        <v>1510.9277610000001</v>
      </c>
      <c r="GU69" s="6">
        <f>GU36+GU58+GU42</f>
        <v>1510.9277610000001</v>
      </c>
      <c r="GV69" s="6">
        <f>GV36+GV58+GV42</f>
        <v>1510.9277610000001</v>
      </c>
      <c r="GW69" s="6">
        <f>GW36+GW58+GW42</f>
        <v>1510.9277610000001</v>
      </c>
      <c r="GX69" s="6">
        <f>GX36+GX58+GX42</f>
        <v>1510.9277610000001</v>
      </c>
      <c r="GY69" s="6">
        <f>GY36+GY58+GY42</f>
        <v>1510.9277610000001</v>
      </c>
      <c r="GZ69" s="6">
        <f>GZ36+GZ58+GZ42</f>
        <v>1510.9277610000001</v>
      </c>
      <c r="HA69" s="6">
        <f>HA36+HA58+HA42</f>
        <v>1572.4988880000001</v>
      </c>
      <c r="HB69" s="6">
        <f>HB36+HB58+HB42</f>
        <v>1572.4988880000001</v>
      </c>
      <c r="HC69" s="6">
        <f>HC36+HC58+HC42</f>
        <v>1572.4988880000001</v>
      </c>
      <c r="HD69" s="6">
        <f>HD36+HD58+HD42</f>
        <v>1572.4988880000001</v>
      </c>
      <c r="HE69" s="6">
        <f>HE36+HE58+HE42</f>
        <v>1572.4988880000001</v>
      </c>
      <c r="HF69" s="6">
        <f>HF36+HF58+HF42</f>
        <v>1572.4988880000001</v>
      </c>
      <c r="HG69" s="6">
        <f>HG36+HG58+HG42</f>
        <v>1572.4988880000001</v>
      </c>
      <c r="HH69" s="6">
        <f>HH36+HH58+HH42</f>
        <v>1572.4988880000001</v>
      </c>
      <c r="HI69" s="6">
        <f>HI36+HI58+HI42</f>
        <v>1572.4988880000001</v>
      </c>
      <c r="HJ69" s="6">
        <f>HJ36+HJ58+HJ42</f>
        <v>1572.4988880000001</v>
      </c>
      <c r="HK69" s="6">
        <f>HK36+HK58+HK42</f>
        <v>1572.4988880000001</v>
      </c>
      <c r="HL69" s="6">
        <f>HL36+HL58+HL42</f>
        <v>1572.4988880000001</v>
      </c>
      <c r="HM69" s="6">
        <f>HM36+HM58+HM42</f>
        <v>498.69778200000007</v>
      </c>
      <c r="HN69" s="6">
        <f>HN36+HN58+HN42</f>
        <v>487.82897700000012</v>
      </c>
      <c r="HO69" s="6">
        <f>HO36+HO58+HO42</f>
        <v>671.94099600000004</v>
      </c>
      <c r="HP69" s="6">
        <f>HP36+HP58+HP42</f>
        <v>587.75223900000015</v>
      </c>
      <c r="HQ69" s="6">
        <f>HQ36+HQ58+HQ42</f>
        <v>543.70505400000002</v>
      </c>
      <c r="HR69" s="6">
        <f>HR36+HR58+HR42</f>
        <v>432.68048700000008</v>
      </c>
      <c r="HS69" s="6">
        <f>HS36+HS58+HS42</f>
        <v>893.68899600000009</v>
      </c>
      <c r="HT69" s="6">
        <f>HT36+HT58+HT42</f>
        <v>1634.895561</v>
      </c>
      <c r="HU69" s="6">
        <f>HU36+HU58+HU42</f>
        <v>1634.895561</v>
      </c>
      <c r="HV69" s="6">
        <f>HV36+HV58+HV42</f>
        <v>1634.895561</v>
      </c>
      <c r="HW69" s="6">
        <f>HW36+HW58+HW42</f>
        <v>1634.895561</v>
      </c>
      <c r="HX69" s="6">
        <f>HX36+HX58+HX42</f>
        <v>1634.895561</v>
      </c>
      <c r="HY69" s="6">
        <f>HY36+HY58+HY42</f>
        <v>1698.0914730000002</v>
      </c>
      <c r="HZ69" s="6">
        <f>HZ36+HZ58+HZ42</f>
        <v>1698.0914730000002</v>
      </c>
      <c r="IA69" s="6">
        <f>IA36+IA58+IA42</f>
        <v>1698.0914730000002</v>
      </c>
      <c r="IB69" s="6">
        <f>IB36+IB58+IB42</f>
        <v>1698.0914730000002</v>
      </c>
      <c r="IC69" s="6">
        <f>IC36+IC58+IC42</f>
        <v>1698.0914730000002</v>
      </c>
      <c r="ID69" s="6">
        <f>ID36+ID58+ID42</f>
        <v>1698.0914730000002</v>
      </c>
      <c r="IE69" s="6">
        <f>IE36+IE58+IE42</f>
        <v>1698.0914730000002</v>
      </c>
      <c r="IF69" s="6">
        <f>IF36+IF58+IF42</f>
        <v>1698.0914730000002</v>
      </c>
      <c r="IG69" s="6">
        <f>IG36+IG58+IG42</f>
        <v>1698.0914730000002</v>
      </c>
      <c r="IH69" s="6">
        <f>IH36+IH58+IH42</f>
        <v>1698.0914730000002</v>
      </c>
      <c r="II69" s="6">
        <f>II36+II58+II42</f>
        <v>1698.0914730000002</v>
      </c>
      <c r="IJ69" s="6">
        <f>IJ36+IJ58+IJ42</f>
        <v>1698.0914730000002</v>
      </c>
      <c r="IK69" s="6">
        <f>IK36+IK58+IK42</f>
        <v>1762.0569630000005</v>
      </c>
      <c r="IL69" s="6">
        <f>IL36+IL58+IL42</f>
        <v>1762.0569630000005</v>
      </c>
      <c r="IM69" s="6">
        <f>IM36+IM58+IM42</f>
        <v>1762.0569630000005</v>
      </c>
      <c r="IN69" s="6">
        <f>IN36+IN58+IN42</f>
        <v>1762.0569630000005</v>
      </c>
      <c r="IO69" s="6">
        <f>IO36+IO58+IO42</f>
        <v>1762.0569630000005</v>
      </c>
      <c r="IP69" s="6">
        <f>IP36+IP58+IP42</f>
        <v>1762.0569630000005</v>
      </c>
      <c r="IQ69" s="6">
        <f>IQ36+IQ58+IQ42</f>
        <v>1762.0569630000005</v>
      </c>
      <c r="IR69" s="6">
        <f>IR36+IR58+IR42</f>
        <v>1762.0569630000005</v>
      </c>
      <c r="IS69" s="6">
        <f>IS36+IS58+IS42</f>
        <v>1762.0569630000005</v>
      </c>
      <c r="IT69" s="6">
        <f>IT36+IT58+IT42</f>
        <v>1762.0569630000005</v>
      </c>
      <c r="IU69" s="6">
        <f>IU36+IU58+IU42</f>
        <v>1762.0569630000005</v>
      </c>
      <c r="IV69" s="6">
        <f>IV36+IV58+IV42</f>
        <v>1762.0569630000005</v>
      </c>
      <c r="IW69" s="6">
        <f>IW36+IW58+IW42</f>
        <v>1826.7588060000003</v>
      </c>
      <c r="IX69" s="6">
        <f>IX36+IX58+IX42</f>
        <v>1826.7588060000003</v>
      </c>
      <c r="IY69" s="6">
        <f>IY36+IY58+IY42</f>
        <v>1826.7588060000003</v>
      </c>
      <c r="IZ69" s="6">
        <f>IZ36+IZ58+IZ42</f>
        <v>1826.7588060000003</v>
      </c>
      <c r="JA69" s="6">
        <f>JA36+JA58+JA42</f>
        <v>1826.7588060000003</v>
      </c>
      <c r="JB69" s="6">
        <f>JB36+JB58+JB42</f>
        <v>1826.7588060000003</v>
      </c>
      <c r="JC69" s="6">
        <f>JC36+JC58+JC42</f>
        <v>1826.7588060000003</v>
      </c>
      <c r="JD69" s="6">
        <f>JD36+JD58+JD42</f>
        <v>1826.7588060000003</v>
      </c>
      <c r="JE69" s="6">
        <f>JE36+JE58+JE42</f>
        <v>1826.7588060000003</v>
      </c>
      <c r="JF69" s="6">
        <f>JF36+JF58+JF42</f>
        <v>1826.7588060000003</v>
      </c>
      <c r="JG69" s="6">
        <f>JG36+JG58+JG42</f>
        <v>1826.7588060000003</v>
      </c>
      <c r="JH69" s="6">
        <f>JH36+JH58+JH42</f>
        <v>1826.7588060000003</v>
      </c>
      <c r="JI69" s="6">
        <f>JI36+JI58+JI42</f>
        <v>1892.1599610000003</v>
      </c>
      <c r="JJ69" s="6">
        <f>JJ36+JJ58+JJ42</f>
        <v>1892.1599610000003</v>
      </c>
      <c r="JK69" s="6">
        <f>JK36+JK58+JK42</f>
        <v>1892.1599610000003</v>
      </c>
      <c r="JL69" s="6">
        <f>JL36+JL58+JL42</f>
        <v>1892.1599610000003</v>
      </c>
      <c r="JM69" s="6">
        <f>JM36+JM58+JM42</f>
        <v>1892.1599610000003</v>
      </c>
      <c r="JN69" s="6">
        <f>JN36+JN58+JN42</f>
        <v>1892.1599610000003</v>
      </c>
      <c r="JO69" s="6">
        <f>JO36+JO58+JO42</f>
        <v>1892.1599610000003</v>
      </c>
      <c r="JP69" s="6">
        <f>JP36+JP58+JP42</f>
        <v>1892.1599610000003</v>
      </c>
      <c r="JQ69" s="6">
        <f>JQ36+JQ58+JQ42</f>
        <v>1892.1599610000003</v>
      </c>
      <c r="JR69" s="6">
        <f>JR36+JR58+JR42</f>
        <v>1892.1599610000003</v>
      </c>
      <c r="JS69" s="6">
        <f>JS36+JS58+JS42</f>
        <v>1892.1599610000003</v>
      </c>
      <c r="JT69" s="6">
        <f>JT36+JT58+JT42</f>
        <v>1892.1599610000003</v>
      </c>
      <c r="JU69" s="6">
        <f>JU36+JU58+JU42</f>
        <v>660.35965800000008</v>
      </c>
      <c r="JV69" s="6">
        <f>JV36+JV58+JV42</f>
        <v>1958.2193190000003</v>
      </c>
      <c r="JW69" s="6">
        <f>JW36+JW58+JW42</f>
        <v>1958.2193190000003</v>
      </c>
      <c r="JX69" s="6">
        <f>JX36+JX58+JX42</f>
        <v>1958.2193190000003</v>
      </c>
      <c r="JY69" s="6">
        <f>JY36+JY58+JY42</f>
        <v>1958.2193190000003</v>
      </c>
      <c r="JZ69" s="6">
        <f>JZ36+JZ58+JZ42</f>
        <v>1958.2193190000003</v>
      </c>
      <c r="KA69" s="6">
        <f>KA36+KA58+KA42</f>
        <v>1958.2193190000003</v>
      </c>
      <c r="KB69" s="6">
        <f>KB36+KB58+KB42</f>
        <v>1958.2193190000003</v>
      </c>
      <c r="KC69" s="6">
        <f>KC36+KC58+KC42</f>
        <v>1958.2193190000003</v>
      </c>
      <c r="KD69" s="6">
        <f>KD36+KD58+KD42</f>
        <v>1958.2193190000003</v>
      </c>
      <c r="KE69" s="6">
        <f>KE36+KE58+KE42</f>
        <v>1958.2193190000003</v>
      </c>
      <c r="KF69" s="6">
        <f>KF36+KF58+KF42</f>
        <v>1958.2193190000003</v>
      </c>
      <c r="KG69" s="6">
        <f>KG36+KG58+KG42</f>
        <v>2024.8914360000001</v>
      </c>
      <c r="KH69" s="6">
        <f>KH36+KH58+KH42</f>
        <v>2024.8914360000001</v>
      </c>
      <c r="KI69" s="6">
        <f>KI36+KI58+KI42</f>
        <v>2024.8914360000001</v>
      </c>
      <c r="KJ69" s="6">
        <f>KJ36+KJ58+KJ42</f>
        <v>2024.8914360000001</v>
      </c>
      <c r="KK69" s="6">
        <f>KK36+KK58+KK42</f>
        <v>2024.8914360000001</v>
      </c>
      <c r="KL69" s="6">
        <f>KL36+KL58+KL42</f>
        <v>2024.8914360000001</v>
      </c>
      <c r="KM69" s="6">
        <f>KM36+KM58+KM42</f>
        <v>2024.8914360000001</v>
      </c>
      <c r="KN69" s="6">
        <f>KN36+KN58+KN42</f>
        <v>2024.8914360000001</v>
      </c>
      <c r="KO69" s="6">
        <f>KO36+KO58+KO42</f>
        <v>2024.8914360000001</v>
      </c>
      <c r="KP69" s="6">
        <f>KP36+KP58+KP42</f>
        <v>2024.8914360000001</v>
      </c>
      <c r="KQ69" s="6">
        <f>KQ36+KQ58+KQ42</f>
        <v>2024.8914360000001</v>
      </c>
      <c r="KR69" s="6">
        <f>KR36+KR58+KR42</f>
        <v>2024.8914360000001</v>
      </c>
      <c r="KS69" s="6">
        <f>KS36+KS58+KS42</f>
        <v>2092.1262420000003</v>
      </c>
    </row>
    <row r="70" spans="2:305">
      <c r="B70" t="s">
        <v>21</v>
      </c>
      <c r="E70" s="6">
        <f>SUM(E68:E69)</f>
        <v>-40799.999999999993</v>
      </c>
      <c r="F70" s="6">
        <f t="shared" ref="F70" si="110">SUM(F68:F69)</f>
        <v>0</v>
      </c>
      <c r="G70" s="6">
        <f t="shared" ref="G70" si="111">SUM(G68:G69)</f>
        <v>0</v>
      </c>
      <c r="H70" s="6">
        <f t="shared" ref="H70" si="112">SUM(H68:H69)</f>
        <v>0</v>
      </c>
      <c r="I70" s="6">
        <f t="shared" ref="I70" si="113">SUM(I68:I69)</f>
        <v>0</v>
      </c>
      <c r="J70" s="6">
        <f t="shared" ref="J70" si="114">SUM(J68:J69)</f>
        <v>0</v>
      </c>
      <c r="K70" s="6">
        <f t="shared" ref="K70" si="115">SUM(K68:K69)</f>
        <v>0</v>
      </c>
      <c r="L70" s="6">
        <f t="shared" ref="L70" si="116">SUM(L68:L69)</f>
        <v>0</v>
      </c>
      <c r="M70" s="6">
        <f t="shared" ref="M70" si="117">SUM(M68:M69)</f>
        <v>0</v>
      </c>
      <c r="N70" s="6">
        <f t="shared" ref="N70" si="118">SUM(N68:N69)</f>
        <v>0</v>
      </c>
      <c r="O70" s="6">
        <f t="shared" ref="O70" si="119">SUM(O68:O69)</f>
        <v>0</v>
      </c>
      <c r="P70" s="6">
        <f t="shared" ref="P70" si="120">SUM(P68:P69)</f>
        <v>0</v>
      </c>
      <c r="Q70" s="6">
        <f t="shared" ref="Q70" si="121">SUM(Q68:Q69)</f>
        <v>0</v>
      </c>
      <c r="R70" s="6">
        <f t="shared" ref="R70" si="122">SUM(R68:R69)</f>
        <v>0</v>
      </c>
      <c r="S70" s="6">
        <f t="shared" ref="S70" si="123">SUM(S68:S69)</f>
        <v>0</v>
      </c>
      <c r="T70" s="6">
        <f t="shared" ref="T70" si="124">SUM(T68:T69)</f>
        <v>0</v>
      </c>
      <c r="U70" s="6">
        <f t="shared" ref="U70" si="125">SUM(U68:U69)</f>
        <v>0</v>
      </c>
      <c r="V70" s="6">
        <f t="shared" ref="V70" si="126">SUM(V68:V69)</f>
        <v>0</v>
      </c>
      <c r="W70" s="6">
        <f t="shared" ref="W70" si="127">SUM(W68:W69)</f>
        <v>0</v>
      </c>
      <c r="X70" s="6">
        <f t="shared" ref="X70" si="128">SUM(X68:X69)</f>
        <v>0</v>
      </c>
      <c r="Y70" s="6">
        <f t="shared" ref="Y70" si="129">SUM(Y68:Y69)</f>
        <v>0</v>
      </c>
      <c r="Z70" s="6">
        <f t="shared" ref="Z70" si="130">SUM(Z68:Z69)</f>
        <v>0</v>
      </c>
      <c r="AA70" s="6">
        <f t="shared" ref="AA70" si="131">SUM(AA68:AA69)</f>
        <v>0</v>
      </c>
      <c r="AB70" s="6">
        <f t="shared" ref="AB70" si="132">SUM(AB68:AB69)</f>
        <v>0</v>
      </c>
      <c r="AC70" s="6">
        <f t="shared" ref="AC70" si="133">SUM(AC68:AC69)</f>
        <v>0</v>
      </c>
      <c r="AD70" s="6">
        <f t="shared" ref="AD70" si="134">SUM(AD68:AD69)</f>
        <v>0</v>
      </c>
      <c r="AE70" s="6">
        <f t="shared" ref="AE70" si="135">SUM(AE68:AE69)</f>
        <v>0</v>
      </c>
      <c r="AF70" s="6">
        <f t="shared" ref="AF70" si="136">SUM(AF68:AF69)</f>
        <v>0</v>
      </c>
      <c r="AG70" s="6">
        <f t="shared" ref="AG70" si="137">SUM(AG68:AG69)</f>
        <v>0</v>
      </c>
      <c r="AH70" s="6">
        <f t="shared" ref="AH70" si="138">SUM(AH68:AH69)</f>
        <v>0</v>
      </c>
      <c r="AI70" s="6">
        <f t="shared" ref="AI70" si="139">SUM(AI68:AI69)</f>
        <v>0</v>
      </c>
      <c r="AJ70" s="6">
        <f t="shared" ref="AJ70" si="140">SUM(AJ68:AJ69)</f>
        <v>0</v>
      </c>
      <c r="AK70" s="6">
        <f t="shared" ref="AK70" si="141">SUM(AK68:AK69)</f>
        <v>0</v>
      </c>
      <c r="AL70" s="6">
        <f t="shared" ref="AL70" si="142">SUM(AL68:AL69)</f>
        <v>0</v>
      </c>
      <c r="AM70" s="6">
        <f t="shared" ref="AM70" si="143">SUM(AM68:AM69)</f>
        <v>0</v>
      </c>
      <c r="AN70" s="6">
        <f t="shared" ref="AN70" si="144">SUM(AN68:AN69)</f>
        <v>0</v>
      </c>
      <c r="AO70" s="6">
        <f t="shared" ref="AO70" si="145">SUM(AO68:AO69)</f>
        <v>0</v>
      </c>
      <c r="AP70" s="6">
        <f t="shared" ref="AP70" si="146">SUM(AP68:AP69)</f>
        <v>0</v>
      </c>
      <c r="AQ70" s="6">
        <f t="shared" ref="AQ70" si="147">SUM(AQ68:AQ69)</f>
        <v>0</v>
      </c>
      <c r="AR70" s="6">
        <f t="shared" ref="AR70" si="148">SUM(AR68:AR69)</f>
        <v>0</v>
      </c>
      <c r="AS70" s="6">
        <f t="shared" ref="AS70" si="149">SUM(AS68:AS69)</f>
        <v>0</v>
      </c>
      <c r="AT70" s="6">
        <f t="shared" ref="AT70" si="150">SUM(AT68:AT69)</f>
        <v>0</v>
      </c>
      <c r="AU70" s="6">
        <f t="shared" ref="AU70" si="151">SUM(AU68:AU69)</f>
        <v>0</v>
      </c>
      <c r="AV70" s="6">
        <f t="shared" ref="AV70" si="152">SUM(AV68:AV69)</f>
        <v>0</v>
      </c>
      <c r="AW70" s="6">
        <f t="shared" ref="AW70" si="153">SUM(AW68:AW69)</f>
        <v>0</v>
      </c>
      <c r="AX70" s="6">
        <f t="shared" ref="AX70" si="154">SUM(AX68:AX69)</f>
        <v>0</v>
      </c>
      <c r="AY70" s="6">
        <f t="shared" ref="AY70" si="155">SUM(AY68:AY69)</f>
        <v>0</v>
      </c>
      <c r="AZ70" s="6">
        <f t="shared" ref="AZ70" si="156">SUM(AZ68:AZ69)</f>
        <v>0</v>
      </c>
      <c r="BA70" s="6">
        <f t="shared" ref="BA70" si="157">SUM(BA68:BA69)</f>
        <v>0</v>
      </c>
      <c r="BB70" s="6">
        <f t="shared" ref="BB70" si="158">SUM(BB68:BB69)</f>
        <v>0</v>
      </c>
      <c r="BC70" s="6">
        <f t="shared" ref="BC70" si="159">SUM(BC68:BC69)</f>
        <v>0</v>
      </c>
      <c r="BD70" s="6">
        <f t="shared" ref="BD70" si="160">SUM(BD68:BD69)</f>
        <v>0</v>
      </c>
      <c r="BE70" s="6">
        <f t="shared" ref="BE70" si="161">SUM(BE68:BE69)</f>
        <v>0</v>
      </c>
      <c r="BF70" s="6">
        <f t="shared" ref="BF70" si="162">SUM(BF68:BF69)</f>
        <v>0</v>
      </c>
      <c r="BG70" s="6">
        <f t="shared" ref="BG70" si="163">SUM(BG68:BG69)</f>
        <v>0</v>
      </c>
      <c r="BH70" s="6">
        <f t="shared" ref="BH70" si="164">SUM(BH68:BH69)</f>
        <v>0</v>
      </c>
      <c r="BI70" s="6">
        <f t="shared" ref="BI70" si="165">SUM(BI68:BI69)</f>
        <v>0</v>
      </c>
      <c r="BJ70" s="6">
        <f t="shared" ref="BJ70" si="166">SUM(BJ68:BJ69)</f>
        <v>0</v>
      </c>
      <c r="BK70" s="6">
        <f t="shared" ref="BK70" si="167">SUM(BK68:BK69)</f>
        <v>0</v>
      </c>
      <c r="BL70" s="6">
        <f t="shared" ref="BL70" si="168">SUM(BL68:BL69)</f>
        <v>0</v>
      </c>
      <c r="BM70" s="6">
        <f t="shared" ref="BM70" si="169">SUM(BM68:BM69)</f>
        <v>0</v>
      </c>
      <c r="BN70" s="6">
        <f t="shared" ref="BN70" si="170">SUM(BN68:BN69)</f>
        <v>0</v>
      </c>
      <c r="BO70" s="6">
        <f t="shared" ref="BO70" si="171">SUM(BO68:BO69)</f>
        <v>0</v>
      </c>
      <c r="BP70" s="6">
        <f t="shared" ref="BP70" si="172">SUM(BP68:BP69)</f>
        <v>0</v>
      </c>
      <c r="BQ70" s="6">
        <f t="shared" ref="BQ70" si="173">SUM(BQ68:BQ69)</f>
        <v>0</v>
      </c>
      <c r="BR70" s="6">
        <f t="shared" ref="BR70" si="174">SUM(BR68:BR69)</f>
        <v>0</v>
      </c>
      <c r="BS70" s="6">
        <f t="shared" ref="BS70" si="175">SUM(BS68:BS69)</f>
        <v>0</v>
      </c>
      <c r="BT70" s="6">
        <f t="shared" ref="BT70" si="176">SUM(BT68:BT69)</f>
        <v>0</v>
      </c>
      <c r="BU70" s="6">
        <f t="shared" ref="BU70" si="177">SUM(BU68:BU69)</f>
        <v>0</v>
      </c>
      <c r="BV70" s="6">
        <f t="shared" ref="BV70" si="178">SUM(BV68:BV69)</f>
        <v>0</v>
      </c>
      <c r="BW70" s="6">
        <f t="shared" ref="BW70" si="179">SUM(BW68:BW69)</f>
        <v>0</v>
      </c>
      <c r="BX70" s="6">
        <f t="shared" ref="BX70" si="180">SUM(BX68:BX69)</f>
        <v>0</v>
      </c>
      <c r="BY70" s="6">
        <f t="shared" ref="BY70" si="181">SUM(BY68:BY69)</f>
        <v>0</v>
      </c>
      <c r="BZ70" s="6">
        <f t="shared" ref="BZ70" si="182">SUM(BZ68:BZ69)</f>
        <v>0</v>
      </c>
      <c r="CA70" s="6">
        <f t="shared" ref="CA70" si="183">SUM(CA68:CA69)</f>
        <v>0</v>
      </c>
      <c r="CB70" s="6">
        <f t="shared" ref="CB70" si="184">SUM(CB68:CB69)</f>
        <v>0</v>
      </c>
      <c r="CC70" s="6">
        <f t="shared" ref="CC70" si="185">SUM(CC68:CC69)</f>
        <v>0</v>
      </c>
      <c r="CD70" s="6">
        <f t="shared" ref="CD70" si="186">SUM(CD68:CD69)</f>
        <v>0</v>
      </c>
      <c r="CE70" s="6">
        <f t="shared" ref="CE70" si="187">SUM(CE68:CE69)</f>
        <v>0</v>
      </c>
      <c r="CF70" s="6">
        <f t="shared" ref="CF70" si="188">SUM(CF68:CF69)</f>
        <v>0</v>
      </c>
      <c r="CG70" s="6">
        <f t="shared" ref="CG70" si="189">SUM(CG68:CG69)</f>
        <v>0</v>
      </c>
      <c r="CH70" s="6">
        <f t="shared" ref="CH70" si="190">SUM(CH68:CH69)</f>
        <v>0</v>
      </c>
      <c r="CI70" s="6">
        <f t="shared" ref="CI70" si="191">SUM(CI68:CI69)</f>
        <v>0</v>
      </c>
      <c r="CJ70" s="6">
        <f t="shared" ref="CJ70" si="192">SUM(CJ68:CJ69)</f>
        <v>574.01303788523876</v>
      </c>
      <c r="CK70" s="6">
        <f t="shared" ref="CK70" si="193">SUM(CK68:CK69)</f>
        <v>996.88184700000022</v>
      </c>
      <c r="CL70" s="6">
        <f t="shared" ref="CL70" si="194">SUM(CL68:CL69)</f>
        <v>996.88184700000022</v>
      </c>
      <c r="CM70" s="6">
        <f t="shared" ref="CM70" si="195">SUM(CM68:CM69)</f>
        <v>996.88184700000022</v>
      </c>
      <c r="CN70" s="6">
        <f t="shared" ref="CN70" si="196">SUM(CN68:CN69)</f>
        <v>996.88184700000022</v>
      </c>
      <c r="CO70" s="6">
        <f t="shared" ref="CO70" si="197">SUM(CO68:CO69)</f>
        <v>996.88184700000022</v>
      </c>
      <c r="CP70" s="6">
        <f t="shared" ref="CP70" si="198">SUM(CP68:CP69)</f>
        <v>996.88184700000022</v>
      </c>
      <c r="CQ70" s="6">
        <f t="shared" ref="CQ70" si="199">SUM(CQ68:CQ69)</f>
        <v>996.88184700000022</v>
      </c>
      <c r="CR70" s="6">
        <f t="shared" ref="CR70" si="200">SUM(CR68:CR69)</f>
        <v>996.88184700000022</v>
      </c>
      <c r="CS70" s="6">
        <f t="shared" ref="CS70" si="201">SUM(CS68:CS69)</f>
        <v>996.88184700000022</v>
      </c>
      <c r="CT70" s="6">
        <f t="shared" ref="CT70" si="202">SUM(CT68:CT69)</f>
        <v>996.88184700000022</v>
      </c>
      <c r="CU70" s="6">
        <f t="shared" ref="CU70" si="203">SUM(CU68:CU69)</f>
        <v>996.88184700000022</v>
      </c>
      <c r="CV70" s="6">
        <f t="shared" ref="CV70" si="204">SUM(CV68:CV69)</f>
        <v>996.88184700000022</v>
      </c>
      <c r="CW70" s="6">
        <f t="shared" ref="CW70" si="205">SUM(CW68:CW69)</f>
        <v>206.39642100000003</v>
      </c>
      <c r="CX70" s="6">
        <f t="shared" ref="CX70" si="206">SUM(CX68:CX69)</f>
        <v>71.382834000000017</v>
      </c>
      <c r="CY70" s="6">
        <f t="shared" ref="CY70" si="207">SUM(CY68:CY69)</f>
        <v>239.26763100000002</v>
      </c>
      <c r="CZ70" s="6">
        <f t="shared" ref="CZ70" si="208">SUM(CZ68:CZ69)</f>
        <v>167.48841000000004</v>
      </c>
      <c r="DA70" s="6">
        <f t="shared" ref="DA70" si="209">SUM(DA68:DA69)</f>
        <v>209.62648800000002</v>
      </c>
      <c r="DB70" s="6">
        <f t="shared" ref="DB70" si="210">SUM(DB68:DB69)</f>
        <v>191.82723900000002</v>
      </c>
      <c r="DC70" s="6">
        <f t="shared" ref="DC70" si="211">SUM(DC68:DC69)</f>
        <v>193.53607500000004</v>
      </c>
      <c r="DD70" s="6">
        <f t="shared" ref="DD70" si="212">SUM(DD68:DD69)</f>
        <v>38.083380000000005</v>
      </c>
      <c r="DE70" s="6">
        <f t="shared" ref="DE70" si="213">SUM(DE68:DE69)</f>
        <v>1050.2928420000003</v>
      </c>
      <c r="DF70" s="6">
        <f t="shared" ref="DF70" si="214">SUM(DF68:DF69)</f>
        <v>1050.2928420000003</v>
      </c>
      <c r="DG70" s="6">
        <f t="shared" ref="DG70" si="215">SUM(DG68:DG69)</f>
        <v>1050.2928420000003</v>
      </c>
      <c r="DH70" s="6">
        <f t="shared" ref="DH70" si="216">SUM(DH68:DH69)</f>
        <v>1050.2928420000003</v>
      </c>
      <c r="DI70" s="6">
        <f t="shared" ref="DI70" si="217">SUM(DI68:DI69)</f>
        <v>1104.6476460000001</v>
      </c>
      <c r="DJ70" s="6">
        <f t="shared" ref="DJ70" si="218">SUM(DJ68:DJ69)</f>
        <v>1104.6476460000001</v>
      </c>
      <c r="DK70" s="6">
        <f t="shared" ref="DK70" si="219">SUM(DK68:DK69)</f>
        <v>1104.6476460000001</v>
      </c>
      <c r="DL70" s="6">
        <f t="shared" ref="DL70" si="220">SUM(DL68:DL69)</f>
        <v>1104.6476460000001</v>
      </c>
      <c r="DM70" s="6">
        <f t="shared" ref="DM70" si="221">SUM(DM68:DM69)</f>
        <v>1104.6476460000001</v>
      </c>
      <c r="DN70" s="6">
        <f t="shared" ref="DN70" si="222">SUM(DN68:DN69)</f>
        <v>1104.6476460000001</v>
      </c>
      <c r="DO70" s="6">
        <f t="shared" ref="DO70" si="223">SUM(DO68:DO69)</f>
        <v>1104.6476460000001</v>
      </c>
      <c r="DP70" s="6">
        <f t="shared" ref="DP70" si="224">SUM(DP68:DP69)</f>
        <v>1104.6476460000001</v>
      </c>
      <c r="DQ70" s="6">
        <f t="shared" ref="DQ70" si="225">SUM(DQ68:DQ69)</f>
        <v>1104.6476460000001</v>
      </c>
      <c r="DR70" s="6">
        <f t="shared" ref="DR70" si="226">SUM(DR68:DR69)</f>
        <v>1104.6476460000001</v>
      </c>
      <c r="DS70" s="6">
        <f t="shared" ref="DS70" si="227">SUM(DS68:DS69)</f>
        <v>1104.6476460000001</v>
      </c>
      <c r="DT70" s="6">
        <f t="shared" ref="DT70" si="228">SUM(DT68:DT69)</f>
        <v>1104.6476460000001</v>
      </c>
      <c r="DU70" s="6">
        <f t="shared" ref="DU70" si="229">SUM(DU68:DU69)</f>
        <v>1159.9416420000002</v>
      </c>
      <c r="DV70" s="6">
        <f t="shared" ref="DV70" si="230">SUM(DV68:DV69)</f>
        <v>1159.9416420000002</v>
      </c>
      <c r="DW70" s="6">
        <f t="shared" ref="DW70" si="231">SUM(DW68:DW69)</f>
        <v>1159.9416420000002</v>
      </c>
      <c r="DX70" s="6">
        <f t="shared" ref="DX70" si="232">SUM(DX68:DX69)</f>
        <v>1159.9416420000002</v>
      </c>
      <c r="DY70" s="6">
        <f t="shared" ref="DY70" si="233">SUM(DY68:DY69)</f>
        <v>1159.9416420000002</v>
      </c>
      <c r="DZ70" s="6">
        <f t="shared" ref="DZ70" si="234">SUM(DZ68:DZ69)</f>
        <v>1159.9416420000002</v>
      </c>
      <c r="EA70" s="6">
        <f t="shared" ref="EA70" si="235">SUM(EA68:EA69)</f>
        <v>1159.9416420000002</v>
      </c>
      <c r="EB70" s="6">
        <f t="shared" ref="EB70" si="236">SUM(EB68:EB69)</f>
        <v>1159.9416420000002</v>
      </c>
      <c r="EC70" s="6">
        <f t="shared" ref="EC70" si="237">SUM(EC68:EC69)</f>
        <v>1159.9416420000002</v>
      </c>
      <c r="ED70" s="6">
        <f t="shared" ref="ED70" si="238">SUM(ED68:ED69)</f>
        <v>1159.9416420000002</v>
      </c>
      <c r="EE70" s="6">
        <f t="shared" ref="EE70" si="239">SUM(EE68:EE69)</f>
        <v>1159.9416420000002</v>
      </c>
      <c r="EF70" s="6">
        <f t="shared" ref="EF70" si="240">SUM(EF68:EF69)</f>
        <v>1159.9416420000002</v>
      </c>
      <c r="EG70" s="6">
        <f t="shared" ref="EG70" si="241">SUM(EG68:EG69)</f>
        <v>1216.168437</v>
      </c>
      <c r="EH70" s="6">
        <f t="shared" ref="EH70" si="242">SUM(EH68:EH69)</f>
        <v>1216.168437</v>
      </c>
      <c r="EI70" s="6">
        <f t="shared" ref="EI70" si="243">SUM(EI68:EI69)</f>
        <v>1216.168437</v>
      </c>
      <c r="EJ70" s="6">
        <f t="shared" ref="EJ70" si="244">SUM(EJ68:EJ69)</f>
        <v>1216.168437</v>
      </c>
      <c r="EK70" s="6">
        <f t="shared" ref="EK70" si="245">SUM(EK68:EK69)</f>
        <v>1216.168437</v>
      </c>
      <c r="EL70" s="6">
        <f t="shared" ref="EL70" si="246">SUM(EL68:EL69)</f>
        <v>1216.168437</v>
      </c>
      <c r="EM70" s="6">
        <f t="shared" ref="EM70" si="247">SUM(EM68:EM69)</f>
        <v>1216.168437</v>
      </c>
      <c r="EN70" s="6">
        <f t="shared" ref="EN70" si="248">SUM(EN68:EN69)</f>
        <v>1216.168437</v>
      </c>
      <c r="EO70" s="6">
        <f t="shared" ref="EO70" si="249">SUM(EO68:EO69)</f>
        <v>1216.168437</v>
      </c>
      <c r="EP70" s="6">
        <f t="shared" ref="EP70" si="250">SUM(EP68:EP69)</f>
        <v>1216.168437</v>
      </c>
      <c r="EQ70" s="6">
        <f t="shared" ref="EQ70" si="251">SUM(EQ68:EQ69)</f>
        <v>1216.168437</v>
      </c>
      <c r="ER70" s="6">
        <f t="shared" ref="ER70" si="252">SUM(ER68:ER69)</f>
        <v>1216.168437</v>
      </c>
      <c r="ES70" s="6">
        <f t="shared" ref="ES70" si="253">SUM(ES68:ES69)</f>
        <v>1273.3197150000001</v>
      </c>
      <c r="ET70" s="6">
        <f t="shared" ref="ET70" si="254">SUM(ET68:ET69)</f>
        <v>1273.3197150000001</v>
      </c>
      <c r="EU70" s="6">
        <f t="shared" ref="EU70" si="255">SUM(EU68:EU69)</f>
        <v>1273.3197150000001</v>
      </c>
      <c r="EV70" s="6">
        <f t="shared" ref="EV70" si="256">SUM(EV68:EV69)</f>
        <v>1273.3197150000001</v>
      </c>
      <c r="EW70" s="6">
        <f t="shared" ref="EW70" si="257">SUM(EW68:EW69)</f>
        <v>1273.3197150000001</v>
      </c>
      <c r="EX70" s="6">
        <f t="shared" ref="EX70" si="258">SUM(EX68:EX69)</f>
        <v>1273.3197150000001</v>
      </c>
      <c r="EY70" s="6">
        <f t="shared" ref="EY70" si="259">SUM(EY68:EY69)</f>
        <v>1273.3197150000001</v>
      </c>
      <c r="EZ70" s="6">
        <f t="shared" ref="EZ70" si="260">SUM(EZ68:EZ69)</f>
        <v>1273.3197150000001</v>
      </c>
      <c r="FA70" s="6">
        <f t="shared" ref="FA70" si="261">SUM(FA68:FA69)</f>
        <v>1273.3197150000001</v>
      </c>
      <c r="FB70" s="6">
        <f t="shared" ref="FB70" si="262">SUM(FB68:FB69)</f>
        <v>1273.3197150000001</v>
      </c>
      <c r="FC70" s="6">
        <f t="shared" ref="FC70" si="263">SUM(FC68:FC69)</f>
        <v>1273.3197150000001</v>
      </c>
      <c r="FD70" s="6">
        <f t="shared" ref="FD70" si="264">SUM(FD68:FD69)</f>
        <v>1273.3197150000001</v>
      </c>
      <c r="FE70" s="6">
        <f t="shared" ref="FE70" si="265">SUM(FE68:FE69)</f>
        <v>346.94254500000005</v>
      </c>
      <c r="FF70" s="6">
        <f t="shared" ref="FF70" si="266">SUM(FF68:FF69)</f>
        <v>1271.4698010000002</v>
      </c>
      <c r="FG70" s="6">
        <f t="shared" ref="FG70" si="267">SUM(FG68:FG69)</f>
        <v>694.70707800000002</v>
      </c>
      <c r="FH70" s="6">
        <f t="shared" ref="FH70" si="268">SUM(FH68:FH69)</f>
        <v>869.32373100000018</v>
      </c>
      <c r="FI70" s="6">
        <f t="shared" ref="FI70" si="269">SUM(FI68:FI69)</f>
        <v>1345.5486540000002</v>
      </c>
      <c r="FJ70" s="6">
        <f t="shared" ref="FJ70" si="270">SUM(FJ68:FJ69)</f>
        <v>296.63690400000002</v>
      </c>
      <c r="FK70" s="6">
        <f t="shared" ref="FK70" si="271">SUM(FK68:FK69)</f>
        <v>487.73920500000008</v>
      </c>
      <c r="FL70" s="6">
        <f t="shared" ref="FL70" si="272">SUM(FL68:FL69)</f>
        <v>1244.4856050000003</v>
      </c>
      <c r="FM70" s="6">
        <f t="shared" ref="FM70" si="273">SUM(FM68:FM69)</f>
        <v>1331.3850900000002</v>
      </c>
      <c r="FN70" s="6">
        <f t="shared" ref="FN70" si="274">SUM(FN68:FN69)</f>
        <v>1331.3850900000002</v>
      </c>
      <c r="FO70" s="6">
        <f t="shared" ref="FO70" si="275">SUM(FO68:FO69)</f>
        <v>1331.3850900000002</v>
      </c>
      <c r="FP70" s="6">
        <f t="shared" ref="FP70" si="276">SUM(FP68:FP69)</f>
        <v>1331.3850900000002</v>
      </c>
      <c r="FQ70" s="6">
        <f t="shared" ref="FQ70" si="277">SUM(FQ68:FQ69)</f>
        <v>1390.3519680000002</v>
      </c>
      <c r="FR70" s="6">
        <f t="shared" ref="FR70" si="278">SUM(FR68:FR69)</f>
        <v>1390.3519680000002</v>
      </c>
      <c r="FS70" s="6">
        <f t="shared" ref="FS70" si="279">SUM(FS68:FS69)</f>
        <v>1390.3519680000002</v>
      </c>
      <c r="FT70" s="6">
        <f t="shared" ref="FT70" si="280">SUM(FT68:FT69)</f>
        <v>1390.3519680000002</v>
      </c>
      <c r="FU70" s="6">
        <f t="shared" ref="FU70" si="281">SUM(FU68:FU69)</f>
        <v>1390.3519680000002</v>
      </c>
      <c r="FV70" s="6">
        <f t="shared" ref="FV70" si="282">SUM(FV68:FV69)</f>
        <v>1390.3519680000002</v>
      </c>
      <c r="FW70" s="6">
        <f t="shared" ref="FW70" si="283">SUM(FW68:FW69)</f>
        <v>1390.3519680000002</v>
      </c>
      <c r="FX70" s="6">
        <f t="shared" ref="FX70" si="284">SUM(FX68:FX69)</f>
        <v>1390.3519680000002</v>
      </c>
      <c r="FY70" s="6">
        <f t="shared" ref="FY70" si="285">SUM(FY68:FY69)</f>
        <v>1390.3519680000002</v>
      </c>
      <c r="FZ70" s="6">
        <f t="shared" ref="FZ70" si="286">SUM(FZ68:FZ69)</f>
        <v>1390.3519680000002</v>
      </c>
      <c r="GA70" s="6">
        <f t="shared" ref="GA70" si="287">SUM(GA68:GA69)</f>
        <v>1390.3519680000002</v>
      </c>
      <c r="GB70" s="6">
        <f t="shared" ref="GB70" si="288">SUM(GB68:GB69)</f>
        <v>1390.3519680000002</v>
      </c>
      <c r="GC70" s="6">
        <f t="shared" ref="GC70" si="289">SUM(GC68:GC69)</f>
        <v>1450.2053670000003</v>
      </c>
      <c r="GD70" s="6">
        <f t="shared" ref="GD70" si="290">SUM(GD68:GD69)</f>
        <v>1450.2053670000003</v>
      </c>
      <c r="GE70" s="6">
        <f t="shared" ref="GE70" si="291">SUM(GE68:GE69)</f>
        <v>1450.2053670000003</v>
      </c>
      <c r="GF70" s="6">
        <f t="shared" ref="GF70" si="292">SUM(GF68:GF69)</f>
        <v>1450.2053670000003</v>
      </c>
      <c r="GG70" s="6">
        <f t="shared" ref="GG70" si="293">SUM(GG68:GG69)</f>
        <v>1450.2053670000003</v>
      </c>
      <c r="GH70" s="6">
        <f t="shared" ref="GH70" si="294">SUM(GH68:GH69)</f>
        <v>1450.2053670000003</v>
      </c>
      <c r="GI70" s="6">
        <f t="shared" ref="GI70" si="295">SUM(GI68:GI69)</f>
        <v>1450.2053670000003</v>
      </c>
      <c r="GJ70" s="6">
        <f t="shared" ref="GJ70" si="296">SUM(GJ68:GJ69)</f>
        <v>1450.2053670000003</v>
      </c>
      <c r="GK70" s="6">
        <f t="shared" ref="GK70" si="297">SUM(GK68:GK69)</f>
        <v>1450.2053670000003</v>
      </c>
      <c r="GL70" s="6">
        <f t="shared" ref="GL70" si="298">SUM(GL68:GL69)</f>
        <v>1450.2053670000003</v>
      </c>
      <c r="GM70" s="6">
        <f t="shared" ref="GM70" si="299">SUM(GM68:GM69)</f>
        <v>1450.2053670000003</v>
      </c>
      <c r="GN70" s="6">
        <f t="shared" ref="GN70" si="300">SUM(GN68:GN69)</f>
        <v>1450.2053670000003</v>
      </c>
      <c r="GO70" s="6">
        <f t="shared" ref="GO70" si="301">SUM(GO68:GO69)</f>
        <v>1510.9277610000001</v>
      </c>
      <c r="GP70" s="6">
        <f t="shared" ref="GP70" si="302">SUM(GP68:GP69)</f>
        <v>1510.9277610000001</v>
      </c>
      <c r="GQ70" s="6">
        <f t="shared" ref="GQ70" si="303">SUM(GQ68:GQ69)</f>
        <v>1510.9277610000001</v>
      </c>
      <c r="GR70" s="6">
        <f t="shared" ref="GR70" si="304">SUM(GR68:GR69)</f>
        <v>1510.9277610000001</v>
      </c>
      <c r="GS70" s="6">
        <f t="shared" ref="GS70" si="305">SUM(GS68:GS69)</f>
        <v>1510.9277610000001</v>
      </c>
      <c r="GT70" s="6">
        <f t="shared" ref="GT70" si="306">SUM(GT68:GT69)</f>
        <v>1510.9277610000001</v>
      </c>
      <c r="GU70" s="6">
        <f t="shared" ref="GU70" si="307">SUM(GU68:GU69)</f>
        <v>1510.9277610000001</v>
      </c>
      <c r="GV70" s="6">
        <f t="shared" ref="GV70" si="308">SUM(GV68:GV69)</f>
        <v>1510.9277610000001</v>
      </c>
      <c r="GW70" s="6">
        <f t="shared" ref="GW70" si="309">SUM(GW68:GW69)</f>
        <v>1510.9277610000001</v>
      </c>
      <c r="GX70" s="6">
        <f t="shared" ref="GX70" si="310">SUM(GX68:GX69)</f>
        <v>1510.9277610000001</v>
      </c>
      <c r="GY70" s="6">
        <f t="shared" ref="GY70" si="311">SUM(GY68:GY69)</f>
        <v>1510.9277610000001</v>
      </c>
      <c r="GZ70" s="6">
        <f t="shared" ref="GZ70" si="312">SUM(GZ68:GZ69)</f>
        <v>1510.9277610000001</v>
      </c>
      <c r="HA70" s="6">
        <f t="shared" ref="HA70" si="313">SUM(HA68:HA69)</f>
        <v>1572.4988880000001</v>
      </c>
      <c r="HB70" s="6">
        <f t="shared" ref="HB70" si="314">SUM(HB68:HB69)</f>
        <v>1572.4988880000001</v>
      </c>
      <c r="HC70" s="6">
        <f t="shared" ref="HC70" si="315">SUM(HC68:HC69)</f>
        <v>1572.4988880000001</v>
      </c>
      <c r="HD70" s="6">
        <f t="shared" ref="HD70" si="316">SUM(HD68:HD69)</f>
        <v>1572.4988880000001</v>
      </c>
      <c r="HE70" s="6">
        <f t="shared" ref="HE70" si="317">SUM(HE68:HE69)</f>
        <v>1572.4988880000001</v>
      </c>
      <c r="HF70" s="6">
        <f t="shared" ref="HF70" si="318">SUM(HF68:HF69)</f>
        <v>1572.4988880000001</v>
      </c>
      <c r="HG70" s="6">
        <f t="shared" ref="HG70" si="319">SUM(HG68:HG69)</f>
        <v>1572.4988880000001</v>
      </c>
      <c r="HH70" s="6">
        <f t="shared" ref="HH70" si="320">SUM(HH68:HH69)</f>
        <v>1572.4988880000001</v>
      </c>
      <c r="HI70" s="6">
        <f t="shared" ref="HI70" si="321">SUM(HI68:HI69)</f>
        <v>1572.4988880000001</v>
      </c>
      <c r="HJ70" s="6">
        <f t="shared" ref="HJ70" si="322">SUM(HJ68:HJ69)</f>
        <v>1572.4988880000001</v>
      </c>
      <c r="HK70" s="6">
        <f t="shared" ref="HK70" si="323">SUM(HK68:HK69)</f>
        <v>1572.4988880000001</v>
      </c>
      <c r="HL70" s="6">
        <f t="shared" ref="HL70" si="324">SUM(HL68:HL69)</f>
        <v>1572.4988880000001</v>
      </c>
      <c r="HM70" s="6">
        <f t="shared" ref="HM70" si="325">SUM(HM68:HM69)</f>
        <v>498.69778200000007</v>
      </c>
      <c r="HN70" s="6">
        <f t="shared" ref="HN70" si="326">SUM(HN68:HN69)</f>
        <v>487.82897700000012</v>
      </c>
      <c r="HO70" s="6">
        <f t="shared" ref="HO70" si="327">SUM(HO68:HO69)</f>
        <v>671.94099600000004</v>
      </c>
      <c r="HP70" s="6">
        <f t="shared" ref="HP70" si="328">SUM(HP68:HP69)</f>
        <v>587.75223900000015</v>
      </c>
      <c r="HQ70" s="6">
        <f t="shared" ref="HQ70" si="329">SUM(HQ68:HQ69)</f>
        <v>543.70505400000002</v>
      </c>
      <c r="HR70" s="6">
        <f t="shared" ref="HR70" si="330">SUM(HR68:HR69)</f>
        <v>432.68048700000008</v>
      </c>
      <c r="HS70" s="6">
        <f t="shared" ref="HS70" si="331">SUM(HS68:HS69)</f>
        <v>893.68899600000009</v>
      </c>
      <c r="HT70" s="6">
        <f t="shared" ref="HT70" si="332">SUM(HT68:HT69)</f>
        <v>1634.895561</v>
      </c>
      <c r="HU70" s="6">
        <f t="shared" ref="HU70" si="333">SUM(HU68:HU69)</f>
        <v>1634.895561</v>
      </c>
      <c r="HV70" s="6">
        <f t="shared" ref="HV70" si="334">SUM(HV68:HV69)</f>
        <v>1634.895561</v>
      </c>
      <c r="HW70" s="6">
        <f t="shared" ref="HW70" si="335">SUM(HW68:HW69)</f>
        <v>1634.895561</v>
      </c>
      <c r="HX70" s="6">
        <f t="shared" ref="HX70" si="336">SUM(HX68:HX69)</f>
        <v>1634.895561</v>
      </c>
      <c r="HY70" s="6">
        <f t="shared" ref="HY70" si="337">SUM(HY68:HY69)</f>
        <v>1698.0914730000002</v>
      </c>
      <c r="HZ70" s="6">
        <f t="shared" ref="HZ70" si="338">SUM(HZ68:HZ69)</f>
        <v>1698.0914730000002</v>
      </c>
      <c r="IA70" s="6">
        <f t="shared" ref="IA70" si="339">SUM(IA68:IA69)</f>
        <v>1698.0914730000002</v>
      </c>
      <c r="IB70" s="6">
        <f t="shared" ref="IB70" si="340">SUM(IB68:IB69)</f>
        <v>1698.0914730000002</v>
      </c>
      <c r="IC70" s="6">
        <f t="shared" ref="IC70" si="341">SUM(IC68:IC69)</f>
        <v>1698.0914730000002</v>
      </c>
      <c r="ID70" s="6">
        <f t="shared" ref="ID70" si="342">SUM(ID68:ID69)</f>
        <v>1698.0914730000002</v>
      </c>
      <c r="IE70" s="6">
        <f t="shared" ref="IE70" si="343">SUM(IE68:IE69)</f>
        <v>1698.0914730000002</v>
      </c>
      <c r="IF70" s="6">
        <f t="shared" ref="IF70" si="344">SUM(IF68:IF69)</f>
        <v>1698.0914730000002</v>
      </c>
      <c r="IG70" s="6">
        <f t="shared" ref="IG70" si="345">SUM(IG68:IG69)</f>
        <v>1698.0914730000002</v>
      </c>
      <c r="IH70" s="6">
        <f t="shared" ref="IH70" si="346">SUM(IH68:IH69)</f>
        <v>1698.0914730000002</v>
      </c>
      <c r="II70" s="6">
        <f t="shared" ref="II70" si="347">SUM(II68:II69)</f>
        <v>1698.0914730000002</v>
      </c>
      <c r="IJ70" s="6">
        <f t="shared" ref="IJ70" si="348">SUM(IJ68:IJ69)</f>
        <v>1698.0914730000002</v>
      </c>
      <c r="IK70" s="6">
        <f t="shared" ref="IK70" si="349">SUM(IK68:IK69)</f>
        <v>1762.0569630000005</v>
      </c>
      <c r="IL70" s="6">
        <f t="shared" ref="IL70" si="350">SUM(IL68:IL69)</f>
        <v>1762.0569630000005</v>
      </c>
      <c r="IM70" s="6">
        <f t="shared" ref="IM70" si="351">SUM(IM68:IM69)</f>
        <v>1762.0569630000005</v>
      </c>
      <c r="IN70" s="6">
        <f t="shared" ref="IN70" si="352">SUM(IN68:IN69)</f>
        <v>1762.0569630000005</v>
      </c>
      <c r="IO70" s="6">
        <f t="shared" ref="IO70" si="353">SUM(IO68:IO69)</f>
        <v>1762.0569630000005</v>
      </c>
      <c r="IP70" s="6">
        <f t="shared" ref="IP70" si="354">SUM(IP68:IP69)</f>
        <v>1762.0569630000005</v>
      </c>
      <c r="IQ70" s="6">
        <f t="shared" ref="IQ70" si="355">SUM(IQ68:IQ69)</f>
        <v>1762.0569630000005</v>
      </c>
      <c r="IR70" s="6">
        <f t="shared" ref="IR70" si="356">SUM(IR68:IR69)</f>
        <v>1762.0569630000005</v>
      </c>
      <c r="IS70" s="6">
        <f t="shared" ref="IS70" si="357">SUM(IS68:IS69)</f>
        <v>1762.0569630000005</v>
      </c>
      <c r="IT70" s="6">
        <f t="shared" ref="IT70" si="358">SUM(IT68:IT69)</f>
        <v>1762.0569630000005</v>
      </c>
      <c r="IU70" s="6">
        <f t="shared" ref="IU70" si="359">SUM(IU68:IU69)</f>
        <v>1762.0569630000005</v>
      </c>
      <c r="IV70" s="6">
        <f t="shared" ref="IV70" si="360">SUM(IV68:IV69)</f>
        <v>1762.0569630000005</v>
      </c>
      <c r="IW70" s="6">
        <f t="shared" ref="IW70" si="361">SUM(IW68:IW69)</f>
        <v>1826.7588060000003</v>
      </c>
      <c r="IX70" s="6">
        <f t="shared" ref="IX70" si="362">SUM(IX68:IX69)</f>
        <v>1826.7588060000003</v>
      </c>
      <c r="IY70" s="6">
        <f t="shared" ref="IY70" si="363">SUM(IY68:IY69)</f>
        <v>1826.7588060000003</v>
      </c>
      <c r="IZ70" s="6">
        <f t="shared" ref="IZ70" si="364">SUM(IZ68:IZ69)</f>
        <v>1826.7588060000003</v>
      </c>
      <c r="JA70" s="6">
        <f t="shared" ref="JA70" si="365">SUM(JA68:JA69)</f>
        <v>1826.7588060000003</v>
      </c>
      <c r="JB70" s="6">
        <f t="shared" ref="JB70" si="366">SUM(JB68:JB69)</f>
        <v>1826.7588060000003</v>
      </c>
      <c r="JC70" s="6">
        <f t="shared" ref="JC70" si="367">SUM(JC68:JC69)</f>
        <v>1826.7588060000003</v>
      </c>
      <c r="JD70" s="6">
        <f t="shared" ref="JD70" si="368">SUM(JD68:JD69)</f>
        <v>1826.7588060000003</v>
      </c>
      <c r="JE70" s="6">
        <f t="shared" ref="JE70" si="369">SUM(JE68:JE69)</f>
        <v>1826.7588060000003</v>
      </c>
      <c r="JF70" s="6">
        <f t="shared" ref="JF70" si="370">SUM(JF68:JF69)</f>
        <v>1826.7588060000003</v>
      </c>
      <c r="JG70" s="6">
        <f t="shared" ref="JG70" si="371">SUM(JG68:JG69)</f>
        <v>1826.7588060000003</v>
      </c>
      <c r="JH70" s="6">
        <f t="shared" ref="JH70" si="372">SUM(JH68:JH69)</f>
        <v>1826.7588060000003</v>
      </c>
      <c r="JI70" s="6">
        <f t="shared" ref="JI70" si="373">SUM(JI68:JI69)</f>
        <v>1892.1599610000003</v>
      </c>
      <c r="JJ70" s="6">
        <f t="shared" ref="JJ70" si="374">SUM(JJ68:JJ69)</f>
        <v>1892.1599610000003</v>
      </c>
      <c r="JK70" s="6">
        <f t="shared" ref="JK70" si="375">SUM(JK68:JK69)</f>
        <v>1892.1599610000003</v>
      </c>
      <c r="JL70" s="6">
        <f t="shared" ref="JL70" si="376">SUM(JL68:JL69)</f>
        <v>1892.1599610000003</v>
      </c>
      <c r="JM70" s="6">
        <f t="shared" ref="JM70" si="377">SUM(JM68:JM69)</f>
        <v>1892.1599610000003</v>
      </c>
      <c r="JN70" s="6">
        <f t="shared" ref="JN70" si="378">SUM(JN68:JN69)</f>
        <v>1892.1599610000003</v>
      </c>
      <c r="JO70" s="6">
        <f t="shared" ref="JO70" si="379">SUM(JO68:JO69)</f>
        <v>1892.1599610000003</v>
      </c>
      <c r="JP70" s="6">
        <f t="shared" ref="JP70" si="380">SUM(JP68:JP69)</f>
        <v>1892.1599610000003</v>
      </c>
      <c r="JQ70" s="6">
        <f t="shared" ref="JQ70" si="381">SUM(JQ68:JQ69)</f>
        <v>1892.1599610000003</v>
      </c>
      <c r="JR70" s="6">
        <f t="shared" ref="JR70" si="382">SUM(JR68:JR69)</f>
        <v>1892.1599610000003</v>
      </c>
      <c r="JS70" s="6">
        <f t="shared" ref="JS70" si="383">SUM(JS68:JS69)</f>
        <v>1892.1599610000003</v>
      </c>
      <c r="JT70" s="6">
        <f t="shared" ref="JT70" si="384">SUM(JT68:JT69)</f>
        <v>1892.1599610000003</v>
      </c>
      <c r="JU70" s="6">
        <f t="shared" ref="JU70" si="385">SUM(JU68:JU69)</f>
        <v>660.35965800000008</v>
      </c>
      <c r="JV70" s="6">
        <f t="shared" ref="JV70" si="386">SUM(JV68:JV69)</f>
        <v>1958.2193190000003</v>
      </c>
      <c r="JW70" s="6">
        <f t="shared" ref="JW70" si="387">SUM(JW68:JW69)</f>
        <v>1958.2193190000003</v>
      </c>
      <c r="JX70" s="6">
        <f t="shared" ref="JX70" si="388">SUM(JX68:JX69)</f>
        <v>1958.2193190000003</v>
      </c>
      <c r="JY70" s="6">
        <f t="shared" ref="JY70" si="389">SUM(JY68:JY69)</f>
        <v>1958.2193190000003</v>
      </c>
      <c r="JZ70" s="6">
        <f t="shared" ref="JZ70" si="390">SUM(JZ68:JZ69)</f>
        <v>1958.2193190000003</v>
      </c>
      <c r="KA70" s="6">
        <f t="shared" ref="KA70" si="391">SUM(KA68:KA69)</f>
        <v>1958.2193190000003</v>
      </c>
      <c r="KB70" s="6">
        <f t="shared" ref="KB70" si="392">SUM(KB68:KB69)</f>
        <v>1958.2193190000003</v>
      </c>
      <c r="KC70" s="6">
        <f t="shared" ref="KC70" si="393">SUM(KC68:KC69)</f>
        <v>1958.2193190000003</v>
      </c>
      <c r="KD70" s="6">
        <f t="shared" ref="KD70" si="394">SUM(KD68:KD69)</f>
        <v>1958.2193190000003</v>
      </c>
      <c r="KE70" s="6">
        <f t="shared" ref="KE70" si="395">SUM(KE68:KE69)</f>
        <v>1958.2193190000003</v>
      </c>
      <c r="KF70" s="6">
        <f t="shared" ref="KF70" si="396">SUM(KF68:KF69)</f>
        <v>1958.2193190000003</v>
      </c>
      <c r="KG70" s="6">
        <f t="shared" ref="KG70" si="397">SUM(KG68:KG69)</f>
        <v>2024.8914360000001</v>
      </c>
      <c r="KH70" s="6">
        <f t="shared" ref="KH70" si="398">SUM(KH68:KH69)</f>
        <v>2024.8914360000001</v>
      </c>
      <c r="KI70" s="6">
        <f t="shared" ref="KI70" si="399">SUM(KI68:KI69)</f>
        <v>2024.8914360000001</v>
      </c>
      <c r="KJ70" s="6">
        <f t="shared" ref="KJ70" si="400">SUM(KJ68:KJ69)</f>
        <v>2024.8914360000001</v>
      </c>
      <c r="KK70" s="6">
        <f t="shared" ref="KK70" si="401">SUM(KK68:KK69)</f>
        <v>2024.8914360000001</v>
      </c>
      <c r="KL70" s="6">
        <f t="shared" ref="KL70" si="402">SUM(KL68:KL69)</f>
        <v>2024.8914360000001</v>
      </c>
      <c r="KM70" s="6">
        <f t="shared" ref="KM70" si="403">SUM(KM68:KM69)</f>
        <v>2024.8914360000001</v>
      </c>
      <c r="KN70" s="6">
        <f t="shared" ref="KN70" si="404">SUM(KN68:KN69)</f>
        <v>2024.8914360000001</v>
      </c>
      <c r="KO70" s="6">
        <f t="shared" ref="KO70" si="405">SUM(KO68:KO69)</f>
        <v>2024.8914360000001</v>
      </c>
      <c r="KP70" s="6">
        <f t="shared" ref="KP70" si="406">SUM(KP68:KP69)</f>
        <v>2024.8914360000001</v>
      </c>
      <c r="KQ70" s="6">
        <f t="shared" ref="KQ70" si="407">SUM(KQ68:KQ69)</f>
        <v>2024.8914360000001</v>
      </c>
      <c r="KR70" s="6">
        <f t="shared" ref="KR70" si="408">SUM(KR68:KR69)</f>
        <v>2024.8914360000001</v>
      </c>
      <c r="KS70" s="6">
        <f t="shared" ref="KS70" si="409">SUM(KS68:KS69)</f>
        <v>2092.1262420000003</v>
      </c>
    </row>
    <row r="71" spans="2:305">
      <c r="B71" s="41" t="s">
        <v>22</v>
      </c>
      <c r="C71" s="42">
        <f>XIRR(E70:KS70,$E$2:$KS$2)</f>
        <v>0.13769022822380067</v>
      </c>
      <c r="KS71" s="6"/>
    </row>
    <row r="72" spans="2:305">
      <c r="E72" s="6">
        <f>E62+E68-E4</f>
        <v>0</v>
      </c>
      <c r="F72" s="6">
        <f>F62+F68-F4</f>
        <v>0</v>
      </c>
      <c r="G72" s="6">
        <f>G62+G68-G4</f>
        <v>0</v>
      </c>
      <c r="H72" s="6">
        <f>H62+H68-H4</f>
        <v>0</v>
      </c>
      <c r="I72" s="6">
        <f>I62+I68-I4</f>
        <v>0</v>
      </c>
      <c r="J72" s="6">
        <f>J62+J68-J4</f>
        <v>0</v>
      </c>
      <c r="K72" s="6">
        <f>K62+K68-K4</f>
        <v>0</v>
      </c>
      <c r="L72" s="6">
        <f>L62+L68-L4</f>
        <v>0</v>
      </c>
      <c r="M72" s="6">
        <f>M62+M68-M4</f>
        <v>0</v>
      </c>
      <c r="N72" s="6">
        <f>N62+N68-N4</f>
        <v>0</v>
      </c>
      <c r="O72" s="6">
        <f>O62+O68-O4</f>
        <v>0</v>
      </c>
      <c r="P72" s="6">
        <f>P62+P68-P4</f>
        <v>0</v>
      </c>
      <c r="Q72" s="6">
        <f>Q62+Q68-Q4</f>
        <v>0</v>
      </c>
      <c r="R72" s="6">
        <f>R62+R68-R4</f>
        <v>0</v>
      </c>
      <c r="S72" s="6">
        <f>S62+S68-S4</f>
        <v>0</v>
      </c>
      <c r="T72" s="6">
        <f>T62+T68-T4</f>
        <v>0</v>
      </c>
      <c r="U72" s="6">
        <f>U62+U68-U4</f>
        <v>0</v>
      </c>
      <c r="V72" s="6">
        <f>V62+V68-V4</f>
        <v>0</v>
      </c>
      <c r="W72" s="6">
        <f>W62+W68-W4</f>
        <v>0</v>
      </c>
      <c r="X72" s="6">
        <f>X62+X68-X4</f>
        <v>0</v>
      </c>
      <c r="Y72" s="6">
        <f>Y62+Y68-Y4</f>
        <v>0</v>
      </c>
      <c r="Z72" s="6">
        <f>Z62+Z68-Z4</f>
        <v>0</v>
      </c>
      <c r="AA72" s="6">
        <f>AA62+AA68-AA4</f>
        <v>0</v>
      </c>
      <c r="AB72" s="6">
        <f>AB62+AB68-AB4</f>
        <v>0</v>
      </c>
      <c r="AC72" s="6">
        <f>AC62+AC68-AC4</f>
        <v>0</v>
      </c>
      <c r="AD72" s="6">
        <f>AD62+AD68-AD4</f>
        <v>0</v>
      </c>
      <c r="AE72" s="6">
        <f>AE62+AE68-AE4</f>
        <v>0</v>
      </c>
      <c r="AF72" s="6">
        <f>AF62+AF68-AF4</f>
        <v>0</v>
      </c>
      <c r="AG72" s="6">
        <f>AG62+AG68-AG4</f>
        <v>0</v>
      </c>
      <c r="AH72" s="6">
        <f>AH62+AH68-AH4</f>
        <v>0</v>
      </c>
      <c r="AI72" s="6">
        <f>AI62+AI68-AI4</f>
        <v>0</v>
      </c>
      <c r="AJ72" s="6">
        <f>AJ62+AJ68-AJ4</f>
        <v>0</v>
      </c>
      <c r="AK72" s="6">
        <f>AK62+AK68-AK4</f>
        <v>0</v>
      </c>
      <c r="AL72" s="6">
        <f>AL62+AL68-AL4</f>
        <v>0</v>
      </c>
      <c r="AM72" s="6">
        <f>AM62+AM68-AM4</f>
        <v>0</v>
      </c>
      <c r="AN72" s="6">
        <f>AN62+AN68-AN4</f>
        <v>0</v>
      </c>
      <c r="AO72" s="6">
        <f>AO62+AO68-AO4</f>
        <v>0</v>
      </c>
      <c r="AP72" s="6">
        <f>AP62+AP68-AP4</f>
        <v>0</v>
      </c>
      <c r="AQ72" s="6">
        <f>AQ62+AQ68-AQ4</f>
        <v>0</v>
      </c>
      <c r="AR72" s="6">
        <f>AR62+AR68-AR4</f>
        <v>0</v>
      </c>
      <c r="AS72" s="6">
        <f>AS62+AS68-AS4</f>
        <v>0</v>
      </c>
      <c r="AT72" s="6">
        <f>AT62+AT68-AT4</f>
        <v>0</v>
      </c>
      <c r="AU72" s="6">
        <f>AU62+AU68-AU4</f>
        <v>0</v>
      </c>
      <c r="AV72" s="6">
        <f>AV62+AV68-AV4</f>
        <v>0</v>
      </c>
      <c r="AW72" s="6">
        <f>AW62+AW68-AW4</f>
        <v>0</v>
      </c>
      <c r="AX72" s="6">
        <f>AX62+AX68-AX4</f>
        <v>0</v>
      </c>
      <c r="AY72" s="6">
        <f>AY62+AY68-AY4</f>
        <v>0</v>
      </c>
      <c r="AZ72" s="6">
        <f>AZ62+AZ68-AZ4</f>
        <v>0</v>
      </c>
      <c r="BA72" s="6">
        <f>BA62+BA68-BA4</f>
        <v>0</v>
      </c>
      <c r="BB72" s="6">
        <f>BB62+BB68-BB4</f>
        <v>0</v>
      </c>
      <c r="BC72" s="6">
        <f>BC62+BC68-BC4</f>
        <v>0</v>
      </c>
      <c r="BD72" s="6">
        <f>BD62+BD68-BD4</f>
        <v>0</v>
      </c>
      <c r="BE72" s="6">
        <f>BE62+BE68-BE4</f>
        <v>0</v>
      </c>
      <c r="BF72" s="6">
        <f>BF62+BF68-BF4</f>
        <v>0</v>
      </c>
      <c r="BG72" s="6">
        <f>BG62+BG68-BG4</f>
        <v>0</v>
      </c>
      <c r="BH72" s="6">
        <f>BH62+BH68-BH4</f>
        <v>0</v>
      </c>
      <c r="BI72" s="6">
        <f>BI62+BI68-BI4</f>
        <v>0</v>
      </c>
      <c r="BJ72" s="6">
        <f>BJ62+BJ68-BJ4</f>
        <v>0</v>
      </c>
      <c r="BK72" s="6">
        <f>BK62+BK68-BK4</f>
        <v>0</v>
      </c>
      <c r="BL72" s="6">
        <f>BL62+BL68-BL4</f>
        <v>0</v>
      </c>
      <c r="BM72" s="6">
        <f>BM62+BM68-BM4</f>
        <v>0</v>
      </c>
      <c r="BN72" s="6">
        <f>BN62+BN68-BN4</f>
        <v>0</v>
      </c>
      <c r="BO72" s="6">
        <f>BO62+BO68-BO4</f>
        <v>0</v>
      </c>
      <c r="BP72" s="6">
        <f>BP62+BP68-BP4</f>
        <v>0</v>
      </c>
      <c r="BQ72" s="6">
        <f>BQ62+BQ68-BQ4</f>
        <v>0</v>
      </c>
      <c r="BR72" s="6">
        <f>BR62+BR68-BR4</f>
        <v>0</v>
      </c>
      <c r="BS72" s="6">
        <f>BS62+BS68-BS4</f>
        <v>0</v>
      </c>
      <c r="BT72" s="6">
        <f>BT62+BT68-BT4</f>
        <v>0</v>
      </c>
      <c r="BU72" s="6">
        <f>BU62+BU68-BU4</f>
        <v>0</v>
      </c>
      <c r="BV72" s="6">
        <f>BV62+BV68-BV4</f>
        <v>0</v>
      </c>
      <c r="BW72" s="6">
        <f>BW62+BW68-BW4</f>
        <v>0</v>
      </c>
      <c r="BX72" s="6">
        <f>BX62+BX68-BX4</f>
        <v>0</v>
      </c>
      <c r="BY72" s="6">
        <f>BY62+BY68-BY4</f>
        <v>0</v>
      </c>
      <c r="BZ72" s="6">
        <f>BZ62+BZ68-BZ4</f>
        <v>0</v>
      </c>
      <c r="CA72" s="6">
        <f>CA62+CA68-CA4</f>
        <v>0</v>
      </c>
      <c r="CB72" s="6">
        <f>CB62+CB68-CB4</f>
        <v>0</v>
      </c>
      <c r="CC72" s="6">
        <f>CC62+CC68-CC4</f>
        <v>0</v>
      </c>
      <c r="CD72" s="6">
        <f>CD62+CD68-CD4</f>
        <v>0</v>
      </c>
      <c r="CE72" s="6">
        <f>CE62+CE68-CE4</f>
        <v>0</v>
      </c>
      <c r="CF72" s="6">
        <f>CF62+CF68-CF4</f>
        <v>0</v>
      </c>
      <c r="CG72" s="6">
        <f>CG62+CG68-CG4</f>
        <v>0</v>
      </c>
      <c r="CH72" s="6">
        <f>CH62+CH68-CH4</f>
        <v>0</v>
      </c>
      <c r="CI72" s="6">
        <f>CI62+CI68-CI4</f>
        <v>0</v>
      </c>
      <c r="CJ72" s="6">
        <f>CJ62+CJ68-CJ4</f>
        <v>0</v>
      </c>
      <c r="CK72" s="6">
        <f>CK62+CK68-CK4</f>
        <v>0</v>
      </c>
      <c r="CL72" s="6">
        <f>CL62+CL68-CL4</f>
        <v>0</v>
      </c>
      <c r="CM72" s="6">
        <f>CM62+CM68-CM4</f>
        <v>0</v>
      </c>
      <c r="CN72" s="6">
        <f>CN62+CN68-CN4</f>
        <v>0</v>
      </c>
      <c r="CO72" s="6">
        <f>CO62+CO68-CO4</f>
        <v>0</v>
      </c>
      <c r="CP72" s="6">
        <f>CP62+CP68-CP4</f>
        <v>0</v>
      </c>
      <c r="CQ72" s="6">
        <f>CQ62+CQ68-CQ4</f>
        <v>0</v>
      </c>
      <c r="CR72" s="6">
        <f>CR62+CR68-CR4</f>
        <v>0</v>
      </c>
      <c r="CS72" s="6">
        <f>CS62+CS68-CS4</f>
        <v>0</v>
      </c>
      <c r="CT72" s="6">
        <f>CT62+CT68-CT4</f>
        <v>0</v>
      </c>
      <c r="CU72" s="6">
        <f>CU62+CU68-CU4</f>
        <v>0</v>
      </c>
      <c r="CV72" s="6">
        <f>CV62+CV68-CV4</f>
        <v>0</v>
      </c>
      <c r="CW72" s="6">
        <f>CW62+CW68-CW4</f>
        <v>0</v>
      </c>
      <c r="CX72" s="6">
        <f>CX62+CX68-CX4</f>
        <v>0</v>
      </c>
      <c r="CY72" s="6">
        <f>CY62+CY68-CY4</f>
        <v>0</v>
      </c>
      <c r="CZ72" s="6">
        <f>CZ62+CZ68-CZ4</f>
        <v>0</v>
      </c>
      <c r="DA72" s="6">
        <f>DA62+DA68-DA4</f>
        <v>0</v>
      </c>
      <c r="DB72" s="6">
        <f>DB62+DB68-DB4</f>
        <v>0</v>
      </c>
      <c r="DC72" s="6">
        <f>DC62+DC68-DC4</f>
        <v>0</v>
      </c>
      <c r="DD72" s="6">
        <f>DD62+DD68-DD4</f>
        <v>0</v>
      </c>
      <c r="DE72" s="6">
        <f>DE62+DE68-DE4</f>
        <v>0</v>
      </c>
      <c r="DF72" s="6">
        <f>DF62+DF68-DF4</f>
        <v>0</v>
      </c>
      <c r="DG72" s="6">
        <f>DG62+DG68-DG4</f>
        <v>0</v>
      </c>
      <c r="DH72" s="6">
        <f>DH62+DH68-DH4</f>
        <v>0</v>
      </c>
      <c r="DI72" s="6">
        <f>DI62+DI68-DI4</f>
        <v>0</v>
      </c>
      <c r="DJ72" s="6">
        <f>DJ62+DJ68-DJ4</f>
        <v>0</v>
      </c>
      <c r="DK72" s="6">
        <f>DK62+DK68-DK4</f>
        <v>0</v>
      </c>
      <c r="DL72" s="6">
        <f>DL62+DL68-DL4</f>
        <v>0</v>
      </c>
      <c r="DM72" s="6">
        <f>DM62+DM68-DM4</f>
        <v>0</v>
      </c>
      <c r="DN72" s="6">
        <f>DN62+DN68-DN4</f>
        <v>0</v>
      </c>
      <c r="DO72" s="6">
        <f>DO62+DO68-DO4</f>
        <v>0</v>
      </c>
      <c r="DP72" s="6">
        <f>DP62+DP68-DP4</f>
        <v>0</v>
      </c>
      <c r="DQ72" s="6">
        <f>DQ62+DQ68-DQ4</f>
        <v>0</v>
      </c>
      <c r="DR72" s="6">
        <f>DR62+DR68-DR4</f>
        <v>0</v>
      </c>
      <c r="DS72" s="6">
        <f>DS62+DS68-DS4</f>
        <v>0</v>
      </c>
      <c r="DT72" s="6">
        <f>DT62+DT68-DT4</f>
        <v>0</v>
      </c>
      <c r="DU72" s="6">
        <f>DU62+DU68-DU4</f>
        <v>0</v>
      </c>
      <c r="DV72" s="6">
        <f>DV62+DV68-DV4</f>
        <v>0</v>
      </c>
      <c r="DW72" s="6">
        <f>DW62+DW68-DW4</f>
        <v>0</v>
      </c>
      <c r="DX72" s="6">
        <f>DX62+DX68-DX4</f>
        <v>0</v>
      </c>
      <c r="DY72" s="6">
        <f>DY62+DY68-DY4</f>
        <v>0</v>
      </c>
      <c r="DZ72" s="6">
        <f>DZ62+DZ68-DZ4</f>
        <v>0</v>
      </c>
      <c r="EA72" s="6">
        <f>EA62+EA68-EA4</f>
        <v>0</v>
      </c>
      <c r="EB72" s="6">
        <f>EB62+EB68-EB4</f>
        <v>0</v>
      </c>
      <c r="EC72" s="6">
        <f>EC62+EC68-EC4</f>
        <v>0</v>
      </c>
      <c r="ED72" s="6">
        <f>ED62+ED68-ED4</f>
        <v>0</v>
      </c>
      <c r="EE72" s="6">
        <f>EE62+EE68-EE4</f>
        <v>0</v>
      </c>
      <c r="EF72" s="6">
        <f>EF62+EF68-EF4</f>
        <v>0</v>
      </c>
      <c r="EG72" s="6">
        <f>EG62+EG68-EG4</f>
        <v>0</v>
      </c>
      <c r="EH72" s="6">
        <f>EH62+EH68-EH4</f>
        <v>0</v>
      </c>
      <c r="EI72" s="6">
        <f>EI62+EI68-EI4</f>
        <v>0</v>
      </c>
      <c r="EJ72" s="6">
        <f>EJ62+EJ68-EJ4</f>
        <v>0</v>
      </c>
      <c r="EK72" s="6">
        <f>EK62+EK68-EK4</f>
        <v>0</v>
      </c>
      <c r="EL72" s="6">
        <f>EL62+EL68-EL4</f>
        <v>0</v>
      </c>
      <c r="EM72" s="6">
        <f>EM62+EM68-EM4</f>
        <v>0</v>
      </c>
      <c r="EN72" s="6">
        <f>EN62+EN68-EN4</f>
        <v>0</v>
      </c>
      <c r="EO72" s="6">
        <f>EO62+EO68-EO4</f>
        <v>0</v>
      </c>
      <c r="EP72" s="6">
        <f>EP62+EP68-EP4</f>
        <v>0</v>
      </c>
      <c r="EQ72" s="6">
        <f>EQ62+EQ68-EQ4</f>
        <v>0</v>
      </c>
      <c r="ER72" s="6">
        <f>ER62+ER68-ER4</f>
        <v>0</v>
      </c>
      <c r="ES72" s="6">
        <f>ES62+ES68-ES4</f>
        <v>0</v>
      </c>
      <c r="ET72" s="6">
        <f>ET62+ET68-ET4</f>
        <v>0</v>
      </c>
      <c r="EU72" s="6">
        <f>EU62+EU68-EU4</f>
        <v>0</v>
      </c>
      <c r="EV72" s="6">
        <f>EV62+EV68-EV4</f>
        <v>0</v>
      </c>
      <c r="EW72" s="6">
        <f>EW62+EW68-EW4</f>
        <v>0</v>
      </c>
      <c r="EX72" s="6">
        <f>EX62+EX68-EX4</f>
        <v>0</v>
      </c>
      <c r="EY72" s="6">
        <f>EY62+EY68-EY4</f>
        <v>0</v>
      </c>
      <c r="EZ72" s="6">
        <f>EZ62+EZ68-EZ4</f>
        <v>0</v>
      </c>
      <c r="FA72" s="6">
        <f>FA62+FA68-FA4</f>
        <v>0</v>
      </c>
      <c r="FB72" s="6">
        <f>FB62+FB68-FB4</f>
        <v>0</v>
      </c>
      <c r="FC72" s="6">
        <f>FC62+FC68-FC4</f>
        <v>0</v>
      </c>
      <c r="FD72" s="6">
        <f>FD62+FD68-FD4</f>
        <v>0</v>
      </c>
      <c r="FE72" s="6">
        <f>FE62+FE68-FE4</f>
        <v>0</v>
      </c>
      <c r="FF72" s="6">
        <f>FF62+FF68-FF4</f>
        <v>0</v>
      </c>
      <c r="FG72" s="6">
        <f>FG62+FG68-FG4</f>
        <v>0</v>
      </c>
      <c r="FH72" s="6">
        <f>FH62+FH68-FH4</f>
        <v>0</v>
      </c>
      <c r="FI72" s="6">
        <f>FI62+FI68-FI4</f>
        <v>0</v>
      </c>
      <c r="FJ72" s="6">
        <f>FJ62+FJ68-FJ4</f>
        <v>0</v>
      </c>
      <c r="FK72" s="6">
        <f>FK62+FK68-FK4</f>
        <v>0</v>
      </c>
      <c r="FL72" s="6">
        <f>FL62+FL68-FL4</f>
        <v>0</v>
      </c>
      <c r="FM72" s="6">
        <f>FM62+FM68-FM4</f>
        <v>0</v>
      </c>
      <c r="FN72" s="6">
        <f>FN62+FN68-FN4</f>
        <v>0</v>
      </c>
      <c r="FO72" s="6">
        <f>FO62+FO68-FO4</f>
        <v>0</v>
      </c>
      <c r="FP72" s="6">
        <f>FP62+FP68-FP4</f>
        <v>0</v>
      </c>
      <c r="FQ72" s="6">
        <f>FQ62+FQ68-FQ4</f>
        <v>0</v>
      </c>
      <c r="FR72" s="6">
        <f>FR62+FR68-FR4</f>
        <v>0</v>
      </c>
      <c r="FS72" s="6">
        <f>FS62+FS68-FS4</f>
        <v>0</v>
      </c>
      <c r="FT72" s="6">
        <f>FT62+FT68-FT4</f>
        <v>0</v>
      </c>
      <c r="FU72" s="6">
        <f>FU62+FU68-FU4</f>
        <v>0</v>
      </c>
      <c r="FV72" s="6">
        <f>FV62+FV68-FV4</f>
        <v>0</v>
      </c>
      <c r="FW72" s="6">
        <f>FW62+FW68-FW4</f>
        <v>0</v>
      </c>
      <c r="FX72" s="6">
        <f>FX62+FX68-FX4</f>
        <v>0</v>
      </c>
      <c r="FY72" s="6">
        <f>FY62+FY68-FY4</f>
        <v>0</v>
      </c>
      <c r="FZ72" s="6">
        <f>FZ62+FZ68-FZ4</f>
        <v>0</v>
      </c>
      <c r="GA72" s="6">
        <f>GA62+GA68-GA4</f>
        <v>0</v>
      </c>
      <c r="GB72" s="6">
        <f>GB62+GB68-GB4</f>
        <v>0</v>
      </c>
      <c r="GC72" s="6">
        <f>GC62+GC68-GC4</f>
        <v>0</v>
      </c>
      <c r="GD72" s="6">
        <f>GD62+GD68-GD4</f>
        <v>0</v>
      </c>
      <c r="GE72" s="6">
        <f>GE62+GE68-GE4</f>
        <v>0</v>
      </c>
      <c r="GF72" s="6">
        <f>GF62+GF68-GF4</f>
        <v>0</v>
      </c>
      <c r="GG72" s="6">
        <f>GG62+GG68-GG4</f>
        <v>0</v>
      </c>
      <c r="GH72" s="6">
        <f>GH62+GH68-GH4</f>
        <v>0</v>
      </c>
      <c r="GI72" s="6">
        <f>GI62+GI68-GI4</f>
        <v>0</v>
      </c>
      <c r="GJ72" s="6">
        <f>GJ62+GJ68-GJ4</f>
        <v>0</v>
      </c>
      <c r="GK72" s="6">
        <f>GK62+GK68-GK4</f>
        <v>0</v>
      </c>
      <c r="GL72" s="6">
        <f>GL62+GL68-GL4</f>
        <v>0</v>
      </c>
      <c r="GM72" s="6">
        <f>GM62+GM68-GM4</f>
        <v>0</v>
      </c>
      <c r="GN72" s="6">
        <f>GN62+GN68-GN4</f>
        <v>0</v>
      </c>
      <c r="GO72" s="6">
        <f>GO62+GO68-GO4</f>
        <v>0</v>
      </c>
      <c r="GP72" s="6">
        <f>GP62+GP68-GP4</f>
        <v>0</v>
      </c>
      <c r="GQ72" s="6">
        <f>GQ62+GQ68-GQ4</f>
        <v>0</v>
      </c>
      <c r="GR72" s="6">
        <f>GR62+GR68-GR4</f>
        <v>0</v>
      </c>
      <c r="GS72" s="6">
        <f>GS62+GS68-GS4</f>
        <v>0</v>
      </c>
      <c r="GT72" s="6">
        <f>GT62+GT68-GT4</f>
        <v>0</v>
      </c>
      <c r="GU72" s="6">
        <f>GU62+GU68-GU4</f>
        <v>0</v>
      </c>
      <c r="GV72" s="6">
        <f>GV62+GV68-GV4</f>
        <v>0</v>
      </c>
      <c r="GW72" s="6">
        <f>GW62+GW68-GW4</f>
        <v>0</v>
      </c>
      <c r="GX72" s="6">
        <f>GX62+GX68-GX4</f>
        <v>0</v>
      </c>
      <c r="GY72" s="6">
        <f>GY62+GY68-GY4</f>
        <v>0</v>
      </c>
      <c r="GZ72" s="6">
        <f>GZ62+GZ68-GZ4</f>
        <v>0</v>
      </c>
      <c r="HA72" s="6">
        <f>HA62+HA68-HA4</f>
        <v>0</v>
      </c>
      <c r="HB72" s="6">
        <f>HB62+HB68-HB4</f>
        <v>0</v>
      </c>
      <c r="HC72" s="6">
        <f>HC62+HC68-HC4</f>
        <v>0</v>
      </c>
      <c r="HD72" s="6">
        <f>HD62+HD68-HD4</f>
        <v>0</v>
      </c>
      <c r="HE72" s="6">
        <f>HE62+HE68-HE4</f>
        <v>0</v>
      </c>
      <c r="HF72" s="6">
        <f>HF62+HF68-HF4</f>
        <v>0</v>
      </c>
      <c r="HG72" s="6">
        <f>HG62+HG68-HG4</f>
        <v>0</v>
      </c>
      <c r="HH72" s="6">
        <f>HH62+HH68-HH4</f>
        <v>0</v>
      </c>
      <c r="HI72" s="6">
        <f>HI62+HI68-HI4</f>
        <v>0</v>
      </c>
      <c r="HJ72" s="6">
        <f>HJ62+HJ68-HJ4</f>
        <v>0</v>
      </c>
      <c r="HK72" s="6">
        <f>HK62+HK68-HK4</f>
        <v>0</v>
      </c>
      <c r="HL72" s="6">
        <f>HL62+HL68-HL4</f>
        <v>0</v>
      </c>
      <c r="HM72" s="6">
        <f>HM62+HM68-HM4</f>
        <v>0</v>
      </c>
      <c r="HN72" s="6">
        <f>HN62+HN68-HN4</f>
        <v>0</v>
      </c>
      <c r="HO72" s="6">
        <f>HO62+HO68-HO4</f>
        <v>0</v>
      </c>
      <c r="HP72" s="6">
        <f>HP62+HP68-HP4</f>
        <v>0</v>
      </c>
      <c r="HQ72" s="6">
        <f>HQ62+HQ68-HQ4</f>
        <v>0</v>
      </c>
      <c r="HR72" s="6">
        <f>HR62+HR68-HR4</f>
        <v>0</v>
      </c>
      <c r="HS72" s="6">
        <f>HS62+HS68-HS4</f>
        <v>0</v>
      </c>
      <c r="HT72" s="6">
        <f>HT62+HT68-HT4</f>
        <v>0</v>
      </c>
      <c r="HU72" s="6">
        <f>HU62+HU68-HU4</f>
        <v>0</v>
      </c>
      <c r="HV72" s="6">
        <f>HV62+HV68-HV4</f>
        <v>0</v>
      </c>
      <c r="HW72" s="6">
        <f>HW62+HW68-HW4</f>
        <v>0</v>
      </c>
      <c r="HX72" s="6">
        <f>HX62+HX68-HX4</f>
        <v>0</v>
      </c>
      <c r="HY72" s="6">
        <f>HY62+HY68-HY4</f>
        <v>0</v>
      </c>
      <c r="HZ72" s="6">
        <f>HZ62+HZ68-HZ4</f>
        <v>0</v>
      </c>
      <c r="IA72" s="6">
        <f>IA62+IA68-IA4</f>
        <v>0</v>
      </c>
      <c r="IB72" s="6">
        <f>IB62+IB68-IB4</f>
        <v>0</v>
      </c>
      <c r="IC72" s="6">
        <f>IC62+IC68-IC4</f>
        <v>0</v>
      </c>
      <c r="ID72" s="6">
        <f>ID62+ID68-ID4</f>
        <v>0</v>
      </c>
      <c r="IE72" s="6">
        <f>IE62+IE68-IE4</f>
        <v>0</v>
      </c>
      <c r="IF72" s="6">
        <f>IF62+IF68-IF4</f>
        <v>0</v>
      </c>
      <c r="IG72" s="6">
        <f>IG62+IG68-IG4</f>
        <v>0</v>
      </c>
      <c r="IH72" s="6">
        <f>IH62+IH68-IH4</f>
        <v>0</v>
      </c>
      <c r="II72" s="6">
        <f>II62+II68-II4</f>
        <v>0</v>
      </c>
      <c r="IJ72" s="6">
        <f>IJ62+IJ68-IJ4</f>
        <v>0</v>
      </c>
      <c r="IK72" s="6">
        <f>IK62+IK68-IK4</f>
        <v>0</v>
      </c>
      <c r="IL72" s="6">
        <f>IL62+IL68-IL4</f>
        <v>0</v>
      </c>
      <c r="IM72" s="6">
        <f>IM62+IM68-IM4</f>
        <v>0</v>
      </c>
      <c r="IN72" s="6">
        <f>IN62+IN68-IN4</f>
        <v>0</v>
      </c>
      <c r="IO72" s="6">
        <f>IO62+IO68-IO4</f>
        <v>0</v>
      </c>
      <c r="IP72" s="6">
        <f>IP62+IP68-IP4</f>
        <v>0</v>
      </c>
      <c r="IQ72" s="6">
        <f>IQ62+IQ68-IQ4</f>
        <v>0</v>
      </c>
      <c r="IR72" s="6">
        <f>IR62+IR68-IR4</f>
        <v>0</v>
      </c>
      <c r="IS72" s="6">
        <f>IS62+IS68-IS4</f>
        <v>0</v>
      </c>
      <c r="IT72" s="6">
        <f>IT62+IT68-IT4</f>
        <v>0</v>
      </c>
      <c r="IU72" s="6">
        <f>IU62+IU68-IU4</f>
        <v>0</v>
      </c>
      <c r="IV72" s="6">
        <f>IV62+IV68-IV4</f>
        <v>0</v>
      </c>
      <c r="IW72" s="6">
        <f>IW62+IW68-IW4</f>
        <v>0</v>
      </c>
      <c r="IX72" s="6">
        <f>IX62+IX68-IX4</f>
        <v>0</v>
      </c>
      <c r="IY72" s="6">
        <f>IY62+IY68-IY4</f>
        <v>0</v>
      </c>
      <c r="IZ72" s="6">
        <f>IZ62+IZ68-IZ4</f>
        <v>0</v>
      </c>
      <c r="JA72" s="6">
        <f>JA62+JA68-JA4</f>
        <v>0</v>
      </c>
      <c r="JB72" s="6">
        <f>JB62+JB68-JB4</f>
        <v>0</v>
      </c>
      <c r="JC72" s="6">
        <f>JC62+JC68-JC4</f>
        <v>0</v>
      </c>
      <c r="JD72" s="6">
        <f>JD62+JD68-JD4</f>
        <v>0</v>
      </c>
      <c r="JE72" s="6">
        <f>JE62+JE68-JE4</f>
        <v>0</v>
      </c>
      <c r="JF72" s="6">
        <f>JF62+JF68-JF4</f>
        <v>0</v>
      </c>
      <c r="JG72" s="6">
        <f>JG62+JG68-JG4</f>
        <v>0</v>
      </c>
      <c r="JH72" s="6">
        <f>JH62+JH68-JH4</f>
        <v>0</v>
      </c>
      <c r="JI72" s="6">
        <f>JI62+JI68-JI4</f>
        <v>0</v>
      </c>
      <c r="JJ72" s="6">
        <f>JJ62+JJ68-JJ4</f>
        <v>0</v>
      </c>
      <c r="JK72" s="6">
        <f>JK62+JK68-JK4</f>
        <v>0</v>
      </c>
      <c r="JL72" s="6">
        <f>JL62+JL68-JL4</f>
        <v>0</v>
      </c>
      <c r="JM72" s="6">
        <f>JM62+JM68-JM4</f>
        <v>0</v>
      </c>
      <c r="JN72" s="6">
        <f>JN62+JN68-JN4</f>
        <v>0</v>
      </c>
      <c r="JO72" s="6">
        <f>JO62+JO68-JO4</f>
        <v>0</v>
      </c>
      <c r="JP72" s="6">
        <f>JP62+JP68-JP4</f>
        <v>0</v>
      </c>
      <c r="JQ72" s="6">
        <f>JQ62+JQ68-JQ4</f>
        <v>0</v>
      </c>
      <c r="JR72" s="6">
        <f>JR62+JR68-JR4</f>
        <v>0</v>
      </c>
      <c r="JS72" s="6">
        <f>JS62+JS68-JS4</f>
        <v>0</v>
      </c>
      <c r="JT72" s="6">
        <f>JT62+JT68-JT4</f>
        <v>0</v>
      </c>
      <c r="JU72" s="6">
        <f>JU62+JU68-JU4</f>
        <v>0</v>
      </c>
      <c r="JV72" s="6">
        <f>JV62+JV68-JV4</f>
        <v>0</v>
      </c>
      <c r="JW72" s="6">
        <f>JW62+JW68-JW4</f>
        <v>0</v>
      </c>
      <c r="JX72" s="6">
        <f>JX62+JX68-JX4</f>
        <v>0</v>
      </c>
      <c r="JY72" s="6">
        <f>JY62+JY68-JY4</f>
        <v>0</v>
      </c>
      <c r="JZ72" s="6">
        <f>JZ62+JZ68-JZ4</f>
        <v>0</v>
      </c>
      <c r="KA72" s="6">
        <f>KA62+KA68-KA4</f>
        <v>0</v>
      </c>
      <c r="KB72" s="6">
        <f>KB62+KB68-KB4</f>
        <v>0</v>
      </c>
      <c r="KC72" s="6">
        <f>KC62+KC68-KC4</f>
        <v>0</v>
      </c>
      <c r="KD72" s="6">
        <f>KD62+KD68-KD4</f>
        <v>0</v>
      </c>
      <c r="KE72" s="6">
        <f>KE62+KE68-KE4</f>
        <v>0</v>
      </c>
      <c r="KF72" s="6">
        <f>KF62+KF68-KF4</f>
        <v>0</v>
      </c>
      <c r="KG72" s="6">
        <f>KG62+KG68-KG4</f>
        <v>0</v>
      </c>
      <c r="KH72" s="6">
        <f>KH62+KH68-KH4</f>
        <v>0</v>
      </c>
      <c r="KI72" s="6">
        <f>KI62+KI68-KI4</f>
        <v>0</v>
      </c>
      <c r="KJ72" s="6">
        <f>KJ62+KJ68-KJ4</f>
        <v>0</v>
      </c>
      <c r="KK72" s="6">
        <f>KK62+KK68-KK4</f>
        <v>0</v>
      </c>
      <c r="KL72" s="6">
        <f>KL62+KL68-KL4</f>
        <v>0</v>
      </c>
      <c r="KM72" s="6">
        <f>KM62+KM68-KM4</f>
        <v>0</v>
      </c>
      <c r="KN72" s="6">
        <f>KN62+KN68-KN4</f>
        <v>0</v>
      </c>
      <c r="KO72" s="6">
        <f>KO62+KO68-KO4</f>
        <v>0</v>
      </c>
      <c r="KP72" s="6">
        <f>KP62+KP68-KP4</f>
        <v>0</v>
      </c>
      <c r="KQ72" s="6">
        <f>KQ62+KQ68-KQ4</f>
        <v>0</v>
      </c>
      <c r="KR72" s="6">
        <f>KR62+KR68-KR4</f>
        <v>0</v>
      </c>
      <c r="KS72" s="6">
        <f>KS62+KS68-KS4</f>
        <v>0</v>
      </c>
    </row>
    <row r="73" spans="2:305">
      <c r="E73" s="6">
        <f>E63+E69-E5</f>
        <v>0</v>
      </c>
      <c r="F73" s="6">
        <f>F63+F69-F5</f>
        <v>0</v>
      </c>
      <c r="G73" s="6">
        <f>G63+G69-G5</f>
        <v>0</v>
      </c>
      <c r="H73" s="6">
        <f>H63+H69-H5</f>
        <v>0</v>
      </c>
      <c r="I73" s="6">
        <f>I63+I69-I5</f>
        <v>0</v>
      </c>
      <c r="J73" s="6">
        <f>J63+J69-J5</f>
        <v>0</v>
      </c>
      <c r="K73" s="6">
        <f>K63+K69-K5</f>
        <v>0</v>
      </c>
      <c r="L73" s="6">
        <f>L63+L69-L5</f>
        <v>0</v>
      </c>
      <c r="M73" s="6">
        <f>M63+M69-M5</f>
        <v>0</v>
      </c>
      <c r="N73" s="6">
        <f>N63+N69-N5</f>
        <v>0</v>
      </c>
      <c r="O73" s="6">
        <f>O63+O69-O5</f>
        <v>0</v>
      </c>
      <c r="P73" s="6">
        <f>P63+P69-P5</f>
        <v>0</v>
      </c>
      <c r="Q73" s="6">
        <f>Q63+Q69-Q5</f>
        <v>0</v>
      </c>
      <c r="R73" s="6">
        <f>R63+R69-R5</f>
        <v>0</v>
      </c>
      <c r="S73" s="6">
        <f>S63+S69-S5</f>
        <v>0</v>
      </c>
      <c r="T73" s="6">
        <f>T63+T69-T5</f>
        <v>0</v>
      </c>
      <c r="U73" s="6">
        <f>U63+U69-U5</f>
        <v>0</v>
      </c>
      <c r="V73" s="6">
        <f>V63+V69-V5</f>
        <v>0</v>
      </c>
      <c r="W73" s="6">
        <f>W63+W69-W5</f>
        <v>0</v>
      </c>
      <c r="X73" s="6">
        <f>X63+X69-X5</f>
        <v>0</v>
      </c>
      <c r="Y73" s="6">
        <f>Y63+Y69-Y5</f>
        <v>0</v>
      </c>
      <c r="Z73" s="6">
        <f>Z63+Z69-Z5</f>
        <v>0</v>
      </c>
      <c r="AA73" s="6">
        <f>AA63+AA69-AA5</f>
        <v>0</v>
      </c>
      <c r="AB73" s="6">
        <f>AB63+AB69-AB5</f>
        <v>0</v>
      </c>
      <c r="AC73" s="6">
        <f>AC63+AC69-AC5</f>
        <v>0</v>
      </c>
      <c r="AD73" s="6">
        <f>AD63+AD69-AD5</f>
        <v>0</v>
      </c>
      <c r="AE73" s="6">
        <f>AE63+AE69-AE5</f>
        <v>0</v>
      </c>
      <c r="AF73" s="6">
        <f>AF63+AF69-AF5</f>
        <v>0</v>
      </c>
      <c r="AG73" s="6">
        <f>AG63+AG69-AG5</f>
        <v>0</v>
      </c>
      <c r="AH73" s="6">
        <f>AH63+AH69-AH5</f>
        <v>0</v>
      </c>
      <c r="AI73" s="6">
        <f>AI63+AI69-AI5</f>
        <v>0</v>
      </c>
      <c r="AJ73" s="6">
        <f>AJ63+AJ69-AJ5</f>
        <v>0</v>
      </c>
      <c r="AK73" s="6">
        <f>AK63+AK69-AK5</f>
        <v>0</v>
      </c>
      <c r="AL73" s="6">
        <f>AL63+AL69-AL5</f>
        <v>0</v>
      </c>
      <c r="AM73" s="6">
        <f>AM63+AM69-AM5</f>
        <v>0</v>
      </c>
      <c r="AN73" s="6">
        <f>AN63+AN69-AN5</f>
        <v>0</v>
      </c>
      <c r="AO73" s="6">
        <f>AO63+AO69-AO5</f>
        <v>0</v>
      </c>
      <c r="AP73" s="6">
        <f>AP63+AP69-AP5</f>
        <v>0</v>
      </c>
      <c r="AQ73" s="6">
        <f>AQ63+AQ69-AQ5</f>
        <v>0</v>
      </c>
      <c r="AR73" s="6">
        <f>AR63+AR69-AR5</f>
        <v>0</v>
      </c>
      <c r="AS73" s="6">
        <f>AS63+AS69-AS5</f>
        <v>0</v>
      </c>
      <c r="AT73" s="6">
        <f>AT63+AT69-AT5</f>
        <v>0</v>
      </c>
      <c r="AU73" s="6">
        <f>AU63+AU69-AU5</f>
        <v>0</v>
      </c>
      <c r="AV73" s="6">
        <f>AV63+AV69-AV5</f>
        <v>0</v>
      </c>
      <c r="AW73" s="6">
        <f>AW63+AW69-AW5</f>
        <v>0</v>
      </c>
      <c r="AX73" s="6">
        <f>AX63+AX69-AX5</f>
        <v>0</v>
      </c>
      <c r="AY73" s="6">
        <f>AY63+AY69-AY5</f>
        <v>0</v>
      </c>
      <c r="AZ73" s="6">
        <f>AZ63+AZ69-AZ5</f>
        <v>0</v>
      </c>
      <c r="BA73" s="6">
        <f>BA63+BA69-BA5</f>
        <v>0</v>
      </c>
      <c r="BB73" s="6">
        <f>BB63+BB69-BB5</f>
        <v>0</v>
      </c>
      <c r="BC73" s="6">
        <f>BC63+BC69-BC5</f>
        <v>0</v>
      </c>
      <c r="BD73" s="6">
        <f>BD63+BD69-BD5</f>
        <v>0</v>
      </c>
      <c r="BE73" s="6">
        <f>BE63+BE69-BE5</f>
        <v>0</v>
      </c>
      <c r="BF73" s="6">
        <f>BF63+BF69-BF5</f>
        <v>0</v>
      </c>
      <c r="BG73" s="6">
        <f>BG63+BG69-BG5</f>
        <v>0</v>
      </c>
      <c r="BH73" s="6">
        <f>BH63+BH69-BH5</f>
        <v>0</v>
      </c>
      <c r="BI73" s="6">
        <f>BI63+BI69-BI5</f>
        <v>0</v>
      </c>
      <c r="BJ73" s="6">
        <f>BJ63+BJ69-BJ5</f>
        <v>0</v>
      </c>
      <c r="BK73" s="6">
        <f>BK63+BK69-BK5</f>
        <v>0</v>
      </c>
      <c r="BL73" s="6">
        <f>BL63+BL69-BL5</f>
        <v>0</v>
      </c>
      <c r="BM73" s="6">
        <f>BM63+BM69-BM5</f>
        <v>0</v>
      </c>
      <c r="BN73" s="6">
        <f>BN63+BN69-BN5</f>
        <v>0</v>
      </c>
      <c r="BO73" s="6">
        <f>BO63+BO69-BO5</f>
        <v>0</v>
      </c>
      <c r="BP73" s="6">
        <f>BP63+BP69-BP5</f>
        <v>0</v>
      </c>
      <c r="BQ73" s="6">
        <f>BQ63+BQ69-BQ5</f>
        <v>0</v>
      </c>
      <c r="BR73" s="6">
        <f>BR63+BR69-BR5</f>
        <v>0</v>
      </c>
      <c r="BS73" s="6">
        <f>BS63+BS69-BS5</f>
        <v>0</v>
      </c>
      <c r="BT73" s="6">
        <f>BT63+BT69-BT5</f>
        <v>0</v>
      </c>
      <c r="BU73" s="6">
        <f>BU63+BU69-BU5</f>
        <v>0</v>
      </c>
      <c r="BV73" s="6">
        <f>BV63+BV69-BV5</f>
        <v>0</v>
      </c>
      <c r="BW73" s="6">
        <f>BW63+BW69-BW5</f>
        <v>0</v>
      </c>
      <c r="BX73" s="6">
        <f>BX63+BX69-BX5</f>
        <v>0</v>
      </c>
      <c r="BY73" s="6">
        <f>BY63+BY69-BY5</f>
        <v>0</v>
      </c>
      <c r="BZ73" s="6">
        <f>BZ63+BZ69-BZ5</f>
        <v>0</v>
      </c>
      <c r="CA73" s="6">
        <f>CA63+CA69-CA5</f>
        <v>0</v>
      </c>
      <c r="CB73" s="6">
        <f>CB63+CB69-CB5</f>
        <v>0</v>
      </c>
      <c r="CC73" s="6">
        <f>CC63+CC69-CC5</f>
        <v>0</v>
      </c>
      <c r="CD73" s="6">
        <f>CD63+CD69-CD5</f>
        <v>0</v>
      </c>
      <c r="CE73" s="6">
        <f>CE63+CE69-CE5</f>
        <v>0</v>
      </c>
      <c r="CF73" s="6">
        <f>CF63+CF69-CF5</f>
        <v>0</v>
      </c>
      <c r="CG73" s="6">
        <f>CG63+CG69-CG5</f>
        <v>0</v>
      </c>
      <c r="CH73" s="6">
        <f>CH63+CH69-CH5</f>
        <v>0</v>
      </c>
      <c r="CI73" s="6">
        <f>CI63+CI69-CI5</f>
        <v>0</v>
      </c>
      <c r="CJ73" s="6">
        <f>CJ63+CJ69-CJ5</f>
        <v>0</v>
      </c>
      <c r="CK73" s="6">
        <f>CK63+CK69-CK5</f>
        <v>0</v>
      </c>
      <c r="CL73" s="6">
        <f>CL63+CL69-CL5</f>
        <v>0</v>
      </c>
      <c r="CM73" s="6">
        <f>CM63+CM69-CM5</f>
        <v>0</v>
      </c>
      <c r="CN73" s="6">
        <f>CN63+CN69-CN5</f>
        <v>0</v>
      </c>
      <c r="CO73" s="6">
        <f>CO63+CO69-CO5</f>
        <v>0</v>
      </c>
      <c r="CP73" s="6">
        <f>CP63+CP69-CP5</f>
        <v>0</v>
      </c>
      <c r="CQ73" s="6">
        <f>CQ63+CQ69-CQ5</f>
        <v>0</v>
      </c>
      <c r="CR73" s="6">
        <f>CR63+CR69-CR5</f>
        <v>0</v>
      </c>
      <c r="CS73" s="6">
        <f>CS63+CS69-CS5</f>
        <v>0</v>
      </c>
      <c r="CT73" s="6">
        <f>CT63+CT69-CT5</f>
        <v>0</v>
      </c>
      <c r="CU73" s="6">
        <f>CU63+CU69-CU5</f>
        <v>0</v>
      </c>
      <c r="CV73" s="6">
        <f>CV63+CV69-CV5</f>
        <v>0</v>
      </c>
      <c r="CW73" s="6">
        <f>CW63+CW69-CW5</f>
        <v>0</v>
      </c>
      <c r="CX73" s="6">
        <f>CX63+CX69-CX5</f>
        <v>0</v>
      </c>
      <c r="CY73" s="6">
        <f>CY63+CY69-CY5</f>
        <v>0</v>
      </c>
      <c r="CZ73" s="6">
        <f>CZ63+CZ69-CZ5</f>
        <v>0</v>
      </c>
      <c r="DA73" s="6">
        <f>DA63+DA69-DA5</f>
        <v>0</v>
      </c>
      <c r="DB73" s="6">
        <f>DB63+DB69-DB5</f>
        <v>0</v>
      </c>
      <c r="DC73" s="6">
        <f>DC63+DC69-DC5</f>
        <v>0</v>
      </c>
      <c r="DD73" s="6">
        <f>DD63+DD69-DD5</f>
        <v>0</v>
      </c>
      <c r="DE73" s="6">
        <f>DE63+DE69-DE5</f>
        <v>0</v>
      </c>
      <c r="DF73" s="6">
        <f>DF63+DF69-DF5</f>
        <v>0</v>
      </c>
      <c r="DG73" s="6">
        <f>DG63+DG69-DG5</f>
        <v>0</v>
      </c>
      <c r="DH73" s="6">
        <f>DH63+DH69-DH5</f>
        <v>0</v>
      </c>
      <c r="DI73" s="6">
        <f>DI63+DI69-DI5</f>
        <v>0</v>
      </c>
      <c r="DJ73" s="6">
        <f>DJ63+DJ69-DJ5</f>
        <v>0</v>
      </c>
      <c r="DK73" s="6">
        <f>DK63+DK69-DK5</f>
        <v>0</v>
      </c>
      <c r="DL73" s="6">
        <f>DL63+DL69-DL5</f>
        <v>0</v>
      </c>
      <c r="DM73" s="6">
        <f>DM63+DM69-DM5</f>
        <v>0</v>
      </c>
      <c r="DN73" s="6">
        <f>DN63+DN69-DN5</f>
        <v>0</v>
      </c>
      <c r="DO73" s="6">
        <f>DO63+DO69-DO5</f>
        <v>0</v>
      </c>
      <c r="DP73" s="6">
        <f>DP63+DP69-DP5</f>
        <v>0</v>
      </c>
      <c r="DQ73" s="6">
        <f>DQ63+DQ69-DQ5</f>
        <v>0</v>
      </c>
      <c r="DR73" s="6">
        <f>DR63+DR69-DR5</f>
        <v>0</v>
      </c>
      <c r="DS73" s="6">
        <f>DS63+DS69-DS5</f>
        <v>0</v>
      </c>
      <c r="DT73" s="6">
        <f>DT63+DT69-DT5</f>
        <v>0</v>
      </c>
      <c r="DU73" s="6">
        <f>DU63+DU69-DU5</f>
        <v>0</v>
      </c>
      <c r="DV73" s="6">
        <f>DV63+DV69-DV5</f>
        <v>0</v>
      </c>
      <c r="DW73" s="6">
        <f>DW63+DW69-DW5</f>
        <v>0</v>
      </c>
      <c r="DX73" s="6">
        <f>DX63+DX69-DX5</f>
        <v>0</v>
      </c>
      <c r="DY73" s="6">
        <f>DY63+DY69-DY5</f>
        <v>0</v>
      </c>
      <c r="DZ73" s="6">
        <f>DZ63+DZ69-DZ5</f>
        <v>0</v>
      </c>
      <c r="EA73" s="6">
        <f>EA63+EA69-EA5</f>
        <v>0</v>
      </c>
      <c r="EB73" s="6">
        <f>EB63+EB69-EB5</f>
        <v>0</v>
      </c>
      <c r="EC73" s="6">
        <f>EC63+EC69-EC5</f>
        <v>0</v>
      </c>
      <c r="ED73" s="6">
        <f>ED63+ED69-ED5</f>
        <v>0</v>
      </c>
      <c r="EE73" s="6">
        <f>EE63+EE69-EE5</f>
        <v>0</v>
      </c>
      <c r="EF73" s="6">
        <f>EF63+EF69-EF5</f>
        <v>0</v>
      </c>
      <c r="EG73" s="6">
        <f>EG63+EG69-EG5</f>
        <v>0</v>
      </c>
      <c r="EH73" s="6">
        <f>EH63+EH69-EH5</f>
        <v>0</v>
      </c>
      <c r="EI73" s="6">
        <f>EI63+EI69-EI5</f>
        <v>0</v>
      </c>
      <c r="EJ73" s="6">
        <f>EJ63+EJ69-EJ5</f>
        <v>0</v>
      </c>
      <c r="EK73" s="6">
        <f>EK63+EK69-EK5</f>
        <v>0</v>
      </c>
      <c r="EL73" s="6">
        <f>EL63+EL69-EL5</f>
        <v>0</v>
      </c>
      <c r="EM73" s="6">
        <f>EM63+EM69-EM5</f>
        <v>0</v>
      </c>
      <c r="EN73" s="6">
        <f>EN63+EN69-EN5</f>
        <v>0</v>
      </c>
      <c r="EO73" s="6">
        <f>EO63+EO69-EO5</f>
        <v>0</v>
      </c>
      <c r="EP73" s="6">
        <f>EP63+EP69-EP5</f>
        <v>0</v>
      </c>
      <c r="EQ73" s="6">
        <f>EQ63+EQ69-EQ5</f>
        <v>0</v>
      </c>
      <c r="ER73" s="6">
        <f>ER63+ER69-ER5</f>
        <v>0</v>
      </c>
      <c r="ES73" s="6">
        <f>ES63+ES69-ES5</f>
        <v>0</v>
      </c>
      <c r="ET73" s="6">
        <f>ET63+ET69-ET5</f>
        <v>0</v>
      </c>
      <c r="EU73" s="6">
        <f>EU63+EU69-EU5</f>
        <v>0</v>
      </c>
      <c r="EV73" s="6">
        <f>EV63+EV69-EV5</f>
        <v>0</v>
      </c>
      <c r="EW73" s="6">
        <f>EW63+EW69-EW5</f>
        <v>0</v>
      </c>
      <c r="EX73" s="6">
        <f>EX63+EX69-EX5</f>
        <v>0</v>
      </c>
      <c r="EY73" s="6">
        <f>EY63+EY69-EY5</f>
        <v>0</v>
      </c>
      <c r="EZ73" s="6">
        <f>EZ63+EZ69-EZ5</f>
        <v>0</v>
      </c>
      <c r="FA73" s="6">
        <f>FA63+FA69-FA5</f>
        <v>0</v>
      </c>
      <c r="FB73" s="6">
        <f>FB63+FB69-FB5</f>
        <v>0</v>
      </c>
      <c r="FC73" s="6">
        <f>FC63+FC69-FC5</f>
        <v>0</v>
      </c>
      <c r="FD73" s="6">
        <f>FD63+FD69-FD5</f>
        <v>0</v>
      </c>
      <c r="FE73" s="6">
        <f>FE63+FE69-FE5</f>
        <v>0</v>
      </c>
      <c r="FF73" s="6">
        <f>FF63+FF69-FF5</f>
        <v>0</v>
      </c>
      <c r="FG73" s="6">
        <f>FG63+FG69-FG5</f>
        <v>0</v>
      </c>
      <c r="FH73" s="6">
        <f>FH63+FH69-FH5</f>
        <v>0</v>
      </c>
      <c r="FI73" s="6">
        <f>FI63+FI69-FI5</f>
        <v>0</v>
      </c>
      <c r="FJ73" s="6">
        <f>FJ63+FJ69-FJ5</f>
        <v>0</v>
      </c>
      <c r="FK73" s="6">
        <f>FK63+FK69-FK5</f>
        <v>0</v>
      </c>
      <c r="FL73" s="6">
        <f>FL63+FL69-FL5</f>
        <v>0</v>
      </c>
      <c r="FM73" s="6">
        <f>FM63+FM69-FM5</f>
        <v>0</v>
      </c>
      <c r="FN73" s="6">
        <f>FN63+FN69-FN5</f>
        <v>0</v>
      </c>
      <c r="FO73" s="6">
        <f>FO63+FO69-FO5</f>
        <v>0</v>
      </c>
      <c r="FP73" s="6">
        <f>FP63+FP69-FP5</f>
        <v>0</v>
      </c>
      <c r="FQ73" s="6">
        <f>FQ63+FQ69-FQ5</f>
        <v>0</v>
      </c>
      <c r="FR73" s="6">
        <f>FR63+FR69-FR5</f>
        <v>0</v>
      </c>
      <c r="FS73" s="6">
        <f>FS63+FS69-FS5</f>
        <v>0</v>
      </c>
      <c r="FT73" s="6">
        <f>FT63+FT69-FT5</f>
        <v>0</v>
      </c>
      <c r="FU73" s="6">
        <f>FU63+FU69-FU5</f>
        <v>0</v>
      </c>
      <c r="FV73" s="6">
        <f>FV63+FV69-FV5</f>
        <v>0</v>
      </c>
      <c r="FW73" s="6">
        <f>FW63+FW69-FW5</f>
        <v>0</v>
      </c>
      <c r="FX73" s="6">
        <f>FX63+FX69-FX5</f>
        <v>0</v>
      </c>
      <c r="FY73" s="6">
        <f>FY63+FY69-FY5</f>
        <v>0</v>
      </c>
      <c r="FZ73" s="6">
        <f>FZ63+FZ69-FZ5</f>
        <v>0</v>
      </c>
      <c r="GA73" s="6">
        <f>GA63+GA69-GA5</f>
        <v>0</v>
      </c>
      <c r="GB73" s="6">
        <f>GB63+GB69-GB5</f>
        <v>0</v>
      </c>
      <c r="GC73" s="6">
        <f>GC63+GC69-GC5</f>
        <v>0</v>
      </c>
      <c r="GD73" s="6">
        <f>GD63+GD69-GD5</f>
        <v>0</v>
      </c>
      <c r="GE73" s="6">
        <f>GE63+GE69-GE5</f>
        <v>0</v>
      </c>
      <c r="GF73" s="6">
        <f>GF63+GF69-GF5</f>
        <v>0</v>
      </c>
      <c r="GG73" s="6">
        <f>GG63+GG69-GG5</f>
        <v>0</v>
      </c>
      <c r="GH73" s="6">
        <f>GH63+GH69-GH5</f>
        <v>0</v>
      </c>
      <c r="GI73" s="6">
        <f>GI63+GI69-GI5</f>
        <v>0</v>
      </c>
      <c r="GJ73" s="6">
        <f>GJ63+GJ69-GJ5</f>
        <v>0</v>
      </c>
      <c r="GK73" s="6">
        <f>GK63+GK69-GK5</f>
        <v>0</v>
      </c>
      <c r="GL73" s="6">
        <f>GL63+GL69-GL5</f>
        <v>0</v>
      </c>
      <c r="GM73" s="6">
        <f>GM63+GM69-GM5</f>
        <v>0</v>
      </c>
      <c r="GN73" s="6">
        <f>GN63+GN69-GN5</f>
        <v>0</v>
      </c>
      <c r="GO73" s="6">
        <f>GO63+GO69-GO5</f>
        <v>0</v>
      </c>
      <c r="GP73" s="6">
        <f>GP63+GP69-GP5</f>
        <v>0</v>
      </c>
      <c r="GQ73" s="6">
        <f>GQ63+GQ69-GQ5</f>
        <v>0</v>
      </c>
      <c r="GR73" s="6">
        <f>GR63+GR69-GR5</f>
        <v>0</v>
      </c>
      <c r="GS73" s="6">
        <f>GS63+GS69-GS5</f>
        <v>0</v>
      </c>
      <c r="GT73" s="6">
        <f>GT63+GT69-GT5</f>
        <v>0</v>
      </c>
      <c r="GU73" s="6">
        <f>GU63+GU69-GU5</f>
        <v>0</v>
      </c>
      <c r="GV73" s="6">
        <f>GV63+GV69-GV5</f>
        <v>0</v>
      </c>
      <c r="GW73" s="6">
        <f>GW63+GW69-GW5</f>
        <v>0</v>
      </c>
      <c r="GX73" s="6">
        <f>GX63+GX69-GX5</f>
        <v>0</v>
      </c>
      <c r="GY73" s="6">
        <f>GY63+GY69-GY5</f>
        <v>0</v>
      </c>
      <c r="GZ73" s="6">
        <f>GZ63+GZ69-GZ5</f>
        <v>0</v>
      </c>
      <c r="HA73" s="6">
        <f>HA63+HA69-HA5</f>
        <v>0</v>
      </c>
      <c r="HB73" s="6">
        <f>HB63+HB69-HB5</f>
        <v>0</v>
      </c>
      <c r="HC73" s="6">
        <f>HC63+HC69-HC5</f>
        <v>0</v>
      </c>
      <c r="HD73" s="6">
        <f>HD63+HD69-HD5</f>
        <v>0</v>
      </c>
      <c r="HE73" s="6">
        <f>HE63+HE69-HE5</f>
        <v>0</v>
      </c>
      <c r="HF73" s="6">
        <f>HF63+HF69-HF5</f>
        <v>0</v>
      </c>
      <c r="HG73" s="6">
        <f>HG63+HG69-HG5</f>
        <v>0</v>
      </c>
      <c r="HH73" s="6">
        <f>HH63+HH69-HH5</f>
        <v>0</v>
      </c>
      <c r="HI73" s="6">
        <f>HI63+HI69-HI5</f>
        <v>0</v>
      </c>
      <c r="HJ73" s="6">
        <f>HJ63+HJ69-HJ5</f>
        <v>0</v>
      </c>
      <c r="HK73" s="6">
        <f>HK63+HK69-HK5</f>
        <v>0</v>
      </c>
      <c r="HL73" s="6">
        <f>HL63+HL69-HL5</f>
        <v>0</v>
      </c>
      <c r="HM73" s="6">
        <f>HM63+HM69-HM5</f>
        <v>0</v>
      </c>
      <c r="HN73" s="6">
        <f>HN63+HN69-HN5</f>
        <v>0</v>
      </c>
      <c r="HO73" s="6">
        <f>HO63+HO69-HO5</f>
        <v>0</v>
      </c>
      <c r="HP73" s="6">
        <f>HP63+HP69-HP5</f>
        <v>0</v>
      </c>
      <c r="HQ73" s="6">
        <f>HQ63+HQ69-HQ5</f>
        <v>0</v>
      </c>
      <c r="HR73" s="6">
        <f>HR63+HR69-HR5</f>
        <v>0</v>
      </c>
      <c r="HS73" s="6">
        <f>HS63+HS69-HS5</f>
        <v>0</v>
      </c>
      <c r="HT73" s="6">
        <f>HT63+HT69-HT5</f>
        <v>0</v>
      </c>
      <c r="HU73" s="6">
        <f>HU63+HU69-HU5</f>
        <v>0</v>
      </c>
      <c r="HV73" s="6">
        <f>HV63+HV69-HV5</f>
        <v>0</v>
      </c>
      <c r="HW73" s="6">
        <f>HW63+HW69-HW5</f>
        <v>0</v>
      </c>
      <c r="HX73" s="6">
        <f>HX63+HX69-HX5</f>
        <v>0</v>
      </c>
      <c r="HY73" s="6">
        <f>HY63+HY69-HY5</f>
        <v>0</v>
      </c>
      <c r="HZ73" s="6">
        <f>HZ63+HZ69-HZ5</f>
        <v>0</v>
      </c>
      <c r="IA73" s="6">
        <f>IA63+IA69-IA5</f>
        <v>0</v>
      </c>
      <c r="IB73" s="6">
        <f>IB63+IB69-IB5</f>
        <v>0</v>
      </c>
      <c r="IC73" s="6">
        <f>IC63+IC69-IC5</f>
        <v>0</v>
      </c>
      <c r="ID73" s="6">
        <f>ID63+ID69-ID5</f>
        <v>0</v>
      </c>
      <c r="IE73" s="6">
        <f>IE63+IE69-IE5</f>
        <v>0</v>
      </c>
      <c r="IF73" s="6">
        <f>IF63+IF69-IF5</f>
        <v>0</v>
      </c>
      <c r="IG73" s="6">
        <f>IG63+IG69-IG5</f>
        <v>0</v>
      </c>
      <c r="IH73" s="6">
        <f>IH63+IH69-IH5</f>
        <v>0</v>
      </c>
      <c r="II73" s="6">
        <f>II63+II69-II5</f>
        <v>0</v>
      </c>
      <c r="IJ73" s="6">
        <f>IJ63+IJ69-IJ5</f>
        <v>0</v>
      </c>
      <c r="IK73" s="6">
        <f>IK63+IK69-IK5</f>
        <v>0</v>
      </c>
      <c r="IL73" s="6">
        <f>IL63+IL69-IL5</f>
        <v>0</v>
      </c>
      <c r="IM73" s="6">
        <f>IM63+IM69-IM5</f>
        <v>0</v>
      </c>
      <c r="IN73" s="6">
        <f>IN63+IN69-IN5</f>
        <v>0</v>
      </c>
      <c r="IO73" s="6">
        <f>IO63+IO69-IO5</f>
        <v>0</v>
      </c>
      <c r="IP73" s="6">
        <f>IP63+IP69-IP5</f>
        <v>0</v>
      </c>
      <c r="IQ73" s="6">
        <f>IQ63+IQ69-IQ5</f>
        <v>0</v>
      </c>
      <c r="IR73" s="6">
        <f>IR63+IR69-IR5</f>
        <v>0</v>
      </c>
      <c r="IS73" s="6">
        <f>IS63+IS69-IS5</f>
        <v>0</v>
      </c>
      <c r="IT73" s="6">
        <f>IT63+IT69-IT5</f>
        <v>0</v>
      </c>
      <c r="IU73" s="6">
        <f>IU63+IU69-IU5</f>
        <v>0</v>
      </c>
      <c r="IV73" s="6">
        <f>IV63+IV69-IV5</f>
        <v>0</v>
      </c>
      <c r="IW73" s="6">
        <f>IW63+IW69-IW5</f>
        <v>0</v>
      </c>
      <c r="IX73" s="6">
        <f>IX63+IX69-IX5</f>
        <v>0</v>
      </c>
      <c r="IY73" s="6">
        <f>IY63+IY69-IY5</f>
        <v>0</v>
      </c>
      <c r="IZ73" s="6">
        <f>IZ63+IZ69-IZ5</f>
        <v>0</v>
      </c>
      <c r="JA73" s="6">
        <f>JA63+JA69-JA5</f>
        <v>0</v>
      </c>
      <c r="JB73" s="6">
        <f>JB63+JB69-JB5</f>
        <v>0</v>
      </c>
      <c r="JC73" s="6">
        <f>JC63+JC69-JC5</f>
        <v>0</v>
      </c>
      <c r="JD73" s="6">
        <f>JD63+JD69-JD5</f>
        <v>0</v>
      </c>
      <c r="JE73" s="6">
        <f>JE63+JE69-JE5</f>
        <v>0</v>
      </c>
      <c r="JF73" s="6">
        <f>JF63+JF69-JF5</f>
        <v>0</v>
      </c>
      <c r="JG73" s="6">
        <f>JG63+JG69-JG5</f>
        <v>0</v>
      </c>
      <c r="JH73" s="6">
        <f>JH63+JH69-JH5</f>
        <v>0</v>
      </c>
      <c r="JI73" s="6">
        <f>JI63+JI69-JI5</f>
        <v>0</v>
      </c>
      <c r="JJ73" s="6">
        <f>JJ63+JJ69-JJ5</f>
        <v>0</v>
      </c>
      <c r="JK73" s="6">
        <f>JK63+JK69-JK5</f>
        <v>0</v>
      </c>
      <c r="JL73" s="6">
        <f>JL63+JL69-JL5</f>
        <v>0</v>
      </c>
      <c r="JM73" s="6">
        <f>JM63+JM69-JM5</f>
        <v>0</v>
      </c>
      <c r="JN73" s="6">
        <f>JN63+JN69-JN5</f>
        <v>0</v>
      </c>
      <c r="JO73" s="6">
        <f>JO63+JO69-JO5</f>
        <v>0</v>
      </c>
      <c r="JP73" s="6">
        <f>JP63+JP69-JP5</f>
        <v>0</v>
      </c>
      <c r="JQ73" s="6">
        <f>JQ63+JQ69-JQ5</f>
        <v>0</v>
      </c>
      <c r="JR73" s="6">
        <f>JR63+JR69-JR5</f>
        <v>0</v>
      </c>
      <c r="JS73" s="6">
        <f>JS63+JS69-JS5</f>
        <v>0</v>
      </c>
      <c r="JT73" s="6">
        <f>JT63+JT69-JT5</f>
        <v>0</v>
      </c>
      <c r="JU73" s="6">
        <f>JU63+JU69-JU5</f>
        <v>0</v>
      </c>
      <c r="JV73" s="6">
        <f>JV63+JV69-JV5</f>
        <v>0</v>
      </c>
      <c r="JW73" s="6">
        <f>JW63+JW69-JW5</f>
        <v>0</v>
      </c>
      <c r="JX73" s="6">
        <f>JX63+JX69-JX5</f>
        <v>0</v>
      </c>
      <c r="JY73" s="6">
        <f>JY63+JY69-JY5</f>
        <v>0</v>
      </c>
      <c r="JZ73" s="6">
        <f>JZ63+JZ69-JZ5</f>
        <v>0</v>
      </c>
      <c r="KA73" s="6">
        <f>KA63+KA69-KA5</f>
        <v>0</v>
      </c>
      <c r="KB73" s="6">
        <f>KB63+KB69-KB5</f>
        <v>0</v>
      </c>
      <c r="KC73" s="6">
        <f>KC63+KC69-KC5</f>
        <v>0</v>
      </c>
      <c r="KD73" s="6">
        <f>KD63+KD69-KD5</f>
        <v>0</v>
      </c>
      <c r="KE73" s="6">
        <f>KE63+KE69-KE5</f>
        <v>0</v>
      </c>
      <c r="KF73" s="6">
        <f>KF63+KF69-KF5</f>
        <v>0</v>
      </c>
      <c r="KG73" s="6">
        <f>KG63+KG69-KG5</f>
        <v>0</v>
      </c>
      <c r="KH73" s="6">
        <f>KH63+KH69-KH5</f>
        <v>0</v>
      </c>
      <c r="KI73" s="6">
        <f>KI63+KI69-KI5</f>
        <v>0</v>
      </c>
      <c r="KJ73" s="6">
        <f>KJ63+KJ69-KJ5</f>
        <v>0</v>
      </c>
      <c r="KK73" s="6">
        <f>KK63+KK69-KK5</f>
        <v>0</v>
      </c>
      <c r="KL73" s="6">
        <f>KL63+KL69-KL5</f>
        <v>0</v>
      </c>
      <c r="KM73" s="6">
        <f>KM63+KM69-KM5</f>
        <v>0</v>
      </c>
      <c r="KN73" s="6">
        <f>KN63+KN69-KN5</f>
        <v>0</v>
      </c>
      <c r="KO73" s="6">
        <f>KO63+KO69-KO5</f>
        <v>0</v>
      </c>
      <c r="KP73" s="6">
        <f>KP63+KP69-KP5</f>
        <v>0</v>
      </c>
      <c r="KQ73" s="6">
        <f>KQ63+KQ69-KQ5</f>
        <v>0</v>
      </c>
      <c r="KR73" s="6">
        <f>KR63+KR69-KR5</f>
        <v>0</v>
      </c>
      <c r="KS73" s="6">
        <f>KS63+KS69-KS5</f>
        <v>0</v>
      </c>
    </row>
    <row r="74" spans="2:305">
      <c r="B74" s="11"/>
    </row>
    <row r="75" spans="2:305">
      <c r="B75" s="11"/>
    </row>
    <row r="76" spans="2:305">
      <c r="B76" s="11"/>
    </row>
    <row r="77" spans="2:305">
      <c r="B77" s="11"/>
    </row>
    <row r="78" spans="2:305">
      <c r="B78" s="11"/>
    </row>
    <row r="79" spans="2:305">
      <c r="B79" s="11"/>
    </row>
    <row r="80" spans="2:305">
      <c r="B80" s="11"/>
    </row>
    <row r="81" spans="2:305">
      <c r="B81" s="11"/>
    </row>
    <row r="82" spans="2:305"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</row>
    <row r="83" spans="2:305"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</row>
    <row r="84" spans="2:305"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</row>
    <row r="85" spans="2:305"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</row>
    <row r="86" spans="2:305"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</row>
    <row r="87" spans="2:305"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</row>
    <row r="88" spans="2:305"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</row>
    <row r="89" spans="2:305"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</row>
    <row r="90" spans="2:305"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</row>
    <row r="91" spans="2:305"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</row>
    <row r="92" spans="2:305"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</row>
    <row r="93" spans="2:305"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</row>
    <row r="94" spans="2:305"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</row>
    <row r="95" spans="2:305"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</row>
    <row r="96" spans="2:305"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</row>
    <row r="97" spans="2:305"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</row>
    <row r="98" spans="2:305"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</row>
    <row r="99" spans="2:305"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</row>
    <row r="100" spans="2:305"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</row>
    <row r="101" spans="2:305"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</row>
    <row r="102" spans="2:305"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</row>
    <row r="103" spans="2:305"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</row>
    <row r="104" spans="2:305"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</row>
    <row r="105" spans="2:305"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</row>
    <row r="106" spans="2:305">
      <c r="B106" s="11" t="s">
        <v>41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</row>
    <row r="107" spans="2:305" outlineLevel="1"/>
    <row r="108" spans="2:305" outlineLevel="1">
      <c r="B108" t="s">
        <v>3</v>
      </c>
    </row>
    <row r="109" spans="2:305" s="6" customFormat="1" outlineLevel="1">
      <c r="B109" t="s">
        <v>25</v>
      </c>
      <c r="C109"/>
      <c r="D109"/>
      <c r="E109" s="6">
        <f>D113</f>
        <v>0</v>
      </c>
      <c r="F109" s="6" t="e">
        <f t="shared" ref="F109:BQ109" si="410">E113</f>
        <v>#REF!</v>
      </c>
      <c r="G109" s="6" t="e">
        <f t="shared" si="410"/>
        <v>#REF!</v>
      </c>
      <c r="H109" s="6" t="e">
        <f t="shared" si="410"/>
        <v>#REF!</v>
      </c>
      <c r="I109" s="6" t="e">
        <f t="shared" si="410"/>
        <v>#REF!</v>
      </c>
      <c r="J109" s="6" t="e">
        <f t="shared" si="410"/>
        <v>#REF!</v>
      </c>
      <c r="K109" s="6" t="e">
        <f t="shared" si="410"/>
        <v>#REF!</v>
      </c>
      <c r="L109" s="6" t="e">
        <f t="shared" si="410"/>
        <v>#REF!</v>
      </c>
      <c r="M109" s="6" t="e">
        <f t="shared" si="410"/>
        <v>#REF!</v>
      </c>
      <c r="N109" s="6" t="e">
        <f t="shared" si="410"/>
        <v>#REF!</v>
      </c>
      <c r="O109" s="6" t="e">
        <f t="shared" si="410"/>
        <v>#REF!</v>
      </c>
      <c r="P109" s="6" t="e">
        <f t="shared" si="410"/>
        <v>#REF!</v>
      </c>
      <c r="Q109" s="6" t="e">
        <f t="shared" si="410"/>
        <v>#REF!</v>
      </c>
      <c r="R109" s="6" t="e">
        <f t="shared" si="410"/>
        <v>#REF!</v>
      </c>
      <c r="S109" s="6" t="e">
        <f t="shared" si="410"/>
        <v>#REF!</v>
      </c>
      <c r="T109" s="6" t="e">
        <f t="shared" si="410"/>
        <v>#REF!</v>
      </c>
      <c r="U109" s="6" t="e">
        <f t="shared" si="410"/>
        <v>#REF!</v>
      </c>
      <c r="V109" s="6" t="e">
        <f t="shared" si="410"/>
        <v>#REF!</v>
      </c>
      <c r="W109" s="6" t="e">
        <f t="shared" si="410"/>
        <v>#REF!</v>
      </c>
      <c r="X109" s="6" t="e">
        <f t="shared" si="410"/>
        <v>#REF!</v>
      </c>
      <c r="Y109" s="6" t="e">
        <f t="shared" si="410"/>
        <v>#REF!</v>
      </c>
      <c r="Z109" s="6" t="e">
        <f t="shared" si="410"/>
        <v>#REF!</v>
      </c>
      <c r="AA109" s="6" t="e">
        <f t="shared" si="410"/>
        <v>#REF!</v>
      </c>
      <c r="AB109" s="6" t="e">
        <f t="shared" si="410"/>
        <v>#REF!</v>
      </c>
      <c r="AC109" s="6" t="e">
        <f t="shared" si="410"/>
        <v>#REF!</v>
      </c>
      <c r="AD109" s="6" t="e">
        <f t="shared" si="410"/>
        <v>#REF!</v>
      </c>
      <c r="AE109" s="6" t="e">
        <f t="shared" si="410"/>
        <v>#REF!</v>
      </c>
      <c r="AF109" s="6" t="e">
        <f t="shared" si="410"/>
        <v>#REF!</v>
      </c>
      <c r="AG109" s="6" t="e">
        <f t="shared" si="410"/>
        <v>#REF!</v>
      </c>
      <c r="AH109" s="6" t="e">
        <f t="shared" si="410"/>
        <v>#REF!</v>
      </c>
      <c r="AI109" s="6" t="e">
        <f t="shared" si="410"/>
        <v>#REF!</v>
      </c>
      <c r="AJ109" s="6" t="e">
        <f t="shared" si="410"/>
        <v>#REF!</v>
      </c>
      <c r="AK109" s="6" t="e">
        <f t="shared" si="410"/>
        <v>#REF!</v>
      </c>
      <c r="AL109" s="6" t="e">
        <f t="shared" si="410"/>
        <v>#REF!</v>
      </c>
      <c r="AM109" s="6" t="e">
        <f t="shared" si="410"/>
        <v>#REF!</v>
      </c>
      <c r="AN109" s="6" t="e">
        <f t="shared" si="410"/>
        <v>#REF!</v>
      </c>
      <c r="AO109" s="6" t="e">
        <f t="shared" si="410"/>
        <v>#REF!</v>
      </c>
      <c r="AP109" s="6" t="e">
        <f t="shared" si="410"/>
        <v>#REF!</v>
      </c>
      <c r="AQ109" s="6" t="e">
        <f t="shared" si="410"/>
        <v>#REF!</v>
      </c>
      <c r="AR109" s="6" t="e">
        <f t="shared" si="410"/>
        <v>#REF!</v>
      </c>
      <c r="AS109" s="6" t="e">
        <f t="shared" si="410"/>
        <v>#REF!</v>
      </c>
      <c r="AT109" s="6" t="e">
        <f t="shared" si="410"/>
        <v>#REF!</v>
      </c>
      <c r="AU109" s="6" t="e">
        <f t="shared" si="410"/>
        <v>#REF!</v>
      </c>
      <c r="AV109" s="6" t="e">
        <f t="shared" si="410"/>
        <v>#REF!</v>
      </c>
      <c r="AW109" s="6" t="e">
        <f t="shared" si="410"/>
        <v>#REF!</v>
      </c>
      <c r="AX109" s="6" t="e">
        <f t="shared" si="410"/>
        <v>#REF!</v>
      </c>
      <c r="AY109" s="6" t="e">
        <f t="shared" si="410"/>
        <v>#REF!</v>
      </c>
      <c r="AZ109" s="6" t="e">
        <f t="shared" si="410"/>
        <v>#REF!</v>
      </c>
      <c r="BA109" s="6" t="e">
        <f t="shared" si="410"/>
        <v>#REF!</v>
      </c>
      <c r="BB109" s="6" t="e">
        <f t="shared" si="410"/>
        <v>#REF!</v>
      </c>
      <c r="BC109" s="6" t="e">
        <f t="shared" si="410"/>
        <v>#REF!</v>
      </c>
      <c r="BD109" s="6" t="e">
        <f t="shared" si="410"/>
        <v>#REF!</v>
      </c>
      <c r="BE109" s="6" t="e">
        <f t="shared" si="410"/>
        <v>#REF!</v>
      </c>
      <c r="BF109" s="6" t="e">
        <f t="shared" si="410"/>
        <v>#REF!</v>
      </c>
      <c r="BG109" s="6" t="e">
        <f t="shared" si="410"/>
        <v>#REF!</v>
      </c>
      <c r="BH109" s="6" t="e">
        <f t="shared" si="410"/>
        <v>#REF!</v>
      </c>
      <c r="BI109" s="6" t="e">
        <f t="shared" si="410"/>
        <v>#REF!</v>
      </c>
      <c r="BJ109" s="6" t="e">
        <f t="shared" si="410"/>
        <v>#REF!</v>
      </c>
      <c r="BK109" s="6" t="e">
        <f t="shared" si="410"/>
        <v>#REF!</v>
      </c>
      <c r="BL109" s="6" t="e">
        <f t="shared" si="410"/>
        <v>#REF!</v>
      </c>
      <c r="BM109" s="6" t="e">
        <f t="shared" si="410"/>
        <v>#REF!</v>
      </c>
      <c r="BN109" s="6" t="e">
        <f t="shared" si="410"/>
        <v>#REF!</v>
      </c>
      <c r="BO109" s="6" t="e">
        <f t="shared" si="410"/>
        <v>#REF!</v>
      </c>
      <c r="BP109" s="6" t="e">
        <f t="shared" si="410"/>
        <v>#REF!</v>
      </c>
      <c r="BQ109" s="6" t="e">
        <f t="shared" si="410"/>
        <v>#REF!</v>
      </c>
      <c r="BR109" s="6" t="e">
        <f t="shared" ref="BR109:EC109" si="411">BQ113</f>
        <v>#REF!</v>
      </c>
      <c r="BS109" s="6" t="e">
        <f t="shared" si="411"/>
        <v>#REF!</v>
      </c>
      <c r="BT109" s="6" t="e">
        <f t="shared" si="411"/>
        <v>#REF!</v>
      </c>
      <c r="BU109" s="6" t="e">
        <f t="shared" si="411"/>
        <v>#REF!</v>
      </c>
      <c r="BV109" s="6" t="e">
        <f t="shared" si="411"/>
        <v>#REF!</v>
      </c>
      <c r="BW109" s="6" t="e">
        <f t="shared" si="411"/>
        <v>#REF!</v>
      </c>
      <c r="BX109" s="6" t="e">
        <f t="shared" si="411"/>
        <v>#REF!</v>
      </c>
      <c r="BY109" s="6" t="e">
        <f t="shared" si="411"/>
        <v>#REF!</v>
      </c>
      <c r="BZ109" s="6" t="e">
        <f t="shared" si="411"/>
        <v>#REF!</v>
      </c>
      <c r="CA109" s="6" t="e">
        <f t="shared" si="411"/>
        <v>#REF!</v>
      </c>
      <c r="CB109" s="6" t="e">
        <f t="shared" si="411"/>
        <v>#REF!</v>
      </c>
      <c r="CC109" s="6" t="e">
        <f t="shared" si="411"/>
        <v>#REF!</v>
      </c>
      <c r="CD109" s="6" t="e">
        <f t="shared" si="411"/>
        <v>#REF!</v>
      </c>
      <c r="CE109" s="6" t="e">
        <f t="shared" si="411"/>
        <v>#REF!</v>
      </c>
      <c r="CF109" s="6" t="e">
        <f t="shared" si="411"/>
        <v>#REF!</v>
      </c>
      <c r="CG109" s="6" t="e">
        <f t="shared" si="411"/>
        <v>#REF!</v>
      </c>
      <c r="CH109" s="6" t="e">
        <f t="shared" si="411"/>
        <v>#REF!</v>
      </c>
      <c r="CI109" s="6" t="e">
        <f t="shared" si="411"/>
        <v>#REF!</v>
      </c>
      <c r="CJ109" s="6" t="e">
        <f t="shared" si="411"/>
        <v>#REF!</v>
      </c>
      <c r="CK109" s="6" t="e">
        <f t="shared" si="411"/>
        <v>#REF!</v>
      </c>
      <c r="CL109" s="6" t="e">
        <f t="shared" si="411"/>
        <v>#REF!</v>
      </c>
      <c r="CM109" s="6" t="e">
        <f t="shared" si="411"/>
        <v>#REF!</v>
      </c>
      <c r="CN109" s="6" t="e">
        <f t="shared" si="411"/>
        <v>#REF!</v>
      </c>
      <c r="CO109" s="6" t="e">
        <f t="shared" si="411"/>
        <v>#REF!</v>
      </c>
      <c r="CP109" s="6" t="e">
        <f t="shared" si="411"/>
        <v>#REF!</v>
      </c>
      <c r="CQ109" s="6" t="e">
        <f t="shared" si="411"/>
        <v>#REF!</v>
      </c>
      <c r="CR109" s="6" t="e">
        <f t="shared" si="411"/>
        <v>#REF!</v>
      </c>
      <c r="CS109" s="6" t="e">
        <f t="shared" si="411"/>
        <v>#REF!</v>
      </c>
      <c r="CT109" s="6" t="e">
        <f t="shared" si="411"/>
        <v>#REF!</v>
      </c>
      <c r="CU109" s="6" t="e">
        <f t="shared" si="411"/>
        <v>#REF!</v>
      </c>
      <c r="CV109" s="6" t="e">
        <f t="shared" si="411"/>
        <v>#REF!</v>
      </c>
      <c r="CW109" s="6" t="e">
        <f t="shared" si="411"/>
        <v>#REF!</v>
      </c>
      <c r="CX109" s="6" t="e">
        <f t="shared" si="411"/>
        <v>#REF!</v>
      </c>
      <c r="CY109" s="6" t="e">
        <f t="shared" si="411"/>
        <v>#REF!</v>
      </c>
      <c r="CZ109" s="6" t="e">
        <f t="shared" si="411"/>
        <v>#REF!</v>
      </c>
      <c r="DA109" s="6" t="e">
        <f t="shared" si="411"/>
        <v>#REF!</v>
      </c>
      <c r="DB109" s="6" t="e">
        <f t="shared" si="411"/>
        <v>#REF!</v>
      </c>
      <c r="DC109" s="6" t="e">
        <f t="shared" si="411"/>
        <v>#REF!</v>
      </c>
      <c r="DD109" s="6" t="e">
        <f t="shared" si="411"/>
        <v>#REF!</v>
      </c>
      <c r="DE109" s="6" t="e">
        <f t="shared" si="411"/>
        <v>#REF!</v>
      </c>
      <c r="DF109" s="6" t="e">
        <f t="shared" si="411"/>
        <v>#REF!</v>
      </c>
      <c r="DG109" s="6" t="e">
        <f t="shared" si="411"/>
        <v>#REF!</v>
      </c>
      <c r="DH109" s="6" t="e">
        <f t="shared" si="411"/>
        <v>#REF!</v>
      </c>
      <c r="DI109" s="6" t="e">
        <f t="shared" si="411"/>
        <v>#REF!</v>
      </c>
      <c r="DJ109" s="6" t="e">
        <f t="shared" si="411"/>
        <v>#REF!</v>
      </c>
      <c r="DK109" s="6" t="e">
        <f t="shared" si="411"/>
        <v>#REF!</v>
      </c>
      <c r="DL109" s="6" t="e">
        <f t="shared" si="411"/>
        <v>#REF!</v>
      </c>
      <c r="DM109" s="6" t="e">
        <f t="shared" si="411"/>
        <v>#REF!</v>
      </c>
      <c r="DN109" s="6" t="e">
        <f t="shared" si="411"/>
        <v>#REF!</v>
      </c>
      <c r="DO109" s="6" t="e">
        <f t="shared" si="411"/>
        <v>#REF!</v>
      </c>
      <c r="DP109" s="6" t="e">
        <f t="shared" si="411"/>
        <v>#REF!</v>
      </c>
      <c r="DQ109" s="6" t="e">
        <f t="shared" si="411"/>
        <v>#REF!</v>
      </c>
      <c r="DR109" s="6" t="e">
        <f t="shared" si="411"/>
        <v>#REF!</v>
      </c>
      <c r="DS109" s="6" t="e">
        <f t="shared" si="411"/>
        <v>#REF!</v>
      </c>
      <c r="DT109" s="6" t="e">
        <f t="shared" si="411"/>
        <v>#REF!</v>
      </c>
      <c r="DU109" s="6" t="e">
        <f t="shared" si="411"/>
        <v>#REF!</v>
      </c>
      <c r="DV109" s="6" t="e">
        <f t="shared" si="411"/>
        <v>#REF!</v>
      </c>
      <c r="DW109" s="6" t="e">
        <f t="shared" si="411"/>
        <v>#REF!</v>
      </c>
      <c r="DX109" s="6" t="e">
        <f t="shared" si="411"/>
        <v>#REF!</v>
      </c>
      <c r="DY109" s="6" t="e">
        <f t="shared" si="411"/>
        <v>#REF!</v>
      </c>
      <c r="DZ109" s="6" t="e">
        <f t="shared" si="411"/>
        <v>#REF!</v>
      </c>
      <c r="EA109" s="6" t="e">
        <f t="shared" si="411"/>
        <v>#REF!</v>
      </c>
      <c r="EB109" s="6" t="e">
        <f t="shared" si="411"/>
        <v>#REF!</v>
      </c>
      <c r="EC109" s="6" t="e">
        <f t="shared" si="411"/>
        <v>#REF!</v>
      </c>
      <c r="ED109" s="6" t="e">
        <f t="shared" ref="ED109:GO109" si="412">EC113</f>
        <v>#REF!</v>
      </c>
      <c r="EE109" s="6" t="e">
        <f t="shared" si="412"/>
        <v>#REF!</v>
      </c>
      <c r="EF109" s="6" t="e">
        <f t="shared" si="412"/>
        <v>#REF!</v>
      </c>
      <c r="EG109" s="6" t="e">
        <f t="shared" si="412"/>
        <v>#REF!</v>
      </c>
      <c r="EH109" s="6" t="e">
        <f t="shared" si="412"/>
        <v>#REF!</v>
      </c>
      <c r="EI109" s="6" t="e">
        <f t="shared" si="412"/>
        <v>#REF!</v>
      </c>
      <c r="EJ109" s="6" t="e">
        <f t="shared" si="412"/>
        <v>#REF!</v>
      </c>
      <c r="EK109" s="6" t="e">
        <f t="shared" si="412"/>
        <v>#REF!</v>
      </c>
      <c r="EL109" s="6" t="e">
        <f t="shared" si="412"/>
        <v>#REF!</v>
      </c>
      <c r="EM109" s="6" t="e">
        <f t="shared" si="412"/>
        <v>#REF!</v>
      </c>
      <c r="EN109" s="6" t="e">
        <f t="shared" si="412"/>
        <v>#REF!</v>
      </c>
      <c r="EO109" s="6" t="e">
        <f t="shared" si="412"/>
        <v>#REF!</v>
      </c>
      <c r="EP109" s="6" t="e">
        <f t="shared" si="412"/>
        <v>#REF!</v>
      </c>
      <c r="EQ109" s="6" t="e">
        <f t="shared" si="412"/>
        <v>#REF!</v>
      </c>
      <c r="ER109" s="6" t="e">
        <f t="shared" si="412"/>
        <v>#REF!</v>
      </c>
      <c r="ES109" s="6" t="e">
        <f t="shared" si="412"/>
        <v>#REF!</v>
      </c>
      <c r="ET109" s="6" t="e">
        <f t="shared" si="412"/>
        <v>#REF!</v>
      </c>
      <c r="EU109" s="6" t="e">
        <f t="shared" si="412"/>
        <v>#REF!</v>
      </c>
      <c r="EV109" s="6" t="e">
        <f t="shared" si="412"/>
        <v>#REF!</v>
      </c>
      <c r="EW109" s="6" t="e">
        <f t="shared" si="412"/>
        <v>#REF!</v>
      </c>
      <c r="EX109" s="6" t="e">
        <f t="shared" si="412"/>
        <v>#REF!</v>
      </c>
      <c r="EY109" s="6" t="e">
        <f t="shared" si="412"/>
        <v>#REF!</v>
      </c>
      <c r="EZ109" s="6" t="e">
        <f t="shared" si="412"/>
        <v>#REF!</v>
      </c>
      <c r="FA109" s="6" t="e">
        <f t="shared" si="412"/>
        <v>#REF!</v>
      </c>
      <c r="FB109" s="6" t="e">
        <f t="shared" si="412"/>
        <v>#REF!</v>
      </c>
      <c r="FC109" s="6" t="e">
        <f t="shared" si="412"/>
        <v>#REF!</v>
      </c>
      <c r="FD109" s="6" t="e">
        <f t="shared" si="412"/>
        <v>#REF!</v>
      </c>
      <c r="FE109" s="6" t="e">
        <f t="shared" si="412"/>
        <v>#REF!</v>
      </c>
      <c r="FF109" s="6" t="e">
        <f t="shared" si="412"/>
        <v>#REF!</v>
      </c>
      <c r="FG109" s="6" t="e">
        <f t="shared" si="412"/>
        <v>#REF!</v>
      </c>
      <c r="FH109" s="6" t="e">
        <f t="shared" si="412"/>
        <v>#REF!</v>
      </c>
      <c r="FI109" s="6" t="e">
        <f t="shared" si="412"/>
        <v>#REF!</v>
      </c>
      <c r="FJ109" s="6" t="e">
        <f t="shared" si="412"/>
        <v>#REF!</v>
      </c>
      <c r="FK109" s="6" t="e">
        <f t="shared" si="412"/>
        <v>#REF!</v>
      </c>
      <c r="FL109" s="6" t="e">
        <f t="shared" si="412"/>
        <v>#REF!</v>
      </c>
      <c r="FM109" s="6" t="e">
        <f t="shared" si="412"/>
        <v>#REF!</v>
      </c>
      <c r="FN109" s="6" t="e">
        <f t="shared" si="412"/>
        <v>#REF!</v>
      </c>
      <c r="FO109" s="6" t="e">
        <f t="shared" si="412"/>
        <v>#REF!</v>
      </c>
      <c r="FP109" s="6" t="e">
        <f t="shared" si="412"/>
        <v>#REF!</v>
      </c>
      <c r="FQ109" s="6" t="e">
        <f t="shared" si="412"/>
        <v>#REF!</v>
      </c>
      <c r="FR109" s="6" t="e">
        <f t="shared" si="412"/>
        <v>#REF!</v>
      </c>
      <c r="FS109" s="6" t="e">
        <f t="shared" si="412"/>
        <v>#REF!</v>
      </c>
      <c r="FT109" s="6" t="e">
        <f t="shared" si="412"/>
        <v>#REF!</v>
      </c>
      <c r="FU109" s="6" t="e">
        <f t="shared" si="412"/>
        <v>#REF!</v>
      </c>
      <c r="FV109" s="6" t="e">
        <f t="shared" si="412"/>
        <v>#REF!</v>
      </c>
      <c r="FW109" s="6" t="e">
        <f t="shared" si="412"/>
        <v>#REF!</v>
      </c>
      <c r="FX109" s="6" t="e">
        <f t="shared" si="412"/>
        <v>#REF!</v>
      </c>
      <c r="FY109" s="6" t="e">
        <f t="shared" si="412"/>
        <v>#REF!</v>
      </c>
      <c r="FZ109" s="6" t="e">
        <f t="shared" si="412"/>
        <v>#REF!</v>
      </c>
      <c r="GA109" s="6" t="e">
        <f t="shared" si="412"/>
        <v>#REF!</v>
      </c>
      <c r="GB109" s="6" t="e">
        <f t="shared" si="412"/>
        <v>#REF!</v>
      </c>
      <c r="GC109" s="6" t="e">
        <f t="shared" si="412"/>
        <v>#REF!</v>
      </c>
      <c r="GD109" s="6" t="e">
        <f t="shared" si="412"/>
        <v>#REF!</v>
      </c>
      <c r="GE109" s="6" t="e">
        <f t="shared" si="412"/>
        <v>#REF!</v>
      </c>
      <c r="GF109" s="6" t="e">
        <f t="shared" si="412"/>
        <v>#REF!</v>
      </c>
      <c r="GG109" s="6" t="e">
        <f t="shared" si="412"/>
        <v>#REF!</v>
      </c>
      <c r="GH109" s="6" t="e">
        <f t="shared" si="412"/>
        <v>#REF!</v>
      </c>
      <c r="GI109" s="6" t="e">
        <f t="shared" si="412"/>
        <v>#REF!</v>
      </c>
      <c r="GJ109" s="6" t="e">
        <f t="shared" si="412"/>
        <v>#REF!</v>
      </c>
      <c r="GK109" s="6" t="e">
        <f t="shared" si="412"/>
        <v>#REF!</v>
      </c>
      <c r="GL109" s="6" t="e">
        <f t="shared" si="412"/>
        <v>#REF!</v>
      </c>
      <c r="GM109" s="6" t="e">
        <f t="shared" si="412"/>
        <v>#REF!</v>
      </c>
      <c r="GN109" s="6" t="e">
        <f t="shared" si="412"/>
        <v>#REF!</v>
      </c>
      <c r="GO109" s="6" t="e">
        <f t="shared" si="412"/>
        <v>#REF!</v>
      </c>
      <c r="GP109" s="6" t="e">
        <f t="shared" ref="GP109:JA109" si="413">GO113</f>
        <v>#REF!</v>
      </c>
      <c r="GQ109" s="6" t="e">
        <f t="shared" si="413"/>
        <v>#REF!</v>
      </c>
      <c r="GR109" s="6" t="e">
        <f t="shared" si="413"/>
        <v>#REF!</v>
      </c>
      <c r="GS109" s="6" t="e">
        <f t="shared" si="413"/>
        <v>#REF!</v>
      </c>
      <c r="GT109" s="6" t="e">
        <f t="shared" si="413"/>
        <v>#REF!</v>
      </c>
      <c r="GU109" s="6" t="e">
        <f t="shared" si="413"/>
        <v>#REF!</v>
      </c>
      <c r="GV109" s="6" t="e">
        <f t="shared" si="413"/>
        <v>#REF!</v>
      </c>
      <c r="GW109" s="6" t="e">
        <f t="shared" si="413"/>
        <v>#REF!</v>
      </c>
      <c r="GX109" s="6" t="e">
        <f t="shared" si="413"/>
        <v>#REF!</v>
      </c>
      <c r="GY109" s="6" t="e">
        <f t="shared" si="413"/>
        <v>#REF!</v>
      </c>
      <c r="GZ109" s="6" t="e">
        <f t="shared" si="413"/>
        <v>#REF!</v>
      </c>
      <c r="HA109" s="6" t="e">
        <f t="shared" si="413"/>
        <v>#REF!</v>
      </c>
      <c r="HB109" s="6" t="e">
        <f t="shared" si="413"/>
        <v>#REF!</v>
      </c>
      <c r="HC109" s="6" t="e">
        <f t="shared" si="413"/>
        <v>#REF!</v>
      </c>
      <c r="HD109" s="6" t="e">
        <f t="shared" si="413"/>
        <v>#REF!</v>
      </c>
      <c r="HE109" s="6" t="e">
        <f t="shared" si="413"/>
        <v>#REF!</v>
      </c>
      <c r="HF109" s="6" t="e">
        <f t="shared" si="413"/>
        <v>#REF!</v>
      </c>
      <c r="HG109" s="6" t="e">
        <f t="shared" si="413"/>
        <v>#REF!</v>
      </c>
      <c r="HH109" s="6" t="e">
        <f t="shared" si="413"/>
        <v>#REF!</v>
      </c>
      <c r="HI109" s="6" t="e">
        <f t="shared" si="413"/>
        <v>#REF!</v>
      </c>
      <c r="HJ109" s="6" t="e">
        <f t="shared" si="413"/>
        <v>#REF!</v>
      </c>
      <c r="HK109" s="6" t="e">
        <f t="shared" si="413"/>
        <v>#REF!</v>
      </c>
      <c r="HL109" s="6" t="e">
        <f t="shared" si="413"/>
        <v>#REF!</v>
      </c>
      <c r="HM109" s="6" t="e">
        <f t="shared" si="413"/>
        <v>#REF!</v>
      </c>
      <c r="HN109" s="6" t="e">
        <f t="shared" si="413"/>
        <v>#REF!</v>
      </c>
      <c r="HO109" s="6" t="e">
        <f t="shared" si="413"/>
        <v>#REF!</v>
      </c>
      <c r="HP109" s="6" t="e">
        <f t="shared" si="413"/>
        <v>#REF!</v>
      </c>
      <c r="HQ109" s="6" t="e">
        <f t="shared" si="413"/>
        <v>#REF!</v>
      </c>
      <c r="HR109" s="6" t="e">
        <f t="shared" si="413"/>
        <v>#REF!</v>
      </c>
      <c r="HS109" s="6" t="e">
        <f t="shared" si="413"/>
        <v>#REF!</v>
      </c>
      <c r="HT109" s="6" t="e">
        <f t="shared" si="413"/>
        <v>#REF!</v>
      </c>
      <c r="HU109" s="6" t="e">
        <f t="shared" si="413"/>
        <v>#REF!</v>
      </c>
      <c r="HV109" s="6" t="e">
        <f t="shared" si="413"/>
        <v>#REF!</v>
      </c>
      <c r="HW109" s="6" t="e">
        <f t="shared" si="413"/>
        <v>#REF!</v>
      </c>
      <c r="HX109" s="6" t="e">
        <f t="shared" si="413"/>
        <v>#REF!</v>
      </c>
      <c r="HY109" s="6" t="e">
        <f t="shared" si="413"/>
        <v>#REF!</v>
      </c>
      <c r="HZ109" s="6" t="e">
        <f t="shared" si="413"/>
        <v>#REF!</v>
      </c>
      <c r="IA109" s="6" t="e">
        <f t="shared" si="413"/>
        <v>#REF!</v>
      </c>
      <c r="IB109" s="6" t="e">
        <f t="shared" si="413"/>
        <v>#REF!</v>
      </c>
      <c r="IC109" s="6" t="e">
        <f t="shared" si="413"/>
        <v>#REF!</v>
      </c>
      <c r="ID109" s="6" t="e">
        <f t="shared" si="413"/>
        <v>#REF!</v>
      </c>
      <c r="IE109" s="6" t="e">
        <f t="shared" si="413"/>
        <v>#REF!</v>
      </c>
      <c r="IF109" s="6" t="e">
        <f t="shared" si="413"/>
        <v>#REF!</v>
      </c>
      <c r="IG109" s="6" t="e">
        <f t="shared" si="413"/>
        <v>#REF!</v>
      </c>
      <c r="IH109" s="6" t="e">
        <f t="shared" si="413"/>
        <v>#REF!</v>
      </c>
      <c r="II109" s="6" t="e">
        <f t="shared" si="413"/>
        <v>#REF!</v>
      </c>
      <c r="IJ109" s="6" t="e">
        <f t="shared" si="413"/>
        <v>#REF!</v>
      </c>
      <c r="IK109" s="6" t="e">
        <f t="shared" si="413"/>
        <v>#REF!</v>
      </c>
      <c r="IL109" s="6" t="e">
        <f t="shared" si="413"/>
        <v>#REF!</v>
      </c>
      <c r="IM109" s="6" t="e">
        <f t="shared" si="413"/>
        <v>#REF!</v>
      </c>
      <c r="IN109" s="6" t="e">
        <f t="shared" si="413"/>
        <v>#REF!</v>
      </c>
      <c r="IO109" s="6" t="e">
        <f t="shared" si="413"/>
        <v>#REF!</v>
      </c>
      <c r="IP109" s="6" t="e">
        <f t="shared" si="413"/>
        <v>#REF!</v>
      </c>
      <c r="IQ109" s="6" t="e">
        <f t="shared" si="413"/>
        <v>#REF!</v>
      </c>
      <c r="IR109" s="6" t="e">
        <f t="shared" si="413"/>
        <v>#REF!</v>
      </c>
      <c r="IS109" s="6" t="e">
        <f t="shared" si="413"/>
        <v>#REF!</v>
      </c>
      <c r="IT109" s="6" t="e">
        <f t="shared" si="413"/>
        <v>#REF!</v>
      </c>
      <c r="IU109" s="6" t="e">
        <f t="shared" si="413"/>
        <v>#REF!</v>
      </c>
      <c r="IV109" s="6" t="e">
        <f t="shared" si="413"/>
        <v>#REF!</v>
      </c>
      <c r="IW109" s="6" t="e">
        <f t="shared" si="413"/>
        <v>#REF!</v>
      </c>
      <c r="IX109" s="6" t="e">
        <f t="shared" si="413"/>
        <v>#REF!</v>
      </c>
      <c r="IY109" s="6" t="e">
        <f t="shared" si="413"/>
        <v>#REF!</v>
      </c>
      <c r="IZ109" s="6" t="e">
        <f t="shared" si="413"/>
        <v>#REF!</v>
      </c>
      <c r="JA109" s="6" t="e">
        <f t="shared" si="413"/>
        <v>#REF!</v>
      </c>
      <c r="JB109" s="6" t="e">
        <f t="shared" ref="JB109:KS109" si="414">JA113</f>
        <v>#REF!</v>
      </c>
      <c r="JC109" s="6" t="e">
        <f t="shared" si="414"/>
        <v>#REF!</v>
      </c>
      <c r="JD109" s="6" t="e">
        <f t="shared" si="414"/>
        <v>#REF!</v>
      </c>
      <c r="JE109" s="6" t="e">
        <f t="shared" si="414"/>
        <v>#REF!</v>
      </c>
      <c r="JF109" s="6" t="e">
        <f t="shared" si="414"/>
        <v>#REF!</v>
      </c>
      <c r="JG109" s="6" t="e">
        <f t="shared" si="414"/>
        <v>#REF!</v>
      </c>
      <c r="JH109" s="6" t="e">
        <f t="shared" si="414"/>
        <v>#REF!</v>
      </c>
      <c r="JI109" s="6" t="e">
        <f t="shared" si="414"/>
        <v>#REF!</v>
      </c>
      <c r="JJ109" s="6" t="e">
        <f t="shared" si="414"/>
        <v>#REF!</v>
      </c>
      <c r="JK109" s="6" t="e">
        <f t="shared" si="414"/>
        <v>#REF!</v>
      </c>
      <c r="JL109" s="6" t="e">
        <f t="shared" si="414"/>
        <v>#REF!</v>
      </c>
      <c r="JM109" s="6" t="e">
        <f t="shared" si="414"/>
        <v>#REF!</v>
      </c>
      <c r="JN109" s="6" t="e">
        <f t="shared" si="414"/>
        <v>#REF!</v>
      </c>
      <c r="JO109" s="6" t="e">
        <f t="shared" si="414"/>
        <v>#REF!</v>
      </c>
      <c r="JP109" s="6" t="e">
        <f t="shared" si="414"/>
        <v>#REF!</v>
      </c>
      <c r="JQ109" s="6" t="e">
        <f t="shared" si="414"/>
        <v>#REF!</v>
      </c>
      <c r="JR109" s="6" t="e">
        <f t="shared" si="414"/>
        <v>#REF!</v>
      </c>
      <c r="JS109" s="6" t="e">
        <f t="shared" si="414"/>
        <v>#REF!</v>
      </c>
      <c r="JT109" s="6" t="e">
        <f t="shared" si="414"/>
        <v>#REF!</v>
      </c>
      <c r="JU109" s="6" t="e">
        <f t="shared" si="414"/>
        <v>#REF!</v>
      </c>
      <c r="JV109" s="6" t="e">
        <f t="shared" si="414"/>
        <v>#REF!</v>
      </c>
      <c r="JW109" s="6" t="e">
        <f t="shared" si="414"/>
        <v>#REF!</v>
      </c>
      <c r="JX109" s="6" t="e">
        <f t="shared" si="414"/>
        <v>#REF!</v>
      </c>
      <c r="JY109" s="6" t="e">
        <f t="shared" si="414"/>
        <v>#REF!</v>
      </c>
      <c r="JZ109" s="6" t="e">
        <f t="shared" si="414"/>
        <v>#REF!</v>
      </c>
      <c r="KA109" s="6" t="e">
        <f t="shared" si="414"/>
        <v>#REF!</v>
      </c>
      <c r="KB109" s="6" t="e">
        <f t="shared" si="414"/>
        <v>#REF!</v>
      </c>
      <c r="KC109" s="6" t="e">
        <f t="shared" si="414"/>
        <v>#REF!</v>
      </c>
      <c r="KD109" s="6" t="e">
        <f t="shared" si="414"/>
        <v>#REF!</v>
      </c>
      <c r="KE109" s="6" t="e">
        <f t="shared" si="414"/>
        <v>#REF!</v>
      </c>
      <c r="KF109" s="6" t="e">
        <f t="shared" si="414"/>
        <v>#REF!</v>
      </c>
      <c r="KG109" s="6" t="e">
        <f t="shared" si="414"/>
        <v>#REF!</v>
      </c>
      <c r="KH109" s="6" t="e">
        <f t="shared" si="414"/>
        <v>#REF!</v>
      </c>
      <c r="KI109" s="6" t="e">
        <f t="shared" si="414"/>
        <v>#REF!</v>
      </c>
      <c r="KJ109" s="6" t="e">
        <f t="shared" si="414"/>
        <v>#REF!</v>
      </c>
      <c r="KK109" s="6" t="e">
        <f t="shared" si="414"/>
        <v>#REF!</v>
      </c>
      <c r="KL109" s="6" t="e">
        <f t="shared" si="414"/>
        <v>#REF!</v>
      </c>
      <c r="KM109" s="6" t="e">
        <f t="shared" si="414"/>
        <v>#REF!</v>
      </c>
      <c r="KN109" s="6" t="e">
        <f t="shared" si="414"/>
        <v>#REF!</v>
      </c>
      <c r="KO109" s="6" t="e">
        <f t="shared" si="414"/>
        <v>#REF!</v>
      </c>
      <c r="KP109" s="6" t="e">
        <f t="shared" si="414"/>
        <v>#REF!</v>
      </c>
      <c r="KQ109" s="6" t="e">
        <f t="shared" si="414"/>
        <v>#REF!</v>
      </c>
      <c r="KR109" s="6" t="e">
        <f t="shared" si="414"/>
        <v>#REF!</v>
      </c>
      <c r="KS109" s="6" t="e">
        <f t="shared" si="414"/>
        <v>#REF!</v>
      </c>
    </row>
    <row r="110" spans="2:305" s="6" customFormat="1" outlineLevel="1">
      <c r="B110" t="s">
        <v>17</v>
      </c>
      <c r="C110"/>
      <c r="D110"/>
      <c r="E110" s="6" t="e">
        <f>IF(Inputs!#REF!=1,IF(E2=Inputs!#REF!,Inputs!#REF!,0),0)</f>
        <v>#REF!</v>
      </c>
      <c r="F110" s="6" t="e">
        <f>IF(F2=Inputs!#REF!,Inputs!#REF!,0)</f>
        <v>#REF!</v>
      </c>
      <c r="G110" s="6" t="e">
        <f>IF(G2=Inputs!#REF!,Inputs!#REF!,0)</f>
        <v>#REF!</v>
      </c>
      <c r="H110" s="6" t="e">
        <f>IF(H2=Inputs!#REF!,Inputs!#REF!,0)</f>
        <v>#REF!</v>
      </c>
      <c r="I110" s="6" t="e">
        <f>IF(I2=Inputs!#REF!,Inputs!#REF!,0)</f>
        <v>#REF!</v>
      </c>
      <c r="J110" s="6" t="e">
        <f>IF(J2=Inputs!#REF!,Inputs!#REF!,0)</f>
        <v>#REF!</v>
      </c>
      <c r="K110" s="6" t="e">
        <f>IF(K2=Inputs!#REF!,Inputs!#REF!,0)</f>
        <v>#REF!</v>
      </c>
      <c r="L110" s="6" t="e">
        <f>IF(L2=Inputs!#REF!,Inputs!#REF!,0)</f>
        <v>#REF!</v>
      </c>
      <c r="M110" s="6" t="e">
        <f>IF(M2=Inputs!#REF!,Inputs!#REF!,0)</f>
        <v>#REF!</v>
      </c>
      <c r="N110" s="6" t="e">
        <f>IF(N2=Inputs!#REF!,Inputs!#REF!,0)</f>
        <v>#REF!</v>
      </c>
      <c r="O110" s="6" t="e">
        <f>IF(O2=Inputs!#REF!,Inputs!#REF!,0)</f>
        <v>#REF!</v>
      </c>
      <c r="P110" s="6" t="e">
        <f>IF(P2=Inputs!#REF!,Inputs!#REF!,0)</f>
        <v>#REF!</v>
      </c>
      <c r="Q110" s="6" t="e">
        <f>IF(Q2=Inputs!#REF!,Inputs!#REF!,0)</f>
        <v>#REF!</v>
      </c>
      <c r="R110" s="6" t="e">
        <f>IF(R2=Inputs!#REF!,Inputs!#REF!,0)</f>
        <v>#REF!</v>
      </c>
      <c r="S110" s="6" t="e">
        <f>IF(S2=Inputs!#REF!,Inputs!#REF!,0)</f>
        <v>#REF!</v>
      </c>
      <c r="T110" s="6" t="e">
        <f>IF(T2=Inputs!#REF!,Inputs!#REF!,0)</f>
        <v>#REF!</v>
      </c>
      <c r="U110" s="6" t="e">
        <f>IF(U2=Inputs!#REF!,Inputs!#REF!,0)</f>
        <v>#REF!</v>
      </c>
      <c r="V110" s="6" t="e">
        <f>IF(V2=Inputs!#REF!,Inputs!#REF!,0)</f>
        <v>#REF!</v>
      </c>
      <c r="W110" s="6" t="e">
        <f>IF(W2=Inputs!#REF!,Inputs!#REF!,0)</f>
        <v>#REF!</v>
      </c>
      <c r="X110" s="6" t="e">
        <f>IF(X2=Inputs!#REF!,Inputs!#REF!,0)</f>
        <v>#REF!</v>
      </c>
      <c r="Y110" s="6" t="e">
        <f>IF(Y2=Inputs!#REF!,Inputs!#REF!,0)</f>
        <v>#REF!</v>
      </c>
      <c r="Z110" s="6" t="e">
        <f>IF(Z2=Inputs!#REF!,Inputs!#REF!,0)</f>
        <v>#REF!</v>
      </c>
      <c r="AA110" s="6" t="e">
        <f>IF(AA2=Inputs!#REF!,Inputs!#REF!,0)</f>
        <v>#REF!</v>
      </c>
      <c r="AB110" s="6" t="e">
        <f>IF(AB2=Inputs!#REF!,Inputs!#REF!,0)</f>
        <v>#REF!</v>
      </c>
      <c r="AC110" s="6" t="e">
        <f>IF(AC2=Inputs!#REF!,Inputs!#REF!,0)</f>
        <v>#REF!</v>
      </c>
      <c r="AD110" s="6" t="e">
        <f>IF(AD2=Inputs!#REF!,Inputs!#REF!,0)</f>
        <v>#REF!</v>
      </c>
      <c r="AE110" s="6" t="e">
        <f>IF(AE2=Inputs!#REF!,Inputs!#REF!,0)</f>
        <v>#REF!</v>
      </c>
      <c r="AF110" s="6" t="e">
        <f>IF(AF2=Inputs!#REF!,Inputs!#REF!,0)</f>
        <v>#REF!</v>
      </c>
      <c r="AG110" s="6" t="e">
        <f>IF(AG2=Inputs!#REF!,Inputs!#REF!,0)</f>
        <v>#REF!</v>
      </c>
      <c r="AH110" s="6" t="e">
        <f>IF(AH2=Inputs!#REF!,Inputs!#REF!,0)</f>
        <v>#REF!</v>
      </c>
      <c r="AI110" s="6" t="e">
        <f>IF(AI2=Inputs!#REF!,Inputs!#REF!,0)</f>
        <v>#REF!</v>
      </c>
      <c r="AJ110" s="6" t="e">
        <f>IF(AJ2=Inputs!#REF!,Inputs!#REF!,0)</f>
        <v>#REF!</v>
      </c>
      <c r="AK110" s="6" t="e">
        <f>IF(AK2=Inputs!#REF!,Inputs!#REF!,0)</f>
        <v>#REF!</v>
      </c>
      <c r="AL110" s="6" t="e">
        <f>IF(AL2=Inputs!#REF!,Inputs!#REF!,0)</f>
        <v>#REF!</v>
      </c>
      <c r="AM110" s="6" t="e">
        <f>IF(AM2=Inputs!#REF!,Inputs!#REF!,0)</f>
        <v>#REF!</v>
      </c>
      <c r="AN110" s="6" t="e">
        <f>IF(AN2=Inputs!#REF!,Inputs!#REF!,0)</f>
        <v>#REF!</v>
      </c>
      <c r="AO110" s="6" t="e">
        <f>IF(AO2=Inputs!#REF!,Inputs!#REF!,0)</f>
        <v>#REF!</v>
      </c>
      <c r="AP110" s="6" t="e">
        <f>IF(AP2=Inputs!#REF!,Inputs!#REF!,0)</f>
        <v>#REF!</v>
      </c>
      <c r="AQ110" s="6" t="e">
        <f>IF(AQ2=Inputs!#REF!,Inputs!#REF!,0)</f>
        <v>#REF!</v>
      </c>
      <c r="AR110" s="6" t="e">
        <f>IF(AR2=Inputs!#REF!,Inputs!#REF!,0)</f>
        <v>#REF!</v>
      </c>
      <c r="AS110" s="6" t="e">
        <f>IF(AS2=Inputs!#REF!,Inputs!#REF!,0)</f>
        <v>#REF!</v>
      </c>
      <c r="AT110" s="6" t="e">
        <f>IF(AT2=Inputs!#REF!,Inputs!#REF!,0)</f>
        <v>#REF!</v>
      </c>
      <c r="AU110" s="6" t="e">
        <f>IF(AU2=Inputs!#REF!,Inputs!#REF!,0)</f>
        <v>#REF!</v>
      </c>
      <c r="AV110" s="6" t="e">
        <f>IF(AV2=Inputs!#REF!,Inputs!#REF!,0)</f>
        <v>#REF!</v>
      </c>
      <c r="AW110" s="6" t="e">
        <f>IF(AW2=Inputs!#REF!,Inputs!#REF!,0)</f>
        <v>#REF!</v>
      </c>
      <c r="AX110" s="6" t="e">
        <f>IF(AX2=Inputs!#REF!,Inputs!#REF!,0)</f>
        <v>#REF!</v>
      </c>
      <c r="AY110" s="6" t="e">
        <f>IF(AY2=Inputs!#REF!,Inputs!#REF!,0)</f>
        <v>#REF!</v>
      </c>
      <c r="AZ110" s="6" t="e">
        <f>IF(AZ2=Inputs!#REF!,Inputs!#REF!,0)</f>
        <v>#REF!</v>
      </c>
      <c r="BA110" s="6" t="e">
        <f>IF(BA2=Inputs!#REF!,Inputs!#REF!,0)</f>
        <v>#REF!</v>
      </c>
      <c r="BB110" s="6" t="e">
        <f>IF(BB2=Inputs!#REF!,Inputs!#REF!,0)</f>
        <v>#REF!</v>
      </c>
      <c r="BC110" s="6" t="e">
        <f>IF(BC2=Inputs!#REF!,Inputs!#REF!,0)</f>
        <v>#REF!</v>
      </c>
      <c r="BD110" s="6" t="e">
        <f>IF(BD2=Inputs!#REF!,Inputs!#REF!,0)</f>
        <v>#REF!</v>
      </c>
      <c r="BE110" s="6" t="e">
        <f>IF(BE2=Inputs!#REF!,Inputs!#REF!,0)</f>
        <v>#REF!</v>
      </c>
      <c r="BF110" s="6" t="e">
        <f>IF(BF2=Inputs!#REF!,Inputs!#REF!,0)</f>
        <v>#REF!</v>
      </c>
      <c r="BG110" s="6" t="e">
        <f>IF(BG2=Inputs!#REF!,Inputs!#REF!,0)</f>
        <v>#REF!</v>
      </c>
      <c r="BH110" s="6" t="e">
        <f>IF(BH2=Inputs!#REF!,Inputs!#REF!,0)</f>
        <v>#REF!</v>
      </c>
      <c r="BI110" s="6" t="e">
        <f>IF(BI2=Inputs!#REF!,Inputs!#REF!,0)</f>
        <v>#REF!</v>
      </c>
      <c r="BJ110" s="6" t="e">
        <f>IF(BJ2=Inputs!#REF!,Inputs!#REF!,0)</f>
        <v>#REF!</v>
      </c>
      <c r="BK110" s="6" t="e">
        <f>IF(BK2=Inputs!#REF!,Inputs!#REF!,0)</f>
        <v>#REF!</v>
      </c>
      <c r="BL110" s="6" t="e">
        <f>IF(BL2=Inputs!#REF!,Inputs!#REF!,0)</f>
        <v>#REF!</v>
      </c>
      <c r="BM110" s="6" t="e">
        <f>IF(BM2=Inputs!#REF!,Inputs!#REF!,0)</f>
        <v>#REF!</v>
      </c>
      <c r="BN110" s="6" t="e">
        <f>IF(BN2=Inputs!#REF!,Inputs!#REF!,0)</f>
        <v>#REF!</v>
      </c>
      <c r="BO110" s="6" t="e">
        <f>IF(BO2=Inputs!#REF!,Inputs!#REF!,0)</f>
        <v>#REF!</v>
      </c>
      <c r="BP110" s="6" t="e">
        <f>IF(BP2=Inputs!#REF!,Inputs!#REF!,0)</f>
        <v>#REF!</v>
      </c>
      <c r="BQ110" s="6" t="e">
        <f>IF(BQ2=Inputs!#REF!,Inputs!#REF!,0)</f>
        <v>#REF!</v>
      </c>
      <c r="BR110" s="6" t="e">
        <f>IF(BR2=Inputs!#REF!,Inputs!#REF!,0)</f>
        <v>#REF!</v>
      </c>
      <c r="BS110" s="6" t="e">
        <f>IF(BS2=Inputs!#REF!,Inputs!#REF!,0)</f>
        <v>#REF!</v>
      </c>
      <c r="BT110" s="6" t="e">
        <f>IF(BT2=Inputs!#REF!,Inputs!#REF!,0)</f>
        <v>#REF!</v>
      </c>
      <c r="BU110" s="6" t="e">
        <f>IF(BU2=Inputs!#REF!,Inputs!#REF!,0)</f>
        <v>#REF!</v>
      </c>
      <c r="BV110" s="6" t="e">
        <f>IF(BV2=Inputs!#REF!,Inputs!#REF!,0)</f>
        <v>#REF!</v>
      </c>
      <c r="BW110" s="6" t="e">
        <f>IF(BW2=Inputs!#REF!,Inputs!#REF!,0)</f>
        <v>#REF!</v>
      </c>
      <c r="BX110" s="6" t="e">
        <f>IF(BX2=Inputs!#REF!,Inputs!#REF!,0)</f>
        <v>#REF!</v>
      </c>
      <c r="BY110" s="6" t="e">
        <f>IF(BY2=Inputs!#REF!,Inputs!#REF!,0)</f>
        <v>#REF!</v>
      </c>
      <c r="BZ110" s="6" t="e">
        <f>IF(BZ2=Inputs!#REF!,Inputs!#REF!,0)</f>
        <v>#REF!</v>
      </c>
      <c r="CA110" s="6" t="e">
        <f>IF(CA2=Inputs!#REF!,Inputs!#REF!,0)</f>
        <v>#REF!</v>
      </c>
      <c r="CB110" s="6" t="e">
        <f>IF(CB2=Inputs!#REF!,Inputs!#REF!,0)</f>
        <v>#REF!</v>
      </c>
      <c r="CC110" s="6" t="e">
        <f>IF(CC2=Inputs!#REF!,Inputs!#REF!,0)</f>
        <v>#REF!</v>
      </c>
      <c r="CD110" s="6" t="e">
        <f>IF(CD2=Inputs!#REF!,Inputs!#REF!,0)</f>
        <v>#REF!</v>
      </c>
      <c r="CE110" s="6" t="e">
        <f>IF(CE2=Inputs!#REF!,Inputs!#REF!,0)</f>
        <v>#REF!</v>
      </c>
      <c r="CF110" s="6" t="e">
        <f>IF(CF2=Inputs!#REF!,Inputs!#REF!,0)</f>
        <v>#REF!</v>
      </c>
      <c r="CG110" s="6" t="e">
        <f>IF(CG2=Inputs!#REF!,Inputs!#REF!,0)</f>
        <v>#REF!</v>
      </c>
      <c r="CH110" s="6" t="e">
        <f>IF(CH2=Inputs!#REF!,Inputs!#REF!,0)</f>
        <v>#REF!</v>
      </c>
      <c r="CI110" s="6" t="e">
        <f>IF(CI2=Inputs!#REF!,Inputs!#REF!,0)</f>
        <v>#REF!</v>
      </c>
      <c r="CJ110" s="6" t="e">
        <f>IF(CJ2=Inputs!#REF!,Inputs!#REF!,0)</f>
        <v>#REF!</v>
      </c>
      <c r="CK110" s="6" t="e">
        <f>IF(CK2=Inputs!#REF!,Inputs!#REF!,0)</f>
        <v>#REF!</v>
      </c>
      <c r="CL110" s="6" t="e">
        <f>IF(CL2=Inputs!#REF!,Inputs!#REF!,0)</f>
        <v>#REF!</v>
      </c>
      <c r="CM110" s="6" t="e">
        <f>IF(CM2=Inputs!#REF!,Inputs!#REF!,0)</f>
        <v>#REF!</v>
      </c>
      <c r="CN110" s="6" t="e">
        <f>IF(CN2=Inputs!#REF!,Inputs!#REF!,0)</f>
        <v>#REF!</v>
      </c>
      <c r="CO110" s="6" t="e">
        <f>IF(CO2=Inputs!#REF!,Inputs!#REF!,0)</f>
        <v>#REF!</v>
      </c>
      <c r="CP110" s="6" t="e">
        <f>IF(CP2=Inputs!#REF!,Inputs!#REF!,0)</f>
        <v>#REF!</v>
      </c>
      <c r="CQ110" s="6" t="e">
        <f>IF(CQ2=Inputs!#REF!,Inputs!#REF!,0)</f>
        <v>#REF!</v>
      </c>
      <c r="CR110" s="6" t="e">
        <f>IF(CR2=Inputs!#REF!,Inputs!#REF!,0)</f>
        <v>#REF!</v>
      </c>
      <c r="CS110" s="6" t="e">
        <f>IF(CS2=Inputs!#REF!,Inputs!#REF!,0)</f>
        <v>#REF!</v>
      </c>
      <c r="CT110" s="6" t="e">
        <f>IF(CT2=Inputs!#REF!,Inputs!#REF!,0)</f>
        <v>#REF!</v>
      </c>
      <c r="CU110" s="6" t="e">
        <f>IF(CU2=Inputs!#REF!,Inputs!#REF!,0)</f>
        <v>#REF!</v>
      </c>
      <c r="CV110" s="6" t="e">
        <f>IF(CV2=Inputs!#REF!,Inputs!#REF!,0)</f>
        <v>#REF!</v>
      </c>
      <c r="CW110" s="6" t="e">
        <f>IF(CW2=Inputs!#REF!,Inputs!#REF!,0)</f>
        <v>#REF!</v>
      </c>
      <c r="CX110" s="6" t="e">
        <f>IF(CX2=Inputs!#REF!,Inputs!#REF!,0)</f>
        <v>#REF!</v>
      </c>
      <c r="CY110" s="6" t="e">
        <f>IF(CY2=Inputs!#REF!,Inputs!#REF!,0)</f>
        <v>#REF!</v>
      </c>
      <c r="CZ110" s="6" t="e">
        <f>IF(CZ2=Inputs!#REF!,Inputs!#REF!,0)</f>
        <v>#REF!</v>
      </c>
      <c r="DA110" s="6" t="e">
        <f>IF(DA2=Inputs!#REF!,Inputs!#REF!,0)</f>
        <v>#REF!</v>
      </c>
      <c r="DB110" s="6" t="e">
        <f>IF(DB2=Inputs!#REF!,Inputs!#REF!,0)</f>
        <v>#REF!</v>
      </c>
      <c r="DC110" s="6" t="e">
        <f>IF(DC2=Inputs!#REF!,Inputs!#REF!,0)</f>
        <v>#REF!</v>
      </c>
      <c r="DD110" s="6" t="e">
        <f>IF(DD2=Inputs!#REF!,Inputs!#REF!,0)</f>
        <v>#REF!</v>
      </c>
      <c r="DE110" s="6" t="e">
        <f>IF(DE2=Inputs!#REF!,Inputs!#REF!,0)</f>
        <v>#REF!</v>
      </c>
      <c r="DF110" s="6" t="e">
        <f>IF(DF2=Inputs!#REF!,Inputs!#REF!,0)</f>
        <v>#REF!</v>
      </c>
      <c r="DG110" s="6" t="e">
        <f>IF(DG2=Inputs!#REF!,Inputs!#REF!,0)</f>
        <v>#REF!</v>
      </c>
      <c r="DH110" s="6" t="e">
        <f>IF(DH2=Inputs!#REF!,Inputs!#REF!,0)</f>
        <v>#REF!</v>
      </c>
      <c r="DI110" s="6" t="e">
        <f>IF(DI2=Inputs!#REF!,Inputs!#REF!,0)</f>
        <v>#REF!</v>
      </c>
      <c r="DJ110" s="6" t="e">
        <f>IF(DJ2=Inputs!#REF!,Inputs!#REF!,0)</f>
        <v>#REF!</v>
      </c>
      <c r="DK110" s="6" t="e">
        <f>IF(DK2=Inputs!#REF!,Inputs!#REF!,0)</f>
        <v>#REF!</v>
      </c>
      <c r="DL110" s="6" t="e">
        <f>IF(DL2=Inputs!#REF!,Inputs!#REF!,0)</f>
        <v>#REF!</v>
      </c>
      <c r="DM110" s="6" t="e">
        <f>IF(DM2=Inputs!#REF!,Inputs!#REF!,0)</f>
        <v>#REF!</v>
      </c>
      <c r="DN110" s="6" t="e">
        <f>IF(DN2=Inputs!#REF!,Inputs!#REF!,0)</f>
        <v>#REF!</v>
      </c>
      <c r="DO110" s="6" t="e">
        <f>IF(DO2=Inputs!#REF!,Inputs!#REF!,0)</f>
        <v>#REF!</v>
      </c>
      <c r="DP110" s="6" t="e">
        <f>IF(DP2=Inputs!#REF!,Inputs!#REF!,0)</f>
        <v>#REF!</v>
      </c>
      <c r="DQ110" s="6" t="e">
        <f>IF(DQ2=Inputs!#REF!,Inputs!#REF!,0)</f>
        <v>#REF!</v>
      </c>
      <c r="DR110" s="6" t="e">
        <f>IF(DR2=Inputs!#REF!,Inputs!#REF!,0)</f>
        <v>#REF!</v>
      </c>
      <c r="DS110" s="6" t="e">
        <f>IF(DS2=Inputs!#REF!,Inputs!#REF!,0)</f>
        <v>#REF!</v>
      </c>
      <c r="DT110" s="6" t="e">
        <f>IF(DT2=Inputs!#REF!,Inputs!#REF!,0)</f>
        <v>#REF!</v>
      </c>
      <c r="DU110" s="6" t="e">
        <f>IF(DU2=Inputs!#REF!,Inputs!#REF!,0)</f>
        <v>#REF!</v>
      </c>
      <c r="DV110" s="6" t="e">
        <f>IF(DV2=Inputs!#REF!,Inputs!#REF!,0)</f>
        <v>#REF!</v>
      </c>
      <c r="DW110" s="6" t="e">
        <f>IF(DW2=Inputs!#REF!,Inputs!#REF!,0)</f>
        <v>#REF!</v>
      </c>
      <c r="DX110" s="6" t="e">
        <f>IF(DX2=Inputs!#REF!,Inputs!#REF!,0)</f>
        <v>#REF!</v>
      </c>
      <c r="DY110" s="6" t="e">
        <f>IF(DY2=Inputs!#REF!,Inputs!#REF!,0)</f>
        <v>#REF!</v>
      </c>
      <c r="DZ110" s="6" t="e">
        <f>IF(DZ2=Inputs!#REF!,Inputs!#REF!,0)</f>
        <v>#REF!</v>
      </c>
      <c r="EA110" s="6" t="e">
        <f>IF(EA2=Inputs!#REF!,Inputs!#REF!,0)</f>
        <v>#REF!</v>
      </c>
      <c r="EB110" s="6" t="e">
        <f>IF(EB2=Inputs!#REF!,Inputs!#REF!,0)</f>
        <v>#REF!</v>
      </c>
      <c r="EC110" s="6" t="e">
        <f>IF(EC2=Inputs!#REF!,Inputs!#REF!,0)</f>
        <v>#REF!</v>
      </c>
      <c r="ED110" s="6" t="e">
        <f>IF(ED2=Inputs!#REF!,Inputs!#REF!,0)</f>
        <v>#REF!</v>
      </c>
      <c r="EE110" s="6" t="e">
        <f>IF(EE2=Inputs!#REF!,Inputs!#REF!,0)</f>
        <v>#REF!</v>
      </c>
      <c r="EF110" s="6" t="e">
        <f>IF(EF2=Inputs!#REF!,Inputs!#REF!,0)</f>
        <v>#REF!</v>
      </c>
      <c r="EG110" s="6" t="e">
        <f>IF(EG2=Inputs!#REF!,Inputs!#REF!,0)</f>
        <v>#REF!</v>
      </c>
      <c r="EH110" s="6" t="e">
        <f>IF(EH2=Inputs!#REF!,Inputs!#REF!,0)</f>
        <v>#REF!</v>
      </c>
      <c r="EI110" s="6" t="e">
        <f>IF(EI2=Inputs!#REF!,Inputs!#REF!,0)</f>
        <v>#REF!</v>
      </c>
      <c r="EJ110" s="6" t="e">
        <f>IF(EJ2=Inputs!#REF!,Inputs!#REF!,0)</f>
        <v>#REF!</v>
      </c>
      <c r="EK110" s="6" t="e">
        <f>IF(EK2=Inputs!#REF!,Inputs!#REF!,0)</f>
        <v>#REF!</v>
      </c>
      <c r="EL110" s="6" t="e">
        <f>IF(EL2=Inputs!#REF!,Inputs!#REF!,0)</f>
        <v>#REF!</v>
      </c>
      <c r="EM110" s="6" t="e">
        <f>IF(EM2=Inputs!#REF!,Inputs!#REF!,0)</f>
        <v>#REF!</v>
      </c>
      <c r="EN110" s="6" t="e">
        <f>IF(EN2=Inputs!#REF!,Inputs!#REF!,0)</f>
        <v>#REF!</v>
      </c>
      <c r="EO110" s="6" t="e">
        <f>IF(EO2=Inputs!#REF!,Inputs!#REF!,0)</f>
        <v>#REF!</v>
      </c>
      <c r="EP110" s="6" t="e">
        <f>IF(EP2=Inputs!#REF!,Inputs!#REF!,0)</f>
        <v>#REF!</v>
      </c>
      <c r="EQ110" s="6" t="e">
        <f>IF(EQ2=Inputs!#REF!,Inputs!#REF!,0)</f>
        <v>#REF!</v>
      </c>
      <c r="ER110" s="6" t="e">
        <f>IF(ER2=Inputs!#REF!,Inputs!#REF!,0)</f>
        <v>#REF!</v>
      </c>
      <c r="ES110" s="6" t="e">
        <f>IF(ES2=Inputs!#REF!,Inputs!#REF!,0)</f>
        <v>#REF!</v>
      </c>
      <c r="ET110" s="6" t="e">
        <f>IF(ET2=Inputs!#REF!,Inputs!#REF!,0)</f>
        <v>#REF!</v>
      </c>
      <c r="EU110" s="6" t="e">
        <f>IF(EU2=Inputs!#REF!,Inputs!#REF!,0)</f>
        <v>#REF!</v>
      </c>
      <c r="EV110" s="6" t="e">
        <f>IF(EV2=Inputs!#REF!,Inputs!#REF!,0)</f>
        <v>#REF!</v>
      </c>
      <c r="EW110" s="6" t="e">
        <f>IF(EW2=Inputs!#REF!,Inputs!#REF!,0)</f>
        <v>#REF!</v>
      </c>
      <c r="EX110" s="6" t="e">
        <f>IF(EX2=Inputs!#REF!,Inputs!#REF!,0)</f>
        <v>#REF!</v>
      </c>
      <c r="EY110" s="6" t="e">
        <f>IF(EY2=Inputs!#REF!,Inputs!#REF!,0)</f>
        <v>#REF!</v>
      </c>
      <c r="EZ110" s="6" t="e">
        <f>IF(EZ2=Inputs!#REF!,Inputs!#REF!,0)</f>
        <v>#REF!</v>
      </c>
      <c r="FA110" s="6" t="e">
        <f>IF(FA2=Inputs!#REF!,Inputs!#REF!,0)</f>
        <v>#REF!</v>
      </c>
      <c r="FB110" s="6" t="e">
        <f>IF(FB2=Inputs!#REF!,Inputs!#REF!,0)</f>
        <v>#REF!</v>
      </c>
      <c r="FC110" s="6" t="e">
        <f>IF(FC2=Inputs!#REF!,Inputs!#REF!,0)</f>
        <v>#REF!</v>
      </c>
      <c r="FD110" s="6" t="e">
        <f>IF(FD2=Inputs!#REF!,Inputs!#REF!,0)</f>
        <v>#REF!</v>
      </c>
      <c r="FE110" s="6" t="e">
        <f>IF(FE2=Inputs!#REF!,Inputs!#REF!,0)</f>
        <v>#REF!</v>
      </c>
      <c r="FF110" s="6" t="e">
        <f>IF(FF2=Inputs!#REF!,Inputs!#REF!,0)</f>
        <v>#REF!</v>
      </c>
      <c r="FG110" s="6" t="e">
        <f>IF(FG2=Inputs!#REF!,Inputs!#REF!,0)</f>
        <v>#REF!</v>
      </c>
      <c r="FH110" s="6" t="e">
        <f>IF(FH2=Inputs!#REF!,Inputs!#REF!,0)</f>
        <v>#REF!</v>
      </c>
      <c r="FI110" s="6" t="e">
        <f>IF(FI2=Inputs!#REF!,Inputs!#REF!,0)</f>
        <v>#REF!</v>
      </c>
      <c r="FJ110" s="6" t="e">
        <f>IF(FJ2=Inputs!#REF!,Inputs!#REF!,0)</f>
        <v>#REF!</v>
      </c>
      <c r="FK110" s="6" t="e">
        <f>IF(FK2=Inputs!#REF!,Inputs!#REF!,0)</f>
        <v>#REF!</v>
      </c>
      <c r="FL110" s="6" t="e">
        <f>IF(FL2=Inputs!#REF!,Inputs!#REF!,0)</f>
        <v>#REF!</v>
      </c>
      <c r="FM110" s="6" t="e">
        <f>IF(FM2=Inputs!#REF!,Inputs!#REF!,0)</f>
        <v>#REF!</v>
      </c>
      <c r="FN110" s="6" t="e">
        <f>IF(FN2=Inputs!#REF!,Inputs!#REF!,0)</f>
        <v>#REF!</v>
      </c>
      <c r="FO110" s="6" t="e">
        <f>IF(FO2=Inputs!#REF!,Inputs!#REF!,0)</f>
        <v>#REF!</v>
      </c>
      <c r="FP110" s="6" t="e">
        <f>IF(FP2=Inputs!#REF!,Inputs!#REF!,0)</f>
        <v>#REF!</v>
      </c>
      <c r="FQ110" s="6" t="e">
        <f>IF(FQ2=Inputs!#REF!,Inputs!#REF!,0)</f>
        <v>#REF!</v>
      </c>
      <c r="FR110" s="6" t="e">
        <f>IF(FR2=Inputs!#REF!,Inputs!#REF!,0)</f>
        <v>#REF!</v>
      </c>
      <c r="FS110" s="6" t="e">
        <f>IF(FS2=Inputs!#REF!,Inputs!#REF!,0)</f>
        <v>#REF!</v>
      </c>
      <c r="FT110" s="6" t="e">
        <f>IF(FT2=Inputs!#REF!,Inputs!#REF!,0)</f>
        <v>#REF!</v>
      </c>
      <c r="FU110" s="6" t="e">
        <f>IF(FU2=Inputs!#REF!,Inputs!#REF!,0)</f>
        <v>#REF!</v>
      </c>
      <c r="FV110" s="6" t="e">
        <f>IF(FV2=Inputs!#REF!,Inputs!#REF!,0)</f>
        <v>#REF!</v>
      </c>
      <c r="FW110" s="6" t="e">
        <f>IF(FW2=Inputs!#REF!,Inputs!#REF!,0)</f>
        <v>#REF!</v>
      </c>
      <c r="FX110" s="6" t="e">
        <f>IF(FX2=Inputs!#REF!,Inputs!#REF!,0)</f>
        <v>#REF!</v>
      </c>
      <c r="FY110" s="6" t="e">
        <f>IF(FY2=Inputs!#REF!,Inputs!#REF!,0)</f>
        <v>#REF!</v>
      </c>
      <c r="FZ110" s="6" t="e">
        <f>IF(FZ2=Inputs!#REF!,Inputs!#REF!,0)</f>
        <v>#REF!</v>
      </c>
      <c r="GA110" s="6" t="e">
        <f>IF(GA2=Inputs!#REF!,Inputs!#REF!,0)</f>
        <v>#REF!</v>
      </c>
      <c r="GB110" s="6" t="e">
        <f>IF(GB2=Inputs!#REF!,Inputs!#REF!,0)</f>
        <v>#REF!</v>
      </c>
      <c r="GC110" s="6" t="e">
        <f>IF(GC2=Inputs!#REF!,Inputs!#REF!,0)</f>
        <v>#REF!</v>
      </c>
      <c r="GD110" s="6" t="e">
        <f>IF(GD2=Inputs!#REF!,Inputs!#REF!,0)</f>
        <v>#REF!</v>
      </c>
      <c r="GE110" s="6" t="e">
        <f>IF(GE2=Inputs!#REF!,Inputs!#REF!,0)</f>
        <v>#REF!</v>
      </c>
      <c r="GF110" s="6" t="e">
        <f>IF(GF2=Inputs!#REF!,Inputs!#REF!,0)</f>
        <v>#REF!</v>
      </c>
      <c r="GG110" s="6" t="e">
        <f>IF(GG2=Inputs!#REF!,Inputs!#REF!,0)</f>
        <v>#REF!</v>
      </c>
      <c r="GH110" s="6" t="e">
        <f>IF(GH2=Inputs!#REF!,Inputs!#REF!,0)</f>
        <v>#REF!</v>
      </c>
      <c r="GI110" s="6" t="e">
        <f>IF(GI2=Inputs!#REF!,Inputs!#REF!,0)</f>
        <v>#REF!</v>
      </c>
      <c r="GJ110" s="6" t="e">
        <f>IF(GJ2=Inputs!#REF!,Inputs!#REF!,0)</f>
        <v>#REF!</v>
      </c>
      <c r="GK110" s="6" t="e">
        <f>IF(GK2=Inputs!#REF!,Inputs!#REF!,0)</f>
        <v>#REF!</v>
      </c>
      <c r="GL110" s="6" t="e">
        <f>IF(GL2=Inputs!#REF!,Inputs!#REF!,0)</f>
        <v>#REF!</v>
      </c>
      <c r="GM110" s="6" t="e">
        <f>IF(GM2=Inputs!#REF!,Inputs!#REF!,0)</f>
        <v>#REF!</v>
      </c>
      <c r="GN110" s="6" t="e">
        <f>IF(GN2=Inputs!#REF!,Inputs!#REF!,0)</f>
        <v>#REF!</v>
      </c>
      <c r="GO110" s="6" t="e">
        <f>IF(GO2=Inputs!#REF!,Inputs!#REF!,0)</f>
        <v>#REF!</v>
      </c>
      <c r="GP110" s="6" t="e">
        <f>IF(GP2=Inputs!#REF!,Inputs!#REF!,0)</f>
        <v>#REF!</v>
      </c>
      <c r="GQ110" s="6" t="e">
        <f>IF(GQ2=Inputs!#REF!,Inputs!#REF!,0)</f>
        <v>#REF!</v>
      </c>
      <c r="GR110" s="6" t="e">
        <f>IF(GR2=Inputs!#REF!,Inputs!#REF!,0)</f>
        <v>#REF!</v>
      </c>
      <c r="GS110" s="6" t="e">
        <f>IF(GS2=Inputs!#REF!,Inputs!#REF!,0)</f>
        <v>#REF!</v>
      </c>
      <c r="GT110" s="6" t="e">
        <f>IF(GT2=Inputs!#REF!,Inputs!#REF!,0)</f>
        <v>#REF!</v>
      </c>
      <c r="GU110" s="6" t="e">
        <f>IF(GU2=Inputs!#REF!,Inputs!#REF!,0)</f>
        <v>#REF!</v>
      </c>
      <c r="GV110" s="6" t="e">
        <f>IF(GV2=Inputs!#REF!,Inputs!#REF!,0)</f>
        <v>#REF!</v>
      </c>
      <c r="GW110" s="6" t="e">
        <f>IF(GW2=Inputs!#REF!,Inputs!#REF!,0)</f>
        <v>#REF!</v>
      </c>
      <c r="GX110" s="6" t="e">
        <f>IF(GX2=Inputs!#REF!,Inputs!#REF!,0)</f>
        <v>#REF!</v>
      </c>
      <c r="GY110" s="6" t="e">
        <f>IF(GY2=Inputs!#REF!,Inputs!#REF!,0)</f>
        <v>#REF!</v>
      </c>
      <c r="GZ110" s="6" t="e">
        <f>IF(GZ2=Inputs!#REF!,Inputs!#REF!,0)</f>
        <v>#REF!</v>
      </c>
      <c r="HA110" s="6" t="e">
        <f>IF(HA2=Inputs!#REF!,Inputs!#REF!,0)</f>
        <v>#REF!</v>
      </c>
      <c r="HB110" s="6" t="e">
        <f>IF(HB2=Inputs!#REF!,Inputs!#REF!,0)</f>
        <v>#REF!</v>
      </c>
      <c r="HC110" s="6" t="e">
        <f>IF(HC2=Inputs!#REF!,Inputs!#REF!,0)</f>
        <v>#REF!</v>
      </c>
      <c r="HD110" s="6" t="e">
        <f>IF(HD2=Inputs!#REF!,Inputs!#REF!,0)</f>
        <v>#REF!</v>
      </c>
      <c r="HE110" s="6" t="e">
        <f>IF(HE2=Inputs!#REF!,Inputs!#REF!,0)</f>
        <v>#REF!</v>
      </c>
      <c r="HF110" s="6" t="e">
        <f>IF(HF2=Inputs!#REF!,Inputs!#REF!,0)</f>
        <v>#REF!</v>
      </c>
      <c r="HG110" s="6" t="e">
        <f>IF(HG2=Inputs!#REF!,Inputs!#REF!,0)</f>
        <v>#REF!</v>
      </c>
      <c r="HH110" s="6" t="e">
        <f>IF(HH2=Inputs!#REF!,Inputs!#REF!,0)</f>
        <v>#REF!</v>
      </c>
      <c r="HI110" s="6" t="e">
        <f>IF(HI2=Inputs!#REF!,Inputs!#REF!,0)</f>
        <v>#REF!</v>
      </c>
      <c r="HJ110" s="6" t="e">
        <f>IF(HJ2=Inputs!#REF!,Inputs!#REF!,0)</f>
        <v>#REF!</v>
      </c>
      <c r="HK110" s="6" t="e">
        <f>IF(HK2=Inputs!#REF!,Inputs!#REF!,0)</f>
        <v>#REF!</v>
      </c>
      <c r="HL110" s="6" t="e">
        <f>IF(HL2=Inputs!#REF!,Inputs!#REF!,0)</f>
        <v>#REF!</v>
      </c>
      <c r="HM110" s="6" t="e">
        <f>IF(HM2=Inputs!#REF!,Inputs!#REF!,0)</f>
        <v>#REF!</v>
      </c>
      <c r="HN110" s="6" t="e">
        <f>IF(HN2=Inputs!#REF!,Inputs!#REF!,0)</f>
        <v>#REF!</v>
      </c>
      <c r="HO110" s="6" t="e">
        <f>IF(HO2=Inputs!#REF!,Inputs!#REF!,0)</f>
        <v>#REF!</v>
      </c>
      <c r="HP110" s="6" t="e">
        <f>IF(HP2=Inputs!#REF!,Inputs!#REF!,0)</f>
        <v>#REF!</v>
      </c>
      <c r="HQ110" s="6" t="e">
        <f>IF(HQ2=Inputs!#REF!,Inputs!#REF!,0)</f>
        <v>#REF!</v>
      </c>
      <c r="HR110" s="6" t="e">
        <f>IF(HR2=Inputs!#REF!,Inputs!#REF!,0)</f>
        <v>#REF!</v>
      </c>
      <c r="HS110" s="6" t="e">
        <f>IF(HS2=Inputs!#REF!,Inputs!#REF!,0)</f>
        <v>#REF!</v>
      </c>
      <c r="HT110" s="6" t="e">
        <f>IF(HT2=Inputs!#REF!,Inputs!#REF!,0)</f>
        <v>#REF!</v>
      </c>
      <c r="HU110" s="6" t="e">
        <f>IF(HU2=Inputs!#REF!,Inputs!#REF!,0)</f>
        <v>#REF!</v>
      </c>
      <c r="HV110" s="6" t="e">
        <f>IF(HV2=Inputs!#REF!,Inputs!#REF!,0)</f>
        <v>#REF!</v>
      </c>
      <c r="HW110" s="6" t="e">
        <f>IF(HW2=Inputs!#REF!,Inputs!#REF!,0)</f>
        <v>#REF!</v>
      </c>
      <c r="HX110" s="6" t="e">
        <f>IF(HX2=Inputs!#REF!,Inputs!#REF!,0)</f>
        <v>#REF!</v>
      </c>
      <c r="HY110" s="6" t="e">
        <f>IF(HY2=Inputs!#REF!,Inputs!#REF!,0)</f>
        <v>#REF!</v>
      </c>
      <c r="HZ110" s="6" t="e">
        <f>IF(HZ2=Inputs!#REF!,Inputs!#REF!,0)</f>
        <v>#REF!</v>
      </c>
      <c r="IA110" s="6" t="e">
        <f>IF(IA2=Inputs!#REF!,Inputs!#REF!,0)</f>
        <v>#REF!</v>
      </c>
      <c r="IB110" s="6" t="e">
        <f>IF(IB2=Inputs!#REF!,Inputs!#REF!,0)</f>
        <v>#REF!</v>
      </c>
      <c r="IC110" s="6" t="e">
        <f>IF(IC2=Inputs!#REF!,Inputs!#REF!,0)</f>
        <v>#REF!</v>
      </c>
      <c r="ID110" s="6" t="e">
        <f>IF(ID2=Inputs!#REF!,Inputs!#REF!,0)</f>
        <v>#REF!</v>
      </c>
      <c r="IE110" s="6" t="e">
        <f>IF(IE2=Inputs!#REF!,Inputs!#REF!,0)</f>
        <v>#REF!</v>
      </c>
      <c r="IF110" s="6" t="e">
        <f>IF(IF2=Inputs!#REF!,Inputs!#REF!,0)</f>
        <v>#REF!</v>
      </c>
      <c r="IG110" s="6" t="e">
        <f>IF(IG2=Inputs!#REF!,Inputs!#REF!,0)</f>
        <v>#REF!</v>
      </c>
      <c r="IH110" s="6" t="e">
        <f>IF(IH2=Inputs!#REF!,Inputs!#REF!,0)</f>
        <v>#REF!</v>
      </c>
      <c r="II110" s="6" t="e">
        <f>IF(II2=Inputs!#REF!,Inputs!#REF!,0)</f>
        <v>#REF!</v>
      </c>
      <c r="IJ110" s="6" t="e">
        <f>IF(IJ2=Inputs!#REF!,Inputs!#REF!,0)</f>
        <v>#REF!</v>
      </c>
      <c r="IK110" s="6" t="e">
        <f>IF(IK2=Inputs!#REF!,Inputs!#REF!,0)</f>
        <v>#REF!</v>
      </c>
      <c r="IL110" s="6" t="e">
        <f>IF(IL2=Inputs!#REF!,Inputs!#REF!,0)</f>
        <v>#REF!</v>
      </c>
      <c r="IM110" s="6" t="e">
        <f>IF(IM2=Inputs!#REF!,Inputs!#REF!,0)</f>
        <v>#REF!</v>
      </c>
      <c r="IN110" s="6" t="e">
        <f>IF(IN2=Inputs!#REF!,Inputs!#REF!,0)</f>
        <v>#REF!</v>
      </c>
      <c r="IO110" s="6" t="e">
        <f>IF(IO2=Inputs!#REF!,Inputs!#REF!,0)</f>
        <v>#REF!</v>
      </c>
      <c r="IP110" s="6" t="e">
        <f>IF(IP2=Inputs!#REF!,Inputs!#REF!,0)</f>
        <v>#REF!</v>
      </c>
      <c r="IQ110" s="6" t="e">
        <f>IF(IQ2=Inputs!#REF!,Inputs!#REF!,0)</f>
        <v>#REF!</v>
      </c>
      <c r="IR110" s="6" t="e">
        <f>IF(IR2=Inputs!#REF!,Inputs!#REF!,0)</f>
        <v>#REF!</v>
      </c>
      <c r="IS110" s="6" t="e">
        <f>IF(IS2=Inputs!#REF!,Inputs!#REF!,0)</f>
        <v>#REF!</v>
      </c>
      <c r="IT110" s="6" t="e">
        <f>IF(IT2=Inputs!#REF!,Inputs!#REF!,0)</f>
        <v>#REF!</v>
      </c>
      <c r="IU110" s="6" t="e">
        <f>IF(IU2=Inputs!#REF!,Inputs!#REF!,0)</f>
        <v>#REF!</v>
      </c>
      <c r="IV110" s="6" t="e">
        <f>IF(IV2=Inputs!#REF!,Inputs!#REF!,0)</f>
        <v>#REF!</v>
      </c>
      <c r="IW110" s="6" t="e">
        <f>IF(IW2=Inputs!#REF!,Inputs!#REF!,0)</f>
        <v>#REF!</v>
      </c>
      <c r="IX110" s="6" t="e">
        <f>IF(IX2=Inputs!#REF!,Inputs!#REF!,0)</f>
        <v>#REF!</v>
      </c>
      <c r="IY110" s="6" t="e">
        <f>IF(IY2=Inputs!#REF!,Inputs!#REF!,0)</f>
        <v>#REF!</v>
      </c>
      <c r="IZ110" s="6" t="e">
        <f>IF(IZ2=Inputs!#REF!,Inputs!#REF!,0)</f>
        <v>#REF!</v>
      </c>
      <c r="JA110" s="6" t="e">
        <f>IF(JA2=Inputs!#REF!,Inputs!#REF!,0)</f>
        <v>#REF!</v>
      </c>
      <c r="JB110" s="6" t="e">
        <f>IF(JB2=Inputs!#REF!,Inputs!#REF!,0)</f>
        <v>#REF!</v>
      </c>
      <c r="JC110" s="6" t="e">
        <f>IF(JC2=Inputs!#REF!,Inputs!#REF!,0)</f>
        <v>#REF!</v>
      </c>
      <c r="JD110" s="6" t="e">
        <f>IF(JD2=Inputs!#REF!,Inputs!#REF!,0)</f>
        <v>#REF!</v>
      </c>
      <c r="JE110" s="6" t="e">
        <f>IF(JE2=Inputs!#REF!,Inputs!#REF!,0)</f>
        <v>#REF!</v>
      </c>
      <c r="JF110" s="6" t="e">
        <f>IF(JF2=Inputs!#REF!,Inputs!#REF!,0)</f>
        <v>#REF!</v>
      </c>
      <c r="JG110" s="6" t="e">
        <f>IF(JG2=Inputs!#REF!,Inputs!#REF!,0)</f>
        <v>#REF!</v>
      </c>
      <c r="JH110" s="6" t="e">
        <f>IF(JH2=Inputs!#REF!,Inputs!#REF!,0)</f>
        <v>#REF!</v>
      </c>
      <c r="JI110" s="6" t="e">
        <f>IF(JI2=Inputs!#REF!,Inputs!#REF!,0)</f>
        <v>#REF!</v>
      </c>
      <c r="JJ110" s="6" t="e">
        <f>IF(JJ2=Inputs!#REF!,Inputs!#REF!,0)</f>
        <v>#REF!</v>
      </c>
      <c r="JK110" s="6" t="e">
        <f>IF(JK2=Inputs!#REF!,Inputs!#REF!,0)</f>
        <v>#REF!</v>
      </c>
      <c r="JL110" s="6" t="e">
        <f>IF(JL2=Inputs!#REF!,Inputs!#REF!,0)</f>
        <v>#REF!</v>
      </c>
      <c r="JM110" s="6" t="e">
        <f>IF(JM2=Inputs!#REF!,Inputs!#REF!,0)</f>
        <v>#REF!</v>
      </c>
      <c r="JN110" s="6" t="e">
        <f>IF(JN2=Inputs!#REF!,Inputs!#REF!,0)</f>
        <v>#REF!</v>
      </c>
      <c r="JO110" s="6" t="e">
        <f>IF(JO2=Inputs!#REF!,Inputs!#REF!,0)</f>
        <v>#REF!</v>
      </c>
      <c r="JP110" s="6" t="e">
        <f>IF(JP2=Inputs!#REF!,Inputs!#REF!,0)</f>
        <v>#REF!</v>
      </c>
      <c r="JQ110" s="6" t="e">
        <f>IF(JQ2=Inputs!#REF!,Inputs!#REF!,0)</f>
        <v>#REF!</v>
      </c>
      <c r="JR110" s="6" t="e">
        <f>IF(JR2=Inputs!#REF!,Inputs!#REF!,0)</f>
        <v>#REF!</v>
      </c>
      <c r="JS110" s="6" t="e">
        <f>IF(JS2=Inputs!#REF!,Inputs!#REF!,0)</f>
        <v>#REF!</v>
      </c>
      <c r="JT110" s="6" t="e">
        <f>IF(JT2=Inputs!#REF!,Inputs!#REF!,0)</f>
        <v>#REF!</v>
      </c>
      <c r="JU110" s="6" t="e">
        <f>IF(JU2=Inputs!#REF!,Inputs!#REF!,0)</f>
        <v>#REF!</v>
      </c>
      <c r="JV110" s="6" t="e">
        <f>IF(JV2=Inputs!#REF!,Inputs!#REF!,0)</f>
        <v>#REF!</v>
      </c>
      <c r="JW110" s="6" t="e">
        <f>IF(JW2=Inputs!#REF!,Inputs!#REF!,0)</f>
        <v>#REF!</v>
      </c>
      <c r="JX110" s="6" t="e">
        <f>IF(JX2=Inputs!#REF!,Inputs!#REF!,0)</f>
        <v>#REF!</v>
      </c>
      <c r="JY110" s="6" t="e">
        <f>IF(JY2=Inputs!#REF!,Inputs!#REF!,0)</f>
        <v>#REF!</v>
      </c>
      <c r="JZ110" s="6" t="e">
        <f>IF(JZ2=Inputs!#REF!,Inputs!#REF!,0)</f>
        <v>#REF!</v>
      </c>
      <c r="KA110" s="6" t="e">
        <f>IF(KA2=Inputs!#REF!,Inputs!#REF!,0)</f>
        <v>#REF!</v>
      </c>
      <c r="KB110" s="6" t="e">
        <f>IF(KB2=Inputs!#REF!,Inputs!#REF!,0)</f>
        <v>#REF!</v>
      </c>
      <c r="KC110" s="6" t="e">
        <f>IF(KC2=Inputs!#REF!,Inputs!#REF!,0)</f>
        <v>#REF!</v>
      </c>
      <c r="KD110" s="6" t="e">
        <f>IF(KD2=Inputs!#REF!,Inputs!#REF!,0)</f>
        <v>#REF!</v>
      </c>
      <c r="KE110" s="6" t="e">
        <f>IF(KE2=Inputs!#REF!,Inputs!#REF!,0)</f>
        <v>#REF!</v>
      </c>
      <c r="KF110" s="6" t="e">
        <f>IF(KF2=Inputs!#REF!,Inputs!#REF!,0)</f>
        <v>#REF!</v>
      </c>
      <c r="KG110" s="6" t="e">
        <f>IF(KG2=Inputs!#REF!,Inputs!#REF!,0)</f>
        <v>#REF!</v>
      </c>
      <c r="KH110" s="6" t="e">
        <f>IF(KH2=Inputs!#REF!,Inputs!#REF!,0)</f>
        <v>#REF!</v>
      </c>
      <c r="KI110" s="6" t="e">
        <f>IF(KI2=Inputs!#REF!,Inputs!#REF!,0)</f>
        <v>#REF!</v>
      </c>
      <c r="KJ110" s="6" t="e">
        <f>IF(KJ2=Inputs!#REF!,Inputs!#REF!,0)</f>
        <v>#REF!</v>
      </c>
      <c r="KK110" s="6" t="e">
        <f>IF(KK2=Inputs!#REF!,Inputs!#REF!,0)</f>
        <v>#REF!</v>
      </c>
      <c r="KL110" s="6" t="e">
        <f>IF(KL2=Inputs!#REF!,Inputs!#REF!,0)</f>
        <v>#REF!</v>
      </c>
      <c r="KM110" s="6" t="e">
        <f>IF(KM2=Inputs!#REF!,Inputs!#REF!,0)</f>
        <v>#REF!</v>
      </c>
      <c r="KN110" s="6" t="e">
        <f>IF(KN2=Inputs!#REF!,Inputs!#REF!,0)</f>
        <v>#REF!</v>
      </c>
      <c r="KO110" s="6" t="e">
        <f>IF(KO2=Inputs!#REF!,Inputs!#REF!,0)</f>
        <v>#REF!</v>
      </c>
      <c r="KP110" s="6" t="e">
        <f>IF(KP2=Inputs!#REF!,Inputs!#REF!,0)</f>
        <v>#REF!</v>
      </c>
      <c r="KQ110" s="6" t="e">
        <f>IF(KQ2=Inputs!#REF!,Inputs!#REF!,0)</f>
        <v>#REF!</v>
      </c>
      <c r="KR110" s="6" t="e">
        <f>IF(KR2=Inputs!#REF!,Inputs!#REF!,0)</f>
        <v>#REF!</v>
      </c>
      <c r="KS110" s="6" t="e">
        <f>IF(KS2=Inputs!#REF!,Inputs!#REF!,0)</f>
        <v>#REF!</v>
      </c>
    </row>
    <row r="111" spans="2:305" s="6" customFormat="1" outlineLevel="1">
      <c r="B111" t="s">
        <v>42</v>
      </c>
      <c r="C111" s="6" t="e">
        <f>IF(Inputs!#REF!=1,-PMT(Inputs!#REF!/12,Inputs!#REF!*12,Inputs!#REF!),0)</f>
        <v>#REF!</v>
      </c>
      <c r="D111"/>
      <c r="E111" s="6">
        <v>0</v>
      </c>
      <c r="F111" s="6" t="e">
        <f>-MIN(F109,$C$111+F114)</f>
        <v>#REF!</v>
      </c>
      <c r="G111" s="6" t="e">
        <f t="shared" ref="G111:BR111" si="415">-MIN(G109,$C$111+G114)</f>
        <v>#REF!</v>
      </c>
      <c r="H111" s="6" t="e">
        <f t="shared" si="415"/>
        <v>#REF!</v>
      </c>
      <c r="I111" s="6" t="e">
        <f t="shared" si="415"/>
        <v>#REF!</v>
      </c>
      <c r="J111" s="6" t="e">
        <f t="shared" si="415"/>
        <v>#REF!</v>
      </c>
      <c r="K111" s="6" t="e">
        <f t="shared" si="415"/>
        <v>#REF!</v>
      </c>
      <c r="L111" s="6" t="e">
        <f t="shared" si="415"/>
        <v>#REF!</v>
      </c>
      <c r="M111" s="6" t="e">
        <f t="shared" si="415"/>
        <v>#REF!</v>
      </c>
      <c r="N111" s="6" t="e">
        <f t="shared" si="415"/>
        <v>#REF!</v>
      </c>
      <c r="O111" s="6" t="e">
        <f t="shared" si="415"/>
        <v>#REF!</v>
      </c>
      <c r="P111" s="6" t="e">
        <f t="shared" si="415"/>
        <v>#REF!</v>
      </c>
      <c r="Q111" s="6" t="e">
        <f t="shared" si="415"/>
        <v>#REF!</v>
      </c>
      <c r="R111" s="6" t="e">
        <f t="shared" si="415"/>
        <v>#REF!</v>
      </c>
      <c r="S111" s="6" t="e">
        <f t="shared" si="415"/>
        <v>#REF!</v>
      </c>
      <c r="T111" s="6" t="e">
        <f t="shared" si="415"/>
        <v>#REF!</v>
      </c>
      <c r="U111" s="6" t="e">
        <f t="shared" si="415"/>
        <v>#REF!</v>
      </c>
      <c r="V111" s="6" t="e">
        <f t="shared" si="415"/>
        <v>#REF!</v>
      </c>
      <c r="W111" s="6" t="e">
        <f t="shared" si="415"/>
        <v>#REF!</v>
      </c>
      <c r="X111" s="6" t="e">
        <f t="shared" si="415"/>
        <v>#REF!</v>
      </c>
      <c r="Y111" s="6" t="e">
        <f t="shared" si="415"/>
        <v>#REF!</v>
      </c>
      <c r="Z111" s="6" t="e">
        <f t="shared" si="415"/>
        <v>#REF!</v>
      </c>
      <c r="AA111" s="6" t="e">
        <f t="shared" si="415"/>
        <v>#REF!</v>
      </c>
      <c r="AB111" s="6" t="e">
        <f t="shared" si="415"/>
        <v>#REF!</v>
      </c>
      <c r="AC111" s="6" t="e">
        <f t="shared" si="415"/>
        <v>#REF!</v>
      </c>
      <c r="AD111" s="6" t="e">
        <f t="shared" si="415"/>
        <v>#REF!</v>
      </c>
      <c r="AE111" s="6" t="e">
        <f t="shared" si="415"/>
        <v>#REF!</v>
      </c>
      <c r="AF111" s="6" t="e">
        <f t="shared" si="415"/>
        <v>#REF!</v>
      </c>
      <c r="AG111" s="6" t="e">
        <f t="shared" si="415"/>
        <v>#REF!</v>
      </c>
      <c r="AH111" s="6" t="e">
        <f t="shared" si="415"/>
        <v>#REF!</v>
      </c>
      <c r="AI111" s="6" t="e">
        <f t="shared" si="415"/>
        <v>#REF!</v>
      </c>
      <c r="AJ111" s="6" t="e">
        <f t="shared" si="415"/>
        <v>#REF!</v>
      </c>
      <c r="AK111" s="6" t="e">
        <f t="shared" si="415"/>
        <v>#REF!</v>
      </c>
      <c r="AL111" s="6" t="e">
        <f t="shared" si="415"/>
        <v>#REF!</v>
      </c>
      <c r="AM111" s="6" t="e">
        <f t="shared" si="415"/>
        <v>#REF!</v>
      </c>
      <c r="AN111" s="6" t="e">
        <f t="shared" si="415"/>
        <v>#REF!</v>
      </c>
      <c r="AO111" s="6" t="e">
        <f t="shared" si="415"/>
        <v>#REF!</v>
      </c>
      <c r="AP111" s="6" t="e">
        <f t="shared" si="415"/>
        <v>#REF!</v>
      </c>
      <c r="AQ111" s="6" t="e">
        <f t="shared" si="415"/>
        <v>#REF!</v>
      </c>
      <c r="AR111" s="6" t="e">
        <f t="shared" si="415"/>
        <v>#REF!</v>
      </c>
      <c r="AS111" s="6" t="e">
        <f t="shared" si="415"/>
        <v>#REF!</v>
      </c>
      <c r="AT111" s="6" t="e">
        <f t="shared" si="415"/>
        <v>#REF!</v>
      </c>
      <c r="AU111" s="6" t="e">
        <f t="shared" si="415"/>
        <v>#REF!</v>
      </c>
      <c r="AV111" s="6" t="e">
        <f t="shared" si="415"/>
        <v>#REF!</v>
      </c>
      <c r="AW111" s="6" t="e">
        <f t="shared" si="415"/>
        <v>#REF!</v>
      </c>
      <c r="AX111" s="6" t="e">
        <f t="shared" si="415"/>
        <v>#REF!</v>
      </c>
      <c r="AY111" s="6" t="e">
        <f t="shared" si="415"/>
        <v>#REF!</v>
      </c>
      <c r="AZ111" s="6" t="e">
        <f t="shared" si="415"/>
        <v>#REF!</v>
      </c>
      <c r="BA111" s="6" t="e">
        <f t="shared" si="415"/>
        <v>#REF!</v>
      </c>
      <c r="BB111" s="6" t="e">
        <f t="shared" si="415"/>
        <v>#REF!</v>
      </c>
      <c r="BC111" s="6" t="e">
        <f t="shared" si="415"/>
        <v>#REF!</v>
      </c>
      <c r="BD111" s="6" t="e">
        <f t="shared" si="415"/>
        <v>#REF!</v>
      </c>
      <c r="BE111" s="6" t="e">
        <f t="shared" si="415"/>
        <v>#REF!</v>
      </c>
      <c r="BF111" s="6" t="e">
        <f t="shared" si="415"/>
        <v>#REF!</v>
      </c>
      <c r="BG111" s="6" t="e">
        <f t="shared" si="415"/>
        <v>#REF!</v>
      </c>
      <c r="BH111" s="6" t="e">
        <f t="shared" si="415"/>
        <v>#REF!</v>
      </c>
      <c r="BI111" s="6" t="e">
        <f t="shared" si="415"/>
        <v>#REF!</v>
      </c>
      <c r="BJ111" s="6" t="e">
        <f t="shared" si="415"/>
        <v>#REF!</v>
      </c>
      <c r="BK111" s="6" t="e">
        <f t="shared" si="415"/>
        <v>#REF!</v>
      </c>
      <c r="BL111" s="6" t="e">
        <f t="shared" si="415"/>
        <v>#REF!</v>
      </c>
      <c r="BM111" s="6" t="e">
        <f t="shared" si="415"/>
        <v>#REF!</v>
      </c>
      <c r="BN111" s="6" t="e">
        <f t="shared" si="415"/>
        <v>#REF!</v>
      </c>
      <c r="BO111" s="6" t="e">
        <f t="shared" si="415"/>
        <v>#REF!</v>
      </c>
      <c r="BP111" s="6" t="e">
        <f t="shared" si="415"/>
        <v>#REF!</v>
      </c>
      <c r="BQ111" s="6" t="e">
        <f t="shared" si="415"/>
        <v>#REF!</v>
      </c>
      <c r="BR111" s="6" t="e">
        <f t="shared" si="415"/>
        <v>#REF!</v>
      </c>
      <c r="BS111" s="6" t="e">
        <f t="shared" ref="BS111:ED111" si="416">-MIN(BS109,$C$111+BS114)</f>
        <v>#REF!</v>
      </c>
      <c r="BT111" s="6" t="e">
        <f t="shared" si="416"/>
        <v>#REF!</v>
      </c>
      <c r="BU111" s="6" t="e">
        <f t="shared" si="416"/>
        <v>#REF!</v>
      </c>
      <c r="BV111" s="6" t="e">
        <f t="shared" si="416"/>
        <v>#REF!</v>
      </c>
      <c r="BW111" s="6" t="e">
        <f t="shared" si="416"/>
        <v>#REF!</v>
      </c>
      <c r="BX111" s="6" t="e">
        <f t="shared" si="416"/>
        <v>#REF!</v>
      </c>
      <c r="BY111" s="6" t="e">
        <f t="shared" si="416"/>
        <v>#REF!</v>
      </c>
      <c r="BZ111" s="6" t="e">
        <f t="shared" si="416"/>
        <v>#REF!</v>
      </c>
      <c r="CA111" s="6" t="e">
        <f t="shared" si="416"/>
        <v>#REF!</v>
      </c>
      <c r="CB111" s="6" t="e">
        <f t="shared" si="416"/>
        <v>#REF!</v>
      </c>
      <c r="CC111" s="6" t="e">
        <f t="shared" si="416"/>
        <v>#REF!</v>
      </c>
      <c r="CD111" s="6" t="e">
        <f t="shared" si="416"/>
        <v>#REF!</v>
      </c>
      <c r="CE111" s="6" t="e">
        <f t="shared" si="416"/>
        <v>#REF!</v>
      </c>
      <c r="CF111" s="6" t="e">
        <f t="shared" si="416"/>
        <v>#REF!</v>
      </c>
      <c r="CG111" s="6" t="e">
        <f t="shared" si="416"/>
        <v>#REF!</v>
      </c>
      <c r="CH111" s="6" t="e">
        <f t="shared" si="416"/>
        <v>#REF!</v>
      </c>
      <c r="CI111" s="6" t="e">
        <f t="shared" si="416"/>
        <v>#REF!</v>
      </c>
      <c r="CJ111" s="6" t="e">
        <f t="shared" si="416"/>
        <v>#REF!</v>
      </c>
      <c r="CK111" s="6" t="e">
        <f t="shared" si="416"/>
        <v>#REF!</v>
      </c>
      <c r="CL111" s="6" t="e">
        <f t="shared" si="416"/>
        <v>#REF!</v>
      </c>
      <c r="CM111" s="6" t="e">
        <f t="shared" si="416"/>
        <v>#REF!</v>
      </c>
      <c r="CN111" s="6" t="e">
        <f t="shared" si="416"/>
        <v>#REF!</v>
      </c>
      <c r="CO111" s="6" t="e">
        <f t="shared" si="416"/>
        <v>#REF!</v>
      </c>
      <c r="CP111" s="6" t="e">
        <f t="shared" si="416"/>
        <v>#REF!</v>
      </c>
      <c r="CQ111" s="6" t="e">
        <f t="shared" si="416"/>
        <v>#REF!</v>
      </c>
      <c r="CR111" s="6" t="e">
        <f t="shared" si="416"/>
        <v>#REF!</v>
      </c>
      <c r="CS111" s="6" t="e">
        <f t="shared" si="416"/>
        <v>#REF!</v>
      </c>
      <c r="CT111" s="6" t="e">
        <f t="shared" si="416"/>
        <v>#REF!</v>
      </c>
      <c r="CU111" s="6" t="e">
        <f t="shared" si="416"/>
        <v>#REF!</v>
      </c>
      <c r="CV111" s="6" t="e">
        <f t="shared" si="416"/>
        <v>#REF!</v>
      </c>
      <c r="CW111" s="6" t="e">
        <f t="shared" si="416"/>
        <v>#REF!</v>
      </c>
      <c r="CX111" s="6" t="e">
        <f t="shared" si="416"/>
        <v>#REF!</v>
      </c>
      <c r="CY111" s="6" t="e">
        <f t="shared" si="416"/>
        <v>#REF!</v>
      </c>
      <c r="CZ111" s="6" t="e">
        <f t="shared" si="416"/>
        <v>#REF!</v>
      </c>
      <c r="DA111" s="6" t="e">
        <f t="shared" si="416"/>
        <v>#REF!</v>
      </c>
      <c r="DB111" s="6" t="e">
        <f t="shared" si="416"/>
        <v>#REF!</v>
      </c>
      <c r="DC111" s="6" t="e">
        <f t="shared" si="416"/>
        <v>#REF!</v>
      </c>
      <c r="DD111" s="6" t="e">
        <f t="shared" si="416"/>
        <v>#REF!</v>
      </c>
      <c r="DE111" s="6" t="e">
        <f t="shared" si="416"/>
        <v>#REF!</v>
      </c>
      <c r="DF111" s="6" t="e">
        <f t="shared" si="416"/>
        <v>#REF!</v>
      </c>
      <c r="DG111" s="6" t="e">
        <f t="shared" si="416"/>
        <v>#REF!</v>
      </c>
      <c r="DH111" s="6" t="e">
        <f t="shared" si="416"/>
        <v>#REF!</v>
      </c>
      <c r="DI111" s="6" t="e">
        <f t="shared" si="416"/>
        <v>#REF!</v>
      </c>
      <c r="DJ111" s="6" t="e">
        <f t="shared" si="416"/>
        <v>#REF!</v>
      </c>
      <c r="DK111" s="6" t="e">
        <f t="shared" si="416"/>
        <v>#REF!</v>
      </c>
      <c r="DL111" s="6" t="e">
        <f t="shared" si="416"/>
        <v>#REF!</v>
      </c>
      <c r="DM111" s="6" t="e">
        <f t="shared" si="416"/>
        <v>#REF!</v>
      </c>
      <c r="DN111" s="6" t="e">
        <f t="shared" si="416"/>
        <v>#REF!</v>
      </c>
      <c r="DO111" s="6" t="e">
        <f t="shared" si="416"/>
        <v>#REF!</v>
      </c>
      <c r="DP111" s="6" t="e">
        <f t="shared" si="416"/>
        <v>#REF!</v>
      </c>
      <c r="DQ111" s="6" t="e">
        <f t="shared" si="416"/>
        <v>#REF!</v>
      </c>
      <c r="DR111" s="6" t="e">
        <f t="shared" si="416"/>
        <v>#REF!</v>
      </c>
      <c r="DS111" s="6" t="e">
        <f t="shared" si="416"/>
        <v>#REF!</v>
      </c>
      <c r="DT111" s="6" t="e">
        <f t="shared" si="416"/>
        <v>#REF!</v>
      </c>
      <c r="DU111" s="6" t="e">
        <f t="shared" si="416"/>
        <v>#REF!</v>
      </c>
      <c r="DV111" s="6" t="e">
        <f t="shared" si="416"/>
        <v>#REF!</v>
      </c>
      <c r="DW111" s="6" t="e">
        <f t="shared" si="416"/>
        <v>#REF!</v>
      </c>
      <c r="DX111" s="6" t="e">
        <f t="shared" si="416"/>
        <v>#REF!</v>
      </c>
      <c r="DY111" s="6" t="e">
        <f t="shared" si="416"/>
        <v>#REF!</v>
      </c>
      <c r="DZ111" s="6" t="e">
        <f t="shared" si="416"/>
        <v>#REF!</v>
      </c>
      <c r="EA111" s="6" t="e">
        <f t="shared" si="416"/>
        <v>#REF!</v>
      </c>
      <c r="EB111" s="6" t="e">
        <f t="shared" si="416"/>
        <v>#REF!</v>
      </c>
      <c r="EC111" s="6" t="e">
        <f t="shared" si="416"/>
        <v>#REF!</v>
      </c>
      <c r="ED111" s="6" t="e">
        <f t="shared" si="416"/>
        <v>#REF!</v>
      </c>
      <c r="EE111" s="6" t="e">
        <f t="shared" ref="EE111:GP111" si="417">-MIN(EE109,$C$111+EE114)</f>
        <v>#REF!</v>
      </c>
      <c r="EF111" s="6" t="e">
        <f t="shared" si="417"/>
        <v>#REF!</v>
      </c>
      <c r="EG111" s="6" t="e">
        <f t="shared" si="417"/>
        <v>#REF!</v>
      </c>
      <c r="EH111" s="6" t="e">
        <f t="shared" si="417"/>
        <v>#REF!</v>
      </c>
      <c r="EI111" s="6" t="e">
        <f t="shared" si="417"/>
        <v>#REF!</v>
      </c>
      <c r="EJ111" s="6" t="e">
        <f t="shared" si="417"/>
        <v>#REF!</v>
      </c>
      <c r="EK111" s="6" t="e">
        <f t="shared" si="417"/>
        <v>#REF!</v>
      </c>
      <c r="EL111" s="6" t="e">
        <f t="shared" si="417"/>
        <v>#REF!</v>
      </c>
      <c r="EM111" s="6" t="e">
        <f t="shared" si="417"/>
        <v>#REF!</v>
      </c>
      <c r="EN111" s="6" t="e">
        <f t="shared" si="417"/>
        <v>#REF!</v>
      </c>
      <c r="EO111" s="6" t="e">
        <f t="shared" si="417"/>
        <v>#REF!</v>
      </c>
      <c r="EP111" s="6" t="e">
        <f t="shared" si="417"/>
        <v>#REF!</v>
      </c>
      <c r="EQ111" s="6" t="e">
        <f t="shared" si="417"/>
        <v>#REF!</v>
      </c>
      <c r="ER111" s="6" t="e">
        <f t="shared" si="417"/>
        <v>#REF!</v>
      </c>
      <c r="ES111" s="6" t="e">
        <f t="shared" si="417"/>
        <v>#REF!</v>
      </c>
      <c r="ET111" s="6" t="e">
        <f t="shared" si="417"/>
        <v>#REF!</v>
      </c>
      <c r="EU111" s="6" t="e">
        <f t="shared" si="417"/>
        <v>#REF!</v>
      </c>
      <c r="EV111" s="6" t="e">
        <f t="shared" si="417"/>
        <v>#REF!</v>
      </c>
      <c r="EW111" s="6" t="e">
        <f t="shared" si="417"/>
        <v>#REF!</v>
      </c>
      <c r="EX111" s="6" t="e">
        <f t="shared" si="417"/>
        <v>#REF!</v>
      </c>
      <c r="EY111" s="6" t="e">
        <f t="shared" si="417"/>
        <v>#REF!</v>
      </c>
      <c r="EZ111" s="6" t="e">
        <f t="shared" si="417"/>
        <v>#REF!</v>
      </c>
      <c r="FA111" s="6" t="e">
        <f t="shared" si="417"/>
        <v>#REF!</v>
      </c>
      <c r="FB111" s="6" t="e">
        <f t="shared" si="417"/>
        <v>#REF!</v>
      </c>
      <c r="FC111" s="6" t="e">
        <f t="shared" si="417"/>
        <v>#REF!</v>
      </c>
      <c r="FD111" s="6" t="e">
        <f t="shared" si="417"/>
        <v>#REF!</v>
      </c>
      <c r="FE111" s="6" t="e">
        <f t="shared" si="417"/>
        <v>#REF!</v>
      </c>
      <c r="FF111" s="6" t="e">
        <f t="shared" si="417"/>
        <v>#REF!</v>
      </c>
      <c r="FG111" s="6" t="e">
        <f t="shared" si="417"/>
        <v>#REF!</v>
      </c>
      <c r="FH111" s="6" t="e">
        <f t="shared" si="417"/>
        <v>#REF!</v>
      </c>
      <c r="FI111" s="6" t="e">
        <f t="shared" si="417"/>
        <v>#REF!</v>
      </c>
      <c r="FJ111" s="6" t="e">
        <f t="shared" si="417"/>
        <v>#REF!</v>
      </c>
      <c r="FK111" s="6" t="e">
        <f t="shared" si="417"/>
        <v>#REF!</v>
      </c>
      <c r="FL111" s="6" t="e">
        <f t="shared" si="417"/>
        <v>#REF!</v>
      </c>
      <c r="FM111" s="6" t="e">
        <f t="shared" si="417"/>
        <v>#REF!</v>
      </c>
      <c r="FN111" s="6" t="e">
        <f t="shared" si="417"/>
        <v>#REF!</v>
      </c>
      <c r="FO111" s="6" t="e">
        <f t="shared" si="417"/>
        <v>#REF!</v>
      </c>
      <c r="FP111" s="6" t="e">
        <f t="shared" si="417"/>
        <v>#REF!</v>
      </c>
      <c r="FQ111" s="6" t="e">
        <f t="shared" si="417"/>
        <v>#REF!</v>
      </c>
      <c r="FR111" s="6" t="e">
        <f t="shared" si="417"/>
        <v>#REF!</v>
      </c>
      <c r="FS111" s="6" t="e">
        <f t="shared" si="417"/>
        <v>#REF!</v>
      </c>
      <c r="FT111" s="6" t="e">
        <f t="shared" si="417"/>
        <v>#REF!</v>
      </c>
      <c r="FU111" s="6" t="e">
        <f t="shared" si="417"/>
        <v>#REF!</v>
      </c>
      <c r="FV111" s="6" t="e">
        <f t="shared" si="417"/>
        <v>#REF!</v>
      </c>
      <c r="FW111" s="6" t="e">
        <f t="shared" si="417"/>
        <v>#REF!</v>
      </c>
      <c r="FX111" s="6" t="e">
        <f t="shared" si="417"/>
        <v>#REF!</v>
      </c>
      <c r="FY111" s="6" t="e">
        <f t="shared" si="417"/>
        <v>#REF!</v>
      </c>
      <c r="FZ111" s="6" t="e">
        <f t="shared" si="417"/>
        <v>#REF!</v>
      </c>
      <c r="GA111" s="6" t="e">
        <f t="shared" si="417"/>
        <v>#REF!</v>
      </c>
      <c r="GB111" s="6" t="e">
        <f t="shared" si="417"/>
        <v>#REF!</v>
      </c>
      <c r="GC111" s="6" t="e">
        <f t="shared" si="417"/>
        <v>#REF!</v>
      </c>
      <c r="GD111" s="6" t="e">
        <f t="shared" si="417"/>
        <v>#REF!</v>
      </c>
      <c r="GE111" s="6" t="e">
        <f t="shared" si="417"/>
        <v>#REF!</v>
      </c>
      <c r="GF111" s="6" t="e">
        <f t="shared" si="417"/>
        <v>#REF!</v>
      </c>
      <c r="GG111" s="6" t="e">
        <f t="shared" si="417"/>
        <v>#REF!</v>
      </c>
      <c r="GH111" s="6" t="e">
        <f t="shared" si="417"/>
        <v>#REF!</v>
      </c>
      <c r="GI111" s="6" t="e">
        <f t="shared" si="417"/>
        <v>#REF!</v>
      </c>
      <c r="GJ111" s="6" t="e">
        <f t="shared" si="417"/>
        <v>#REF!</v>
      </c>
      <c r="GK111" s="6" t="e">
        <f t="shared" si="417"/>
        <v>#REF!</v>
      </c>
      <c r="GL111" s="6" t="e">
        <f t="shared" si="417"/>
        <v>#REF!</v>
      </c>
      <c r="GM111" s="6" t="e">
        <f t="shared" si="417"/>
        <v>#REF!</v>
      </c>
      <c r="GN111" s="6" t="e">
        <f t="shared" si="417"/>
        <v>#REF!</v>
      </c>
      <c r="GO111" s="6" t="e">
        <f t="shared" si="417"/>
        <v>#REF!</v>
      </c>
      <c r="GP111" s="6" t="e">
        <f t="shared" si="417"/>
        <v>#REF!</v>
      </c>
      <c r="GQ111" s="6" t="e">
        <f t="shared" ref="GQ111:JB111" si="418">-MIN(GQ109,$C$111+GQ114)</f>
        <v>#REF!</v>
      </c>
      <c r="GR111" s="6" t="e">
        <f t="shared" si="418"/>
        <v>#REF!</v>
      </c>
      <c r="GS111" s="6" t="e">
        <f t="shared" si="418"/>
        <v>#REF!</v>
      </c>
      <c r="GT111" s="6" t="e">
        <f t="shared" si="418"/>
        <v>#REF!</v>
      </c>
      <c r="GU111" s="6" t="e">
        <f t="shared" si="418"/>
        <v>#REF!</v>
      </c>
      <c r="GV111" s="6" t="e">
        <f t="shared" si="418"/>
        <v>#REF!</v>
      </c>
      <c r="GW111" s="6" t="e">
        <f t="shared" si="418"/>
        <v>#REF!</v>
      </c>
      <c r="GX111" s="6" t="e">
        <f t="shared" si="418"/>
        <v>#REF!</v>
      </c>
      <c r="GY111" s="6" t="e">
        <f t="shared" si="418"/>
        <v>#REF!</v>
      </c>
      <c r="GZ111" s="6" t="e">
        <f t="shared" si="418"/>
        <v>#REF!</v>
      </c>
      <c r="HA111" s="6" t="e">
        <f t="shared" si="418"/>
        <v>#REF!</v>
      </c>
      <c r="HB111" s="6" t="e">
        <f t="shared" si="418"/>
        <v>#REF!</v>
      </c>
      <c r="HC111" s="6" t="e">
        <f t="shared" si="418"/>
        <v>#REF!</v>
      </c>
      <c r="HD111" s="6" t="e">
        <f t="shared" si="418"/>
        <v>#REF!</v>
      </c>
      <c r="HE111" s="6" t="e">
        <f t="shared" si="418"/>
        <v>#REF!</v>
      </c>
      <c r="HF111" s="6" t="e">
        <f t="shared" si="418"/>
        <v>#REF!</v>
      </c>
      <c r="HG111" s="6" t="e">
        <f t="shared" si="418"/>
        <v>#REF!</v>
      </c>
      <c r="HH111" s="6" t="e">
        <f t="shared" si="418"/>
        <v>#REF!</v>
      </c>
      <c r="HI111" s="6" t="e">
        <f t="shared" si="418"/>
        <v>#REF!</v>
      </c>
      <c r="HJ111" s="6" t="e">
        <f t="shared" si="418"/>
        <v>#REF!</v>
      </c>
      <c r="HK111" s="6" t="e">
        <f t="shared" si="418"/>
        <v>#REF!</v>
      </c>
      <c r="HL111" s="6" t="e">
        <f t="shared" si="418"/>
        <v>#REF!</v>
      </c>
      <c r="HM111" s="6" t="e">
        <f t="shared" si="418"/>
        <v>#REF!</v>
      </c>
      <c r="HN111" s="6" t="e">
        <f t="shared" si="418"/>
        <v>#REF!</v>
      </c>
      <c r="HO111" s="6" t="e">
        <f t="shared" si="418"/>
        <v>#REF!</v>
      </c>
      <c r="HP111" s="6" t="e">
        <f t="shared" si="418"/>
        <v>#REF!</v>
      </c>
      <c r="HQ111" s="6" t="e">
        <f t="shared" si="418"/>
        <v>#REF!</v>
      </c>
      <c r="HR111" s="6" t="e">
        <f t="shared" si="418"/>
        <v>#REF!</v>
      </c>
      <c r="HS111" s="6" t="e">
        <f t="shared" si="418"/>
        <v>#REF!</v>
      </c>
      <c r="HT111" s="6" t="e">
        <f t="shared" si="418"/>
        <v>#REF!</v>
      </c>
      <c r="HU111" s="6" t="e">
        <f t="shared" si="418"/>
        <v>#REF!</v>
      </c>
      <c r="HV111" s="6" t="e">
        <f t="shared" si="418"/>
        <v>#REF!</v>
      </c>
      <c r="HW111" s="6" t="e">
        <f t="shared" si="418"/>
        <v>#REF!</v>
      </c>
      <c r="HX111" s="6" t="e">
        <f t="shared" si="418"/>
        <v>#REF!</v>
      </c>
      <c r="HY111" s="6" t="e">
        <f t="shared" si="418"/>
        <v>#REF!</v>
      </c>
      <c r="HZ111" s="6" t="e">
        <f t="shared" si="418"/>
        <v>#REF!</v>
      </c>
      <c r="IA111" s="6" t="e">
        <f t="shared" si="418"/>
        <v>#REF!</v>
      </c>
      <c r="IB111" s="6" t="e">
        <f t="shared" si="418"/>
        <v>#REF!</v>
      </c>
      <c r="IC111" s="6" t="e">
        <f t="shared" si="418"/>
        <v>#REF!</v>
      </c>
      <c r="ID111" s="6" t="e">
        <f t="shared" si="418"/>
        <v>#REF!</v>
      </c>
      <c r="IE111" s="6" t="e">
        <f t="shared" si="418"/>
        <v>#REF!</v>
      </c>
      <c r="IF111" s="6" t="e">
        <f t="shared" si="418"/>
        <v>#REF!</v>
      </c>
      <c r="IG111" s="6" t="e">
        <f t="shared" si="418"/>
        <v>#REF!</v>
      </c>
      <c r="IH111" s="6" t="e">
        <f t="shared" si="418"/>
        <v>#REF!</v>
      </c>
      <c r="II111" s="6" t="e">
        <f t="shared" si="418"/>
        <v>#REF!</v>
      </c>
      <c r="IJ111" s="6" t="e">
        <f t="shared" si="418"/>
        <v>#REF!</v>
      </c>
      <c r="IK111" s="6" t="e">
        <f t="shared" si="418"/>
        <v>#REF!</v>
      </c>
      <c r="IL111" s="6" t="e">
        <f t="shared" si="418"/>
        <v>#REF!</v>
      </c>
      <c r="IM111" s="6" t="e">
        <f t="shared" si="418"/>
        <v>#REF!</v>
      </c>
      <c r="IN111" s="6" t="e">
        <f t="shared" si="418"/>
        <v>#REF!</v>
      </c>
      <c r="IO111" s="6" t="e">
        <f t="shared" si="418"/>
        <v>#REF!</v>
      </c>
      <c r="IP111" s="6" t="e">
        <f t="shared" si="418"/>
        <v>#REF!</v>
      </c>
      <c r="IQ111" s="6" t="e">
        <f t="shared" si="418"/>
        <v>#REF!</v>
      </c>
      <c r="IR111" s="6" t="e">
        <f t="shared" si="418"/>
        <v>#REF!</v>
      </c>
      <c r="IS111" s="6" t="e">
        <f t="shared" si="418"/>
        <v>#REF!</v>
      </c>
      <c r="IT111" s="6" t="e">
        <f t="shared" si="418"/>
        <v>#REF!</v>
      </c>
      <c r="IU111" s="6" t="e">
        <f t="shared" si="418"/>
        <v>#REF!</v>
      </c>
      <c r="IV111" s="6" t="e">
        <f t="shared" si="418"/>
        <v>#REF!</v>
      </c>
      <c r="IW111" s="6" t="e">
        <f t="shared" si="418"/>
        <v>#REF!</v>
      </c>
      <c r="IX111" s="6" t="e">
        <f t="shared" si="418"/>
        <v>#REF!</v>
      </c>
      <c r="IY111" s="6" t="e">
        <f t="shared" si="418"/>
        <v>#REF!</v>
      </c>
      <c r="IZ111" s="6" t="e">
        <f t="shared" si="418"/>
        <v>#REF!</v>
      </c>
      <c r="JA111" s="6" t="e">
        <f t="shared" si="418"/>
        <v>#REF!</v>
      </c>
      <c r="JB111" s="6" t="e">
        <f t="shared" si="418"/>
        <v>#REF!</v>
      </c>
      <c r="JC111" s="6" t="e">
        <f t="shared" ref="JC111:KS111" si="419">-MIN(JC109,$C$111+JC114)</f>
        <v>#REF!</v>
      </c>
      <c r="JD111" s="6" t="e">
        <f t="shared" si="419"/>
        <v>#REF!</v>
      </c>
      <c r="JE111" s="6" t="e">
        <f t="shared" si="419"/>
        <v>#REF!</v>
      </c>
      <c r="JF111" s="6" t="e">
        <f t="shared" si="419"/>
        <v>#REF!</v>
      </c>
      <c r="JG111" s="6" t="e">
        <f t="shared" si="419"/>
        <v>#REF!</v>
      </c>
      <c r="JH111" s="6" t="e">
        <f t="shared" si="419"/>
        <v>#REF!</v>
      </c>
      <c r="JI111" s="6" t="e">
        <f t="shared" si="419"/>
        <v>#REF!</v>
      </c>
      <c r="JJ111" s="6" t="e">
        <f t="shared" si="419"/>
        <v>#REF!</v>
      </c>
      <c r="JK111" s="6" t="e">
        <f t="shared" si="419"/>
        <v>#REF!</v>
      </c>
      <c r="JL111" s="6" t="e">
        <f t="shared" si="419"/>
        <v>#REF!</v>
      </c>
      <c r="JM111" s="6" t="e">
        <f t="shared" si="419"/>
        <v>#REF!</v>
      </c>
      <c r="JN111" s="6" t="e">
        <f t="shared" si="419"/>
        <v>#REF!</v>
      </c>
      <c r="JO111" s="6" t="e">
        <f t="shared" si="419"/>
        <v>#REF!</v>
      </c>
      <c r="JP111" s="6" t="e">
        <f t="shared" si="419"/>
        <v>#REF!</v>
      </c>
      <c r="JQ111" s="6" t="e">
        <f t="shared" si="419"/>
        <v>#REF!</v>
      </c>
      <c r="JR111" s="6" t="e">
        <f t="shared" si="419"/>
        <v>#REF!</v>
      </c>
      <c r="JS111" s="6" t="e">
        <f t="shared" si="419"/>
        <v>#REF!</v>
      </c>
      <c r="JT111" s="6" t="e">
        <f t="shared" si="419"/>
        <v>#REF!</v>
      </c>
      <c r="JU111" s="6" t="e">
        <f t="shared" si="419"/>
        <v>#REF!</v>
      </c>
      <c r="JV111" s="6" t="e">
        <f t="shared" si="419"/>
        <v>#REF!</v>
      </c>
      <c r="JW111" s="6" t="e">
        <f t="shared" si="419"/>
        <v>#REF!</v>
      </c>
      <c r="JX111" s="6" t="e">
        <f t="shared" si="419"/>
        <v>#REF!</v>
      </c>
      <c r="JY111" s="6" t="e">
        <f t="shared" si="419"/>
        <v>#REF!</v>
      </c>
      <c r="JZ111" s="6" t="e">
        <f t="shared" si="419"/>
        <v>#REF!</v>
      </c>
      <c r="KA111" s="6" t="e">
        <f t="shared" si="419"/>
        <v>#REF!</v>
      </c>
      <c r="KB111" s="6" t="e">
        <f t="shared" si="419"/>
        <v>#REF!</v>
      </c>
      <c r="KC111" s="6" t="e">
        <f t="shared" si="419"/>
        <v>#REF!</v>
      </c>
      <c r="KD111" s="6" t="e">
        <f t="shared" si="419"/>
        <v>#REF!</v>
      </c>
      <c r="KE111" s="6" t="e">
        <f t="shared" si="419"/>
        <v>#REF!</v>
      </c>
      <c r="KF111" s="6" t="e">
        <f t="shared" si="419"/>
        <v>#REF!</v>
      </c>
      <c r="KG111" s="6" t="e">
        <f t="shared" si="419"/>
        <v>#REF!</v>
      </c>
      <c r="KH111" s="6" t="e">
        <f t="shared" si="419"/>
        <v>#REF!</v>
      </c>
      <c r="KI111" s="6" t="e">
        <f t="shared" si="419"/>
        <v>#REF!</v>
      </c>
      <c r="KJ111" s="6" t="e">
        <f t="shared" si="419"/>
        <v>#REF!</v>
      </c>
      <c r="KK111" s="6" t="e">
        <f t="shared" si="419"/>
        <v>#REF!</v>
      </c>
      <c r="KL111" s="6" t="e">
        <f t="shared" si="419"/>
        <v>#REF!</v>
      </c>
      <c r="KM111" s="6" t="e">
        <f t="shared" si="419"/>
        <v>#REF!</v>
      </c>
      <c r="KN111" s="6" t="e">
        <f t="shared" si="419"/>
        <v>#REF!</v>
      </c>
      <c r="KO111" s="6" t="e">
        <f t="shared" si="419"/>
        <v>#REF!</v>
      </c>
      <c r="KP111" s="6" t="e">
        <f t="shared" si="419"/>
        <v>#REF!</v>
      </c>
      <c r="KQ111" s="6" t="e">
        <f t="shared" si="419"/>
        <v>#REF!</v>
      </c>
      <c r="KR111" s="6" t="e">
        <f t="shared" si="419"/>
        <v>#REF!</v>
      </c>
      <c r="KS111" s="6" t="e">
        <f t="shared" si="419"/>
        <v>#REF!</v>
      </c>
    </row>
    <row r="112" spans="2:305" s="6" customFormat="1" outlineLevel="1">
      <c r="B112" t="s">
        <v>43</v>
      </c>
      <c r="C112"/>
      <c r="D112"/>
      <c r="E112" s="6" t="e">
        <f>IF(E$2=MIN(Inputs!#REF!,Inputs!#REF!),-(E109+E111),0)</f>
        <v>#REF!</v>
      </c>
      <c r="F112" s="6" t="e">
        <f>IF(F$2=MIN(Inputs!#REF!,Inputs!#REF!),-(F109+F111),0)</f>
        <v>#REF!</v>
      </c>
      <c r="G112" s="6" t="e">
        <f>IF(G$2=MIN(Inputs!#REF!,Inputs!#REF!),-(G109+G111),0)</f>
        <v>#REF!</v>
      </c>
      <c r="H112" s="6" t="e">
        <f>IF(H$2=MIN(Inputs!#REF!,Inputs!#REF!),-(H109+H111),0)</f>
        <v>#REF!</v>
      </c>
      <c r="I112" s="6" t="e">
        <f>IF(I$2=MIN(Inputs!#REF!,Inputs!#REF!),-(I109+I111),0)</f>
        <v>#REF!</v>
      </c>
      <c r="J112" s="6" t="e">
        <f>IF(J$2=MIN(Inputs!#REF!,Inputs!#REF!),-(J109+J111),0)</f>
        <v>#REF!</v>
      </c>
      <c r="K112" s="6" t="e">
        <f>IF(K$2=MIN(Inputs!#REF!,Inputs!#REF!),-(K109+K111),0)</f>
        <v>#REF!</v>
      </c>
      <c r="L112" s="6" t="e">
        <f>IF(L$2=MIN(Inputs!#REF!,Inputs!#REF!),-(L109+L111),0)</f>
        <v>#REF!</v>
      </c>
      <c r="M112" s="6" t="e">
        <f>IF(M$2=MIN(Inputs!#REF!,Inputs!#REF!),-(M109+M111),0)</f>
        <v>#REF!</v>
      </c>
      <c r="N112" s="6" t="e">
        <f>IF(N$2=MIN(Inputs!#REF!,Inputs!#REF!),-(N109+N111),0)</f>
        <v>#REF!</v>
      </c>
      <c r="O112" s="6" t="e">
        <f>IF(O$2=MIN(Inputs!#REF!,Inputs!#REF!),-(O109+O111),0)</f>
        <v>#REF!</v>
      </c>
      <c r="P112" s="6" t="e">
        <f>IF(P$2=MIN(Inputs!#REF!,Inputs!#REF!),-(P109+P111),0)</f>
        <v>#REF!</v>
      </c>
      <c r="Q112" s="6" t="e">
        <f>IF(Q$2=MIN(Inputs!#REF!,Inputs!#REF!),-(Q109+Q111),0)</f>
        <v>#REF!</v>
      </c>
      <c r="R112" s="6" t="e">
        <f>IF(R$2=MIN(Inputs!#REF!,Inputs!#REF!),-(R109+R111),0)</f>
        <v>#REF!</v>
      </c>
      <c r="S112" s="6" t="e">
        <f>IF(S$2=MIN(Inputs!#REF!,Inputs!#REF!),-(S109+S111),0)</f>
        <v>#REF!</v>
      </c>
      <c r="T112" s="6" t="e">
        <f>IF(T$2=MIN(Inputs!#REF!,Inputs!#REF!),-(T109+T111),0)</f>
        <v>#REF!</v>
      </c>
      <c r="U112" s="6" t="e">
        <f>IF(U$2=MIN(Inputs!#REF!,Inputs!#REF!),-(U109+U111),0)</f>
        <v>#REF!</v>
      </c>
      <c r="V112" s="6" t="e">
        <f>IF(V$2=MIN(Inputs!#REF!,Inputs!#REF!),-(V109+V111),0)</f>
        <v>#REF!</v>
      </c>
      <c r="W112" s="6" t="e">
        <f>IF(W$2=MIN(Inputs!#REF!,Inputs!#REF!),-(W109+W111),0)</f>
        <v>#REF!</v>
      </c>
      <c r="X112" s="6" t="e">
        <f>IF(X$2=MIN(Inputs!#REF!,Inputs!#REF!),-(X109+X111),0)</f>
        <v>#REF!</v>
      </c>
      <c r="Y112" s="6" t="e">
        <f>IF(Y$2=MIN(Inputs!#REF!,Inputs!#REF!),-(Y109+Y111),0)</f>
        <v>#REF!</v>
      </c>
      <c r="Z112" s="6" t="e">
        <f>IF(Z$2=MIN(Inputs!#REF!,Inputs!#REF!),-(Z109+Z111),0)</f>
        <v>#REF!</v>
      </c>
      <c r="AA112" s="6" t="e">
        <f>IF(AA$2=MIN(Inputs!#REF!,Inputs!#REF!),-(AA109+AA111),0)</f>
        <v>#REF!</v>
      </c>
      <c r="AB112" s="6" t="e">
        <f>IF(AB$2=MIN(Inputs!#REF!,Inputs!#REF!),-(AB109+AB111),0)</f>
        <v>#REF!</v>
      </c>
      <c r="AC112" s="6" t="e">
        <f>IF(AC$2=MIN(Inputs!#REF!,Inputs!#REF!),-(AC109+AC111),0)</f>
        <v>#REF!</v>
      </c>
      <c r="AD112" s="6" t="e">
        <f>IF(AD$2=MIN(Inputs!#REF!,Inputs!#REF!),-(AD109+AD111),0)</f>
        <v>#REF!</v>
      </c>
      <c r="AE112" s="6" t="e">
        <f>IF(AE$2=MIN(Inputs!#REF!,Inputs!#REF!),-(AE109+AE111),0)</f>
        <v>#REF!</v>
      </c>
      <c r="AF112" s="6" t="e">
        <f>IF(AF$2=MIN(Inputs!#REF!,Inputs!#REF!),-(AF109+AF111),0)</f>
        <v>#REF!</v>
      </c>
      <c r="AG112" s="6" t="e">
        <f>IF(AG$2=MIN(Inputs!#REF!,Inputs!#REF!),-(AG109+AG111),0)</f>
        <v>#REF!</v>
      </c>
      <c r="AH112" s="6" t="e">
        <f>IF(AH$2=MIN(Inputs!#REF!,Inputs!#REF!),-(AH109+AH111),0)</f>
        <v>#REF!</v>
      </c>
      <c r="AI112" s="6" t="e">
        <f>IF(AI$2=MIN(Inputs!#REF!,Inputs!#REF!),-(AI109+AI111),0)</f>
        <v>#REF!</v>
      </c>
      <c r="AJ112" s="6" t="e">
        <f>IF(AJ$2=MIN(Inputs!#REF!,Inputs!#REF!),-(AJ109+AJ111),0)</f>
        <v>#REF!</v>
      </c>
      <c r="AK112" s="6" t="e">
        <f>IF(AK$2=MIN(Inputs!#REF!,Inputs!#REF!),-(AK109+AK111),0)</f>
        <v>#REF!</v>
      </c>
      <c r="AL112" s="6" t="e">
        <f>IF(AL$2=MIN(Inputs!#REF!,Inputs!#REF!),-(AL109+AL111),0)</f>
        <v>#REF!</v>
      </c>
      <c r="AM112" s="6" t="e">
        <f>IF(AM$2=MIN(Inputs!#REF!,Inputs!#REF!),-(AM109+AM111),0)</f>
        <v>#REF!</v>
      </c>
      <c r="AN112" s="6" t="e">
        <f>IF(AN$2=MIN(Inputs!#REF!,Inputs!#REF!),-(AN109+AN111),0)</f>
        <v>#REF!</v>
      </c>
      <c r="AO112" s="6" t="e">
        <f>IF(AO$2=MIN(Inputs!#REF!,Inputs!#REF!),-(AO109+AO111),0)</f>
        <v>#REF!</v>
      </c>
      <c r="AP112" s="6" t="e">
        <f>IF(AP$2=MIN(Inputs!#REF!,Inputs!#REF!),-(AP109+AP111),0)</f>
        <v>#REF!</v>
      </c>
      <c r="AQ112" s="6" t="e">
        <f>IF(AQ$2=MIN(Inputs!#REF!,Inputs!#REF!),-(AQ109+AQ111),0)</f>
        <v>#REF!</v>
      </c>
      <c r="AR112" s="6" t="e">
        <f>IF(AR$2=MIN(Inputs!#REF!,Inputs!#REF!),-(AR109+AR111),0)</f>
        <v>#REF!</v>
      </c>
      <c r="AS112" s="6" t="e">
        <f>IF(AS$2=MIN(Inputs!#REF!,Inputs!#REF!),-(AS109+AS111),0)</f>
        <v>#REF!</v>
      </c>
      <c r="AT112" s="6" t="e">
        <f>IF(AT$2=MIN(Inputs!#REF!,Inputs!#REF!),-(AT109+AT111),0)</f>
        <v>#REF!</v>
      </c>
      <c r="AU112" s="6" t="e">
        <f>IF(AU$2=MIN(Inputs!#REF!,Inputs!#REF!),-(AU109+AU111),0)</f>
        <v>#REF!</v>
      </c>
      <c r="AV112" s="6" t="e">
        <f>IF(AV$2=MIN(Inputs!#REF!,Inputs!#REF!),-(AV109+AV111),0)</f>
        <v>#REF!</v>
      </c>
      <c r="AW112" s="6" t="e">
        <f>IF(AW$2=MIN(Inputs!#REF!,Inputs!#REF!),-(AW109+AW111),0)</f>
        <v>#REF!</v>
      </c>
      <c r="AX112" s="6" t="e">
        <f>IF(AX$2=MIN(Inputs!#REF!,Inputs!#REF!),-(AX109+AX111),0)</f>
        <v>#REF!</v>
      </c>
      <c r="AY112" s="6" t="e">
        <f>IF(AY$2=MIN(Inputs!#REF!,Inputs!#REF!),-(AY109+AY111),0)</f>
        <v>#REF!</v>
      </c>
      <c r="AZ112" s="6" t="e">
        <f>IF(AZ$2=MIN(Inputs!#REF!,Inputs!#REF!),-(AZ109+AZ111),0)</f>
        <v>#REF!</v>
      </c>
      <c r="BA112" s="6" t="e">
        <f>IF(BA$2=MIN(Inputs!#REF!,Inputs!#REF!),-(BA109+BA111),0)</f>
        <v>#REF!</v>
      </c>
      <c r="BB112" s="6" t="e">
        <f>IF(BB$2=MIN(Inputs!#REF!,Inputs!#REF!),-(BB109+BB111),0)</f>
        <v>#REF!</v>
      </c>
      <c r="BC112" s="6" t="e">
        <f>IF(BC$2=MIN(Inputs!#REF!,Inputs!#REF!),-(BC109+BC111),0)</f>
        <v>#REF!</v>
      </c>
      <c r="BD112" s="6" t="e">
        <f>IF(BD$2=MIN(Inputs!#REF!,Inputs!#REF!),-(BD109+BD111),0)</f>
        <v>#REF!</v>
      </c>
      <c r="BE112" s="6" t="e">
        <f>IF(BE$2=MIN(Inputs!#REF!,Inputs!#REF!),-(BE109+BE111),0)</f>
        <v>#REF!</v>
      </c>
      <c r="BF112" s="6" t="e">
        <f>IF(BF$2=MIN(Inputs!#REF!,Inputs!#REF!),-(BF109+BF111),0)</f>
        <v>#REF!</v>
      </c>
      <c r="BG112" s="6" t="e">
        <f>IF(BG$2=MIN(Inputs!#REF!,Inputs!#REF!),-(BG109+BG111),0)</f>
        <v>#REF!</v>
      </c>
      <c r="BH112" s="6" t="e">
        <f>IF(BH$2=MIN(Inputs!#REF!,Inputs!#REF!),-(BH109+BH111),0)</f>
        <v>#REF!</v>
      </c>
      <c r="BI112" s="6" t="e">
        <f>IF(BI$2=MIN(Inputs!#REF!,Inputs!#REF!),-(BI109+BI111),0)</f>
        <v>#REF!</v>
      </c>
      <c r="BJ112" s="6" t="e">
        <f>IF(BJ$2=MIN(Inputs!#REF!,Inputs!#REF!),-(BJ109+BJ111),0)</f>
        <v>#REF!</v>
      </c>
      <c r="BK112" s="6" t="e">
        <f>IF(BK$2=MIN(Inputs!#REF!,Inputs!#REF!),-(BK109+BK111),0)</f>
        <v>#REF!</v>
      </c>
      <c r="BL112" s="6" t="e">
        <f>IF(BL$2=MIN(Inputs!#REF!,Inputs!#REF!),-(BL109+BL111),0)</f>
        <v>#REF!</v>
      </c>
      <c r="BM112" s="6" t="e">
        <f>IF(BM$2=MIN(Inputs!#REF!,Inputs!#REF!),-(BM109+BM111),0)</f>
        <v>#REF!</v>
      </c>
      <c r="BN112" s="6" t="e">
        <f>IF(BN$2=MIN(Inputs!#REF!,Inputs!#REF!),-(BN109+BN111),0)</f>
        <v>#REF!</v>
      </c>
      <c r="BO112" s="6" t="e">
        <f>IF(BO$2=MIN(Inputs!#REF!,Inputs!#REF!),-(BO109+BO111),0)</f>
        <v>#REF!</v>
      </c>
      <c r="BP112" s="6" t="e">
        <f>IF(BP$2=MIN(Inputs!#REF!,Inputs!#REF!),-(BP109+BP111),0)</f>
        <v>#REF!</v>
      </c>
      <c r="BQ112" s="6" t="e">
        <f>IF(BQ$2=MIN(Inputs!#REF!,Inputs!#REF!),-(BQ109+BQ111),0)</f>
        <v>#REF!</v>
      </c>
      <c r="BR112" s="6" t="e">
        <f>IF(BR$2=MIN(Inputs!#REF!,Inputs!#REF!),-(BR109+BR111),0)</f>
        <v>#REF!</v>
      </c>
      <c r="BS112" s="6" t="e">
        <f>IF(BS$2=MIN(Inputs!#REF!,Inputs!#REF!),-(BS109+BS111),0)</f>
        <v>#REF!</v>
      </c>
      <c r="BT112" s="6" t="e">
        <f>IF(BT$2=MIN(Inputs!#REF!,Inputs!#REF!),-(BT109+BT111),0)</f>
        <v>#REF!</v>
      </c>
      <c r="BU112" s="6" t="e">
        <f>IF(BU$2=MIN(Inputs!#REF!,Inputs!#REF!),-(BU109+BU111),0)</f>
        <v>#REF!</v>
      </c>
      <c r="BV112" s="6" t="e">
        <f>IF(BV$2=MIN(Inputs!#REF!,Inputs!#REF!),-(BV109+BV111),0)</f>
        <v>#REF!</v>
      </c>
      <c r="BW112" s="6" t="e">
        <f>IF(BW$2=MIN(Inputs!#REF!,Inputs!#REF!),-(BW109+BW111),0)</f>
        <v>#REF!</v>
      </c>
      <c r="BX112" s="6" t="e">
        <f>IF(BX$2=MIN(Inputs!#REF!,Inputs!#REF!),-(BX109+BX111),0)</f>
        <v>#REF!</v>
      </c>
      <c r="BY112" s="6" t="e">
        <f>IF(BY$2=MIN(Inputs!#REF!,Inputs!#REF!),-(BY109+BY111),0)</f>
        <v>#REF!</v>
      </c>
      <c r="BZ112" s="6" t="e">
        <f>IF(BZ$2=MIN(Inputs!#REF!,Inputs!#REF!),-(BZ109+BZ111),0)</f>
        <v>#REF!</v>
      </c>
      <c r="CA112" s="6" t="e">
        <f>IF(CA$2=MIN(Inputs!#REF!,Inputs!#REF!),-(CA109+CA111),0)</f>
        <v>#REF!</v>
      </c>
      <c r="CB112" s="6" t="e">
        <f>IF(CB$2=MIN(Inputs!#REF!,Inputs!#REF!),-(CB109+CB111),0)</f>
        <v>#REF!</v>
      </c>
      <c r="CC112" s="6" t="e">
        <f>IF(CC$2=MIN(Inputs!#REF!,Inputs!#REF!),-(CC109+CC111),0)</f>
        <v>#REF!</v>
      </c>
      <c r="CD112" s="6" t="e">
        <f>IF(CD$2=MIN(Inputs!#REF!,Inputs!#REF!),-(CD109+CD111),0)</f>
        <v>#REF!</v>
      </c>
      <c r="CE112" s="6" t="e">
        <f>IF(CE$2=MIN(Inputs!#REF!,Inputs!#REF!),-(CE109+CE111),0)</f>
        <v>#REF!</v>
      </c>
      <c r="CF112" s="6" t="e">
        <f>IF(CF$2=MIN(Inputs!#REF!,Inputs!#REF!),-(CF109+CF111),0)</f>
        <v>#REF!</v>
      </c>
      <c r="CG112" s="6" t="e">
        <f>IF(CG$2=MIN(Inputs!#REF!,Inputs!#REF!),-(CG109+CG111),0)</f>
        <v>#REF!</v>
      </c>
      <c r="CH112" s="6" t="e">
        <f>IF(CH$2=MIN(Inputs!#REF!,Inputs!#REF!),-(CH109+CH111),0)</f>
        <v>#REF!</v>
      </c>
      <c r="CI112" s="6" t="e">
        <f>IF(CI$2=MIN(Inputs!#REF!,Inputs!#REF!),-(CI109+CI111),0)</f>
        <v>#REF!</v>
      </c>
      <c r="CJ112" s="6" t="e">
        <f>IF(CJ$2=MIN(Inputs!#REF!,Inputs!#REF!),-(CJ109+CJ111),0)</f>
        <v>#REF!</v>
      </c>
      <c r="CK112" s="6" t="e">
        <f>IF(CK$2=MIN(Inputs!#REF!,Inputs!#REF!),-(CK109+CK111),0)</f>
        <v>#REF!</v>
      </c>
      <c r="CL112" s="6" t="e">
        <f>IF(CL$2=MIN(Inputs!#REF!,Inputs!#REF!),-(CL109+CL111),0)</f>
        <v>#REF!</v>
      </c>
      <c r="CM112" s="6" t="e">
        <f>IF(CM$2=MIN(Inputs!#REF!,Inputs!#REF!),-(CM109+CM111),0)</f>
        <v>#REF!</v>
      </c>
      <c r="CN112" s="6" t="e">
        <f>IF(CN$2=MIN(Inputs!#REF!,Inputs!#REF!),-(CN109+CN111),0)</f>
        <v>#REF!</v>
      </c>
      <c r="CO112" s="6" t="e">
        <f>IF(CO$2=MIN(Inputs!#REF!,Inputs!#REF!),-(CO109+CO111),0)</f>
        <v>#REF!</v>
      </c>
      <c r="CP112" s="6" t="e">
        <f>IF(CP$2=MIN(Inputs!#REF!,Inputs!#REF!),-(CP109+CP111),0)</f>
        <v>#REF!</v>
      </c>
      <c r="CQ112" s="6" t="e">
        <f>IF(CQ$2=MIN(Inputs!#REF!,Inputs!#REF!),-(CQ109+CQ111),0)</f>
        <v>#REF!</v>
      </c>
      <c r="CR112" s="6" t="e">
        <f>IF(CR$2=MIN(Inputs!#REF!,Inputs!#REF!),-(CR109+CR111),0)</f>
        <v>#REF!</v>
      </c>
      <c r="CS112" s="6" t="e">
        <f>IF(CS$2=MIN(Inputs!#REF!,Inputs!#REF!),-(CS109+CS111),0)</f>
        <v>#REF!</v>
      </c>
      <c r="CT112" s="6" t="e">
        <f>IF(CT$2=MIN(Inputs!#REF!,Inputs!#REF!),-(CT109+CT111),0)</f>
        <v>#REF!</v>
      </c>
      <c r="CU112" s="6" t="e">
        <f>IF(CU$2=MIN(Inputs!#REF!,Inputs!#REF!),-(CU109+CU111),0)</f>
        <v>#REF!</v>
      </c>
      <c r="CV112" s="6" t="e">
        <f>IF(CV$2=MIN(Inputs!#REF!,Inputs!#REF!),-(CV109+CV111),0)</f>
        <v>#REF!</v>
      </c>
      <c r="CW112" s="6" t="e">
        <f>IF(CW$2=MIN(Inputs!#REF!,Inputs!#REF!),-(CW109+CW111),0)</f>
        <v>#REF!</v>
      </c>
      <c r="CX112" s="6" t="e">
        <f>IF(CX$2=MIN(Inputs!#REF!,Inputs!#REF!),-(CX109+CX111),0)</f>
        <v>#REF!</v>
      </c>
      <c r="CY112" s="6" t="e">
        <f>IF(CY$2=MIN(Inputs!#REF!,Inputs!#REF!),-(CY109+CY111),0)</f>
        <v>#REF!</v>
      </c>
      <c r="CZ112" s="6" t="e">
        <f>IF(CZ$2=MIN(Inputs!#REF!,Inputs!#REF!),-(CZ109+CZ111),0)</f>
        <v>#REF!</v>
      </c>
      <c r="DA112" s="6" t="e">
        <f>IF(DA$2=MIN(Inputs!#REF!,Inputs!#REF!),-(DA109+DA111),0)</f>
        <v>#REF!</v>
      </c>
      <c r="DB112" s="6" t="e">
        <f>IF(DB$2=MIN(Inputs!#REF!,Inputs!#REF!),-(DB109+DB111),0)</f>
        <v>#REF!</v>
      </c>
      <c r="DC112" s="6" t="e">
        <f>IF(DC$2=MIN(Inputs!#REF!,Inputs!#REF!),-(DC109+DC111),0)</f>
        <v>#REF!</v>
      </c>
      <c r="DD112" s="6" t="e">
        <f>IF(DD$2=MIN(Inputs!#REF!,Inputs!#REF!),-(DD109+DD111),0)</f>
        <v>#REF!</v>
      </c>
      <c r="DE112" s="6" t="e">
        <f>IF(DE$2=MIN(Inputs!#REF!,Inputs!#REF!),-(DE109+DE111),0)</f>
        <v>#REF!</v>
      </c>
      <c r="DF112" s="6" t="e">
        <f>IF(DF$2=MIN(Inputs!#REF!,Inputs!#REF!),-(DF109+DF111),0)</f>
        <v>#REF!</v>
      </c>
      <c r="DG112" s="6" t="e">
        <f>IF(DG$2=MIN(Inputs!#REF!,Inputs!#REF!),-(DG109+DG111),0)</f>
        <v>#REF!</v>
      </c>
      <c r="DH112" s="6" t="e">
        <f>IF(DH$2=MIN(Inputs!#REF!,Inputs!#REF!),-(DH109+DH111),0)</f>
        <v>#REF!</v>
      </c>
      <c r="DI112" s="6" t="e">
        <f>IF(DI$2=MIN(Inputs!#REF!,Inputs!#REF!),-(DI109+DI111),0)</f>
        <v>#REF!</v>
      </c>
      <c r="DJ112" s="6" t="e">
        <f>IF(DJ$2=MIN(Inputs!#REF!,Inputs!#REF!),-(DJ109+DJ111),0)</f>
        <v>#REF!</v>
      </c>
      <c r="DK112" s="6" t="e">
        <f>IF(DK$2=MIN(Inputs!#REF!,Inputs!#REF!),-(DK109+DK111),0)</f>
        <v>#REF!</v>
      </c>
      <c r="DL112" s="6" t="e">
        <f>IF(DL$2=MIN(Inputs!#REF!,Inputs!#REF!),-(DL109+DL111),0)</f>
        <v>#REF!</v>
      </c>
      <c r="DM112" s="6" t="e">
        <f>IF(DM$2=MIN(Inputs!#REF!,Inputs!#REF!),-(DM109+DM111),0)</f>
        <v>#REF!</v>
      </c>
      <c r="DN112" s="6" t="e">
        <f>IF(DN$2=MIN(Inputs!#REF!,Inputs!#REF!),-(DN109+DN111),0)</f>
        <v>#REF!</v>
      </c>
      <c r="DO112" s="6" t="e">
        <f>IF(DO$2=MIN(Inputs!#REF!,Inputs!#REF!),-(DO109+DO111),0)</f>
        <v>#REF!</v>
      </c>
      <c r="DP112" s="6" t="e">
        <f>IF(DP$2=MIN(Inputs!#REF!,Inputs!#REF!),-(DP109+DP111),0)</f>
        <v>#REF!</v>
      </c>
      <c r="DQ112" s="6" t="e">
        <f>IF(DQ$2=MIN(Inputs!#REF!,Inputs!#REF!),-(DQ109+DQ111),0)</f>
        <v>#REF!</v>
      </c>
      <c r="DR112" s="6" t="e">
        <f>IF(DR$2=MIN(Inputs!#REF!,Inputs!#REF!),-(DR109+DR111),0)</f>
        <v>#REF!</v>
      </c>
      <c r="DS112" s="6" t="e">
        <f>IF(DS$2=MIN(Inputs!#REF!,Inputs!#REF!),-(DS109+DS111),0)</f>
        <v>#REF!</v>
      </c>
      <c r="DT112" s="6" t="e">
        <f>IF(DT$2=MIN(Inputs!#REF!,Inputs!#REF!),-(DT109+DT111),0)</f>
        <v>#REF!</v>
      </c>
      <c r="DU112" s="6" t="e">
        <f>IF(DU$2=MIN(Inputs!#REF!,Inputs!#REF!),-(DU109+DU111),0)</f>
        <v>#REF!</v>
      </c>
      <c r="DV112" s="6" t="e">
        <f>IF(DV$2=MIN(Inputs!#REF!,Inputs!#REF!),-(DV109+DV111),0)</f>
        <v>#REF!</v>
      </c>
      <c r="DW112" s="6" t="e">
        <f>IF(DW$2=MIN(Inputs!#REF!,Inputs!#REF!),-(DW109+DW111),0)</f>
        <v>#REF!</v>
      </c>
      <c r="DX112" s="6" t="e">
        <f>IF(DX$2=MIN(Inputs!#REF!,Inputs!#REF!),-(DX109+DX111),0)</f>
        <v>#REF!</v>
      </c>
      <c r="DY112" s="6" t="e">
        <f>IF(DY$2=MIN(Inputs!#REF!,Inputs!#REF!),-(DY109+DY111),0)</f>
        <v>#REF!</v>
      </c>
      <c r="DZ112" s="6" t="e">
        <f>IF(DZ$2=MIN(Inputs!#REF!,Inputs!#REF!),-(DZ109+DZ111),0)</f>
        <v>#REF!</v>
      </c>
      <c r="EA112" s="6" t="e">
        <f>IF(EA$2=MIN(Inputs!#REF!,Inputs!#REF!),-(EA109+EA111),0)</f>
        <v>#REF!</v>
      </c>
      <c r="EB112" s="6" t="e">
        <f>IF(EB$2=MIN(Inputs!#REF!,Inputs!#REF!),-(EB109+EB111),0)</f>
        <v>#REF!</v>
      </c>
      <c r="EC112" s="6" t="e">
        <f>IF(EC$2=MIN(Inputs!#REF!,Inputs!#REF!),-(EC109+EC111),0)</f>
        <v>#REF!</v>
      </c>
      <c r="ED112" s="6" t="e">
        <f>IF(ED$2=MIN(Inputs!#REF!,Inputs!#REF!),-(ED109+ED111),0)</f>
        <v>#REF!</v>
      </c>
      <c r="EE112" s="6" t="e">
        <f>IF(EE$2=MIN(Inputs!#REF!,Inputs!#REF!),-(EE109+EE111),0)</f>
        <v>#REF!</v>
      </c>
      <c r="EF112" s="6" t="e">
        <f>IF(EF$2=MIN(Inputs!#REF!,Inputs!#REF!),-(EF109+EF111),0)</f>
        <v>#REF!</v>
      </c>
      <c r="EG112" s="6" t="e">
        <f>IF(EG$2=MIN(Inputs!#REF!,Inputs!#REF!),-(EG109+EG111),0)</f>
        <v>#REF!</v>
      </c>
      <c r="EH112" s="6" t="e">
        <f>IF(EH$2=MIN(Inputs!#REF!,Inputs!#REF!),-(EH109+EH111),0)</f>
        <v>#REF!</v>
      </c>
      <c r="EI112" s="6" t="e">
        <f>IF(EI$2=MIN(Inputs!#REF!,Inputs!#REF!),-(EI109+EI111),0)</f>
        <v>#REF!</v>
      </c>
      <c r="EJ112" s="6" t="e">
        <f>IF(EJ$2=MIN(Inputs!#REF!,Inputs!#REF!),-(EJ109+EJ111),0)</f>
        <v>#REF!</v>
      </c>
      <c r="EK112" s="6" t="e">
        <f>IF(EK$2=MIN(Inputs!#REF!,Inputs!#REF!),-(EK109+EK111),0)</f>
        <v>#REF!</v>
      </c>
      <c r="EL112" s="6" t="e">
        <f>IF(EL$2=MIN(Inputs!#REF!,Inputs!#REF!),-(EL109+EL111),0)</f>
        <v>#REF!</v>
      </c>
      <c r="EM112" s="6" t="e">
        <f>IF(EM$2=MIN(Inputs!#REF!,Inputs!#REF!),-(EM109+EM111),0)</f>
        <v>#REF!</v>
      </c>
      <c r="EN112" s="6" t="e">
        <f>IF(EN$2=MIN(Inputs!#REF!,Inputs!#REF!),-(EN109+EN111),0)</f>
        <v>#REF!</v>
      </c>
      <c r="EO112" s="6" t="e">
        <f>IF(EO$2=MIN(Inputs!#REF!,Inputs!#REF!),-(EO109+EO111),0)</f>
        <v>#REF!</v>
      </c>
      <c r="EP112" s="6" t="e">
        <f>IF(EP$2=MIN(Inputs!#REF!,Inputs!#REF!),-(EP109+EP111),0)</f>
        <v>#REF!</v>
      </c>
      <c r="EQ112" s="6" t="e">
        <f>IF(EQ$2=MIN(Inputs!#REF!,Inputs!#REF!),-(EQ109+EQ111),0)</f>
        <v>#REF!</v>
      </c>
      <c r="ER112" s="6" t="e">
        <f>IF(ER$2=MIN(Inputs!#REF!,Inputs!#REF!),-(ER109+ER111),0)</f>
        <v>#REF!</v>
      </c>
      <c r="ES112" s="6" t="e">
        <f>IF(ES$2=MIN(Inputs!#REF!,Inputs!#REF!),-(ES109+ES111),0)</f>
        <v>#REF!</v>
      </c>
      <c r="ET112" s="6" t="e">
        <f>IF(ET$2=MIN(Inputs!#REF!,Inputs!#REF!),-(ET109+ET111),0)</f>
        <v>#REF!</v>
      </c>
      <c r="EU112" s="6" t="e">
        <f>IF(EU$2=MIN(Inputs!#REF!,Inputs!#REF!),-(EU109+EU111),0)</f>
        <v>#REF!</v>
      </c>
      <c r="EV112" s="6" t="e">
        <f>IF(EV$2=MIN(Inputs!#REF!,Inputs!#REF!),-(EV109+EV111),0)</f>
        <v>#REF!</v>
      </c>
      <c r="EW112" s="6" t="e">
        <f>IF(EW$2=MIN(Inputs!#REF!,Inputs!#REF!),-(EW109+EW111),0)</f>
        <v>#REF!</v>
      </c>
      <c r="EX112" s="6" t="e">
        <f>IF(EX$2=MIN(Inputs!#REF!,Inputs!#REF!),-(EX109+EX111),0)</f>
        <v>#REF!</v>
      </c>
      <c r="EY112" s="6" t="e">
        <f>IF(EY$2=MIN(Inputs!#REF!,Inputs!#REF!),-(EY109+EY111),0)</f>
        <v>#REF!</v>
      </c>
      <c r="EZ112" s="6" t="e">
        <f>IF(EZ$2=MIN(Inputs!#REF!,Inputs!#REF!),-(EZ109+EZ111),0)</f>
        <v>#REF!</v>
      </c>
      <c r="FA112" s="6" t="e">
        <f>IF(FA$2=MIN(Inputs!#REF!,Inputs!#REF!),-(FA109+FA111),0)</f>
        <v>#REF!</v>
      </c>
      <c r="FB112" s="6" t="e">
        <f>IF(FB$2=MIN(Inputs!#REF!,Inputs!#REF!),-(FB109+FB111),0)</f>
        <v>#REF!</v>
      </c>
      <c r="FC112" s="6" t="e">
        <f>IF(FC$2=MIN(Inputs!#REF!,Inputs!#REF!),-(FC109+FC111),0)</f>
        <v>#REF!</v>
      </c>
      <c r="FD112" s="6" t="e">
        <f>IF(FD$2=MIN(Inputs!#REF!,Inputs!#REF!),-(FD109+FD111),0)</f>
        <v>#REF!</v>
      </c>
      <c r="FE112" s="6" t="e">
        <f>IF(FE$2=MIN(Inputs!#REF!,Inputs!#REF!),-(FE109+FE111),0)</f>
        <v>#REF!</v>
      </c>
      <c r="FF112" s="6" t="e">
        <f>IF(FF$2=MIN(Inputs!#REF!,Inputs!#REF!),-(FF109+FF111),0)</f>
        <v>#REF!</v>
      </c>
      <c r="FG112" s="6" t="e">
        <f>IF(FG$2=MIN(Inputs!#REF!,Inputs!#REF!),-(FG109+FG111),0)</f>
        <v>#REF!</v>
      </c>
      <c r="FH112" s="6" t="e">
        <f>IF(FH$2=MIN(Inputs!#REF!,Inputs!#REF!),-(FH109+FH111),0)</f>
        <v>#REF!</v>
      </c>
      <c r="FI112" s="6" t="e">
        <f>IF(FI$2=MIN(Inputs!#REF!,Inputs!#REF!),-(FI109+FI111),0)</f>
        <v>#REF!</v>
      </c>
      <c r="FJ112" s="6" t="e">
        <f>IF(FJ$2=MIN(Inputs!#REF!,Inputs!#REF!),-(FJ109+FJ111),0)</f>
        <v>#REF!</v>
      </c>
      <c r="FK112" s="6" t="e">
        <f>IF(FK$2=MIN(Inputs!#REF!,Inputs!#REF!),-(FK109+FK111),0)</f>
        <v>#REF!</v>
      </c>
      <c r="FL112" s="6" t="e">
        <f>IF(FL$2=MIN(Inputs!#REF!,Inputs!#REF!),-(FL109+FL111),0)</f>
        <v>#REF!</v>
      </c>
      <c r="FM112" s="6" t="e">
        <f>IF(FM$2=MIN(Inputs!#REF!,Inputs!#REF!),-(FM109+FM111),0)</f>
        <v>#REF!</v>
      </c>
      <c r="FN112" s="6" t="e">
        <f>IF(FN$2=MIN(Inputs!#REF!,Inputs!#REF!),-(FN109+FN111),0)</f>
        <v>#REF!</v>
      </c>
      <c r="FO112" s="6" t="e">
        <f>IF(FO$2=MIN(Inputs!#REF!,Inputs!#REF!),-(FO109+FO111),0)</f>
        <v>#REF!</v>
      </c>
      <c r="FP112" s="6" t="e">
        <f>IF(FP$2=MIN(Inputs!#REF!,Inputs!#REF!),-(FP109+FP111),0)</f>
        <v>#REF!</v>
      </c>
      <c r="FQ112" s="6" t="e">
        <f>IF(FQ$2=MIN(Inputs!#REF!,Inputs!#REF!),-(FQ109+FQ111),0)</f>
        <v>#REF!</v>
      </c>
      <c r="FR112" s="6" t="e">
        <f>IF(FR$2=MIN(Inputs!#REF!,Inputs!#REF!),-(FR109+FR111),0)</f>
        <v>#REF!</v>
      </c>
      <c r="FS112" s="6" t="e">
        <f>IF(FS$2=MIN(Inputs!#REF!,Inputs!#REF!),-(FS109+FS111),0)</f>
        <v>#REF!</v>
      </c>
      <c r="FT112" s="6" t="e">
        <f>IF(FT$2=MIN(Inputs!#REF!,Inputs!#REF!),-(FT109+FT111),0)</f>
        <v>#REF!</v>
      </c>
      <c r="FU112" s="6" t="e">
        <f>IF(FU$2=MIN(Inputs!#REF!,Inputs!#REF!),-(FU109+FU111),0)</f>
        <v>#REF!</v>
      </c>
      <c r="FV112" s="6" t="e">
        <f>IF(FV$2=MIN(Inputs!#REF!,Inputs!#REF!),-(FV109+FV111),0)</f>
        <v>#REF!</v>
      </c>
      <c r="FW112" s="6" t="e">
        <f>IF(FW$2=MIN(Inputs!#REF!,Inputs!#REF!),-(FW109+FW111),0)</f>
        <v>#REF!</v>
      </c>
      <c r="FX112" s="6" t="e">
        <f>IF(FX$2=MIN(Inputs!#REF!,Inputs!#REF!),-(FX109+FX111),0)</f>
        <v>#REF!</v>
      </c>
      <c r="FY112" s="6" t="e">
        <f>IF(FY$2=MIN(Inputs!#REF!,Inputs!#REF!),-(FY109+FY111),0)</f>
        <v>#REF!</v>
      </c>
      <c r="FZ112" s="6" t="e">
        <f>IF(FZ$2=MIN(Inputs!#REF!,Inputs!#REF!),-(FZ109+FZ111),0)</f>
        <v>#REF!</v>
      </c>
      <c r="GA112" s="6" t="e">
        <f>IF(GA$2=MIN(Inputs!#REF!,Inputs!#REF!),-(GA109+GA111),0)</f>
        <v>#REF!</v>
      </c>
      <c r="GB112" s="6" t="e">
        <f>IF(GB$2=MIN(Inputs!#REF!,Inputs!#REF!),-(GB109+GB111),0)</f>
        <v>#REF!</v>
      </c>
      <c r="GC112" s="6" t="e">
        <f>IF(GC$2=MIN(Inputs!#REF!,Inputs!#REF!),-(GC109+GC111),0)</f>
        <v>#REF!</v>
      </c>
      <c r="GD112" s="6" t="e">
        <f>IF(GD$2=MIN(Inputs!#REF!,Inputs!#REF!),-(GD109+GD111),0)</f>
        <v>#REF!</v>
      </c>
      <c r="GE112" s="6" t="e">
        <f>IF(GE$2=MIN(Inputs!#REF!,Inputs!#REF!),-(GE109+GE111),0)</f>
        <v>#REF!</v>
      </c>
      <c r="GF112" s="6" t="e">
        <f>IF(GF$2=MIN(Inputs!#REF!,Inputs!#REF!),-(GF109+GF111),0)</f>
        <v>#REF!</v>
      </c>
      <c r="GG112" s="6" t="e">
        <f>IF(GG$2=MIN(Inputs!#REF!,Inputs!#REF!),-(GG109+GG111),0)</f>
        <v>#REF!</v>
      </c>
      <c r="GH112" s="6" t="e">
        <f>IF(GH$2=MIN(Inputs!#REF!,Inputs!#REF!),-(GH109+GH111),0)</f>
        <v>#REF!</v>
      </c>
      <c r="GI112" s="6" t="e">
        <f>IF(GI$2=MIN(Inputs!#REF!,Inputs!#REF!),-(GI109+GI111),0)</f>
        <v>#REF!</v>
      </c>
      <c r="GJ112" s="6" t="e">
        <f>IF(GJ$2=MIN(Inputs!#REF!,Inputs!#REF!),-(GJ109+GJ111),0)</f>
        <v>#REF!</v>
      </c>
      <c r="GK112" s="6" t="e">
        <f>IF(GK$2=MIN(Inputs!#REF!,Inputs!#REF!),-(GK109+GK111),0)</f>
        <v>#REF!</v>
      </c>
      <c r="GL112" s="6" t="e">
        <f>IF(GL$2=MIN(Inputs!#REF!,Inputs!#REF!),-(GL109+GL111),0)</f>
        <v>#REF!</v>
      </c>
      <c r="GM112" s="6" t="e">
        <f>IF(GM$2=MIN(Inputs!#REF!,Inputs!#REF!),-(GM109+GM111),0)</f>
        <v>#REF!</v>
      </c>
      <c r="GN112" s="6" t="e">
        <f>IF(GN$2=MIN(Inputs!#REF!,Inputs!#REF!),-(GN109+GN111),0)</f>
        <v>#REF!</v>
      </c>
      <c r="GO112" s="6" t="e">
        <f>IF(GO$2=MIN(Inputs!#REF!,Inputs!#REF!),-(GO109+GO111),0)</f>
        <v>#REF!</v>
      </c>
      <c r="GP112" s="6" t="e">
        <f>IF(GP$2=MIN(Inputs!#REF!,Inputs!#REF!),-(GP109+GP111),0)</f>
        <v>#REF!</v>
      </c>
      <c r="GQ112" s="6" t="e">
        <f>IF(GQ$2=MIN(Inputs!#REF!,Inputs!#REF!),-(GQ109+GQ111),0)</f>
        <v>#REF!</v>
      </c>
      <c r="GR112" s="6" t="e">
        <f>IF(GR$2=MIN(Inputs!#REF!,Inputs!#REF!),-(GR109+GR111),0)</f>
        <v>#REF!</v>
      </c>
      <c r="GS112" s="6" t="e">
        <f>IF(GS$2=MIN(Inputs!#REF!,Inputs!#REF!),-(GS109+GS111),0)</f>
        <v>#REF!</v>
      </c>
      <c r="GT112" s="6" t="e">
        <f>IF(GT$2=MIN(Inputs!#REF!,Inputs!#REF!),-(GT109+GT111),0)</f>
        <v>#REF!</v>
      </c>
      <c r="GU112" s="6" t="e">
        <f>IF(GU$2=MIN(Inputs!#REF!,Inputs!#REF!),-(GU109+GU111),0)</f>
        <v>#REF!</v>
      </c>
      <c r="GV112" s="6" t="e">
        <f>IF(GV$2=MIN(Inputs!#REF!,Inputs!#REF!),-(GV109+GV111),0)</f>
        <v>#REF!</v>
      </c>
      <c r="GW112" s="6" t="e">
        <f>IF(GW$2=MIN(Inputs!#REF!,Inputs!#REF!),-(GW109+GW111),0)</f>
        <v>#REF!</v>
      </c>
      <c r="GX112" s="6" t="e">
        <f>IF(GX$2=MIN(Inputs!#REF!,Inputs!#REF!),-(GX109+GX111),0)</f>
        <v>#REF!</v>
      </c>
      <c r="GY112" s="6" t="e">
        <f>IF(GY$2=MIN(Inputs!#REF!,Inputs!#REF!),-(GY109+GY111),0)</f>
        <v>#REF!</v>
      </c>
      <c r="GZ112" s="6" t="e">
        <f>IF(GZ$2=MIN(Inputs!#REF!,Inputs!#REF!),-(GZ109+GZ111),0)</f>
        <v>#REF!</v>
      </c>
      <c r="HA112" s="6" t="e">
        <f>IF(HA$2=MIN(Inputs!#REF!,Inputs!#REF!),-(HA109+HA111),0)</f>
        <v>#REF!</v>
      </c>
      <c r="HB112" s="6" t="e">
        <f>IF(HB$2=MIN(Inputs!#REF!,Inputs!#REF!),-(HB109+HB111),0)</f>
        <v>#REF!</v>
      </c>
      <c r="HC112" s="6" t="e">
        <f>IF(HC$2=MIN(Inputs!#REF!,Inputs!#REF!),-(HC109+HC111),0)</f>
        <v>#REF!</v>
      </c>
      <c r="HD112" s="6" t="e">
        <f>IF(HD$2=MIN(Inputs!#REF!,Inputs!#REF!),-(HD109+HD111),0)</f>
        <v>#REF!</v>
      </c>
      <c r="HE112" s="6" t="e">
        <f>IF(HE$2=MIN(Inputs!#REF!,Inputs!#REF!),-(HE109+HE111),0)</f>
        <v>#REF!</v>
      </c>
      <c r="HF112" s="6" t="e">
        <f>IF(HF$2=MIN(Inputs!#REF!,Inputs!#REF!),-(HF109+HF111),0)</f>
        <v>#REF!</v>
      </c>
      <c r="HG112" s="6" t="e">
        <f>IF(HG$2=MIN(Inputs!#REF!,Inputs!#REF!),-(HG109+HG111),0)</f>
        <v>#REF!</v>
      </c>
      <c r="HH112" s="6" t="e">
        <f>IF(HH$2=MIN(Inputs!#REF!,Inputs!#REF!),-(HH109+HH111),0)</f>
        <v>#REF!</v>
      </c>
      <c r="HI112" s="6" t="e">
        <f>IF(HI$2=MIN(Inputs!#REF!,Inputs!#REF!),-(HI109+HI111),0)</f>
        <v>#REF!</v>
      </c>
      <c r="HJ112" s="6" t="e">
        <f>IF(HJ$2=MIN(Inputs!#REF!,Inputs!#REF!),-(HJ109+HJ111),0)</f>
        <v>#REF!</v>
      </c>
      <c r="HK112" s="6" t="e">
        <f>IF(HK$2=MIN(Inputs!#REF!,Inputs!#REF!),-(HK109+HK111),0)</f>
        <v>#REF!</v>
      </c>
      <c r="HL112" s="6" t="e">
        <f>IF(HL$2=MIN(Inputs!#REF!,Inputs!#REF!),-(HL109+HL111),0)</f>
        <v>#REF!</v>
      </c>
      <c r="HM112" s="6" t="e">
        <f>IF(HM$2=MIN(Inputs!#REF!,Inputs!#REF!),-(HM109+HM111),0)</f>
        <v>#REF!</v>
      </c>
      <c r="HN112" s="6" t="e">
        <f>IF(HN$2=MIN(Inputs!#REF!,Inputs!#REF!),-(HN109+HN111),0)</f>
        <v>#REF!</v>
      </c>
      <c r="HO112" s="6" t="e">
        <f>IF(HO$2=MIN(Inputs!#REF!,Inputs!#REF!),-(HO109+HO111),0)</f>
        <v>#REF!</v>
      </c>
      <c r="HP112" s="6" t="e">
        <f>IF(HP$2=MIN(Inputs!#REF!,Inputs!#REF!),-(HP109+HP111),0)</f>
        <v>#REF!</v>
      </c>
      <c r="HQ112" s="6" t="e">
        <f>IF(HQ$2=MIN(Inputs!#REF!,Inputs!#REF!),-(HQ109+HQ111),0)</f>
        <v>#REF!</v>
      </c>
      <c r="HR112" s="6" t="e">
        <f>IF(HR$2=MIN(Inputs!#REF!,Inputs!#REF!),-(HR109+HR111),0)</f>
        <v>#REF!</v>
      </c>
      <c r="HS112" s="6" t="e">
        <f>IF(HS$2=MIN(Inputs!#REF!,Inputs!#REF!),-(HS109+HS111),0)</f>
        <v>#REF!</v>
      </c>
      <c r="HT112" s="6" t="e">
        <f>IF(HT$2=MIN(Inputs!#REF!,Inputs!#REF!),-(HT109+HT111),0)</f>
        <v>#REF!</v>
      </c>
      <c r="HU112" s="6" t="e">
        <f>IF(HU$2=MIN(Inputs!#REF!,Inputs!#REF!),-(HU109+HU111),0)</f>
        <v>#REF!</v>
      </c>
      <c r="HV112" s="6" t="e">
        <f>IF(HV$2=MIN(Inputs!#REF!,Inputs!#REF!),-(HV109+HV111),0)</f>
        <v>#REF!</v>
      </c>
      <c r="HW112" s="6" t="e">
        <f>IF(HW$2=MIN(Inputs!#REF!,Inputs!#REF!),-(HW109+HW111),0)</f>
        <v>#REF!</v>
      </c>
      <c r="HX112" s="6" t="e">
        <f>IF(HX$2=MIN(Inputs!#REF!,Inputs!#REF!),-(HX109+HX111),0)</f>
        <v>#REF!</v>
      </c>
      <c r="HY112" s="6" t="e">
        <f>IF(HY$2=MIN(Inputs!#REF!,Inputs!#REF!),-(HY109+HY111),0)</f>
        <v>#REF!</v>
      </c>
      <c r="HZ112" s="6" t="e">
        <f>IF(HZ$2=MIN(Inputs!#REF!,Inputs!#REF!),-(HZ109+HZ111),0)</f>
        <v>#REF!</v>
      </c>
      <c r="IA112" s="6" t="e">
        <f>IF(IA$2=MIN(Inputs!#REF!,Inputs!#REF!),-(IA109+IA111),0)</f>
        <v>#REF!</v>
      </c>
      <c r="IB112" s="6" t="e">
        <f>IF(IB$2=MIN(Inputs!#REF!,Inputs!#REF!),-(IB109+IB111),0)</f>
        <v>#REF!</v>
      </c>
      <c r="IC112" s="6" t="e">
        <f>IF(IC$2=MIN(Inputs!#REF!,Inputs!#REF!),-(IC109+IC111),0)</f>
        <v>#REF!</v>
      </c>
      <c r="ID112" s="6" t="e">
        <f>IF(ID$2=MIN(Inputs!#REF!,Inputs!#REF!),-(ID109+ID111),0)</f>
        <v>#REF!</v>
      </c>
      <c r="IE112" s="6" t="e">
        <f>IF(IE$2=MIN(Inputs!#REF!,Inputs!#REF!),-(IE109+IE111),0)</f>
        <v>#REF!</v>
      </c>
      <c r="IF112" s="6" t="e">
        <f>IF(IF$2=MIN(Inputs!#REF!,Inputs!#REF!),-(IF109+IF111),0)</f>
        <v>#REF!</v>
      </c>
      <c r="IG112" s="6" t="e">
        <f>IF(IG$2=MIN(Inputs!#REF!,Inputs!#REF!),-(IG109+IG111),0)</f>
        <v>#REF!</v>
      </c>
      <c r="IH112" s="6" t="e">
        <f>IF(IH$2=MIN(Inputs!#REF!,Inputs!#REF!),-(IH109+IH111),0)</f>
        <v>#REF!</v>
      </c>
      <c r="II112" s="6" t="e">
        <f>IF(II$2=MIN(Inputs!#REF!,Inputs!#REF!),-(II109+II111),0)</f>
        <v>#REF!</v>
      </c>
      <c r="IJ112" s="6" t="e">
        <f>IF(IJ$2=MIN(Inputs!#REF!,Inputs!#REF!),-(IJ109+IJ111),0)</f>
        <v>#REF!</v>
      </c>
      <c r="IK112" s="6" t="e">
        <f>IF(IK$2=MIN(Inputs!#REF!,Inputs!#REF!),-(IK109+IK111),0)</f>
        <v>#REF!</v>
      </c>
      <c r="IL112" s="6" t="e">
        <f>IF(IL$2=MIN(Inputs!#REF!,Inputs!#REF!),-(IL109+IL111),0)</f>
        <v>#REF!</v>
      </c>
      <c r="IM112" s="6" t="e">
        <f>IF(IM$2=MIN(Inputs!#REF!,Inputs!#REF!),-(IM109+IM111),0)</f>
        <v>#REF!</v>
      </c>
      <c r="IN112" s="6" t="e">
        <f>IF(IN$2=MIN(Inputs!#REF!,Inputs!#REF!),-(IN109+IN111),0)</f>
        <v>#REF!</v>
      </c>
      <c r="IO112" s="6" t="e">
        <f>IF(IO$2=MIN(Inputs!#REF!,Inputs!#REF!),-(IO109+IO111),0)</f>
        <v>#REF!</v>
      </c>
      <c r="IP112" s="6" t="e">
        <f>IF(IP$2=MIN(Inputs!#REF!,Inputs!#REF!),-(IP109+IP111),0)</f>
        <v>#REF!</v>
      </c>
      <c r="IQ112" s="6" t="e">
        <f>IF(IQ$2=MIN(Inputs!#REF!,Inputs!#REF!),-(IQ109+IQ111),0)</f>
        <v>#REF!</v>
      </c>
      <c r="IR112" s="6" t="e">
        <f>IF(IR$2=MIN(Inputs!#REF!,Inputs!#REF!),-(IR109+IR111),0)</f>
        <v>#REF!</v>
      </c>
      <c r="IS112" s="6" t="e">
        <f>IF(IS$2=MIN(Inputs!#REF!,Inputs!#REF!),-(IS109+IS111),0)</f>
        <v>#REF!</v>
      </c>
      <c r="IT112" s="6" t="e">
        <f>IF(IT$2=MIN(Inputs!#REF!,Inputs!#REF!),-(IT109+IT111),0)</f>
        <v>#REF!</v>
      </c>
      <c r="IU112" s="6" t="e">
        <f>IF(IU$2=MIN(Inputs!#REF!,Inputs!#REF!),-(IU109+IU111),0)</f>
        <v>#REF!</v>
      </c>
      <c r="IV112" s="6" t="e">
        <f>IF(IV$2=MIN(Inputs!#REF!,Inputs!#REF!),-(IV109+IV111),0)</f>
        <v>#REF!</v>
      </c>
      <c r="IW112" s="6" t="e">
        <f>IF(IW$2=MIN(Inputs!#REF!,Inputs!#REF!),-(IW109+IW111),0)</f>
        <v>#REF!</v>
      </c>
      <c r="IX112" s="6" t="e">
        <f>IF(IX$2=MIN(Inputs!#REF!,Inputs!#REF!),-(IX109+IX111),0)</f>
        <v>#REF!</v>
      </c>
      <c r="IY112" s="6" t="e">
        <f>IF(IY$2=MIN(Inputs!#REF!,Inputs!#REF!),-(IY109+IY111),0)</f>
        <v>#REF!</v>
      </c>
      <c r="IZ112" s="6" t="e">
        <f>IF(IZ$2=MIN(Inputs!#REF!,Inputs!#REF!),-(IZ109+IZ111),0)</f>
        <v>#REF!</v>
      </c>
      <c r="JA112" s="6" t="e">
        <f>IF(JA$2=MIN(Inputs!#REF!,Inputs!#REF!),-(JA109+JA111),0)</f>
        <v>#REF!</v>
      </c>
      <c r="JB112" s="6" t="e">
        <f>IF(JB$2=MIN(Inputs!#REF!,Inputs!#REF!),-(JB109+JB111),0)</f>
        <v>#REF!</v>
      </c>
      <c r="JC112" s="6" t="e">
        <f>IF(JC$2=MIN(Inputs!#REF!,Inputs!#REF!),-(JC109+JC111),0)</f>
        <v>#REF!</v>
      </c>
      <c r="JD112" s="6" t="e">
        <f>IF(JD$2=MIN(Inputs!#REF!,Inputs!#REF!),-(JD109+JD111),0)</f>
        <v>#REF!</v>
      </c>
      <c r="JE112" s="6" t="e">
        <f>IF(JE$2=MIN(Inputs!#REF!,Inputs!#REF!),-(JE109+JE111),0)</f>
        <v>#REF!</v>
      </c>
      <c r="JF112" s="6" t="e">
        <f>IF(JF$2=MIN(Inputs!#REF!,Inputs!#REF!),-(JF109+JF111),0)</f>
        <v>#REF!</v>
      </c>
      <c r="JG112" s="6" t="e">
        <f>IF(JG$2=MIN(Inputs!#REF!,Inputs!#REF!),-(JG109+JG111),0)</f>
        <v>#REF!</v>
      </c>
      <c r="JH112" s="6" t="e">
        <f>IF(JH$2=MIN(Inputs!#REF!,Inputs!#REF!),-(JH109+JH111),0)</f>
        <v>#REF!</v>
      </c>
      <c r="JI112" s="6" t="e">
        <f>IF(JI$2=MIN(Inputs!#REF!,Inputs!#REF!),-(JI109+JI111),0)</f>
        <v>#REF!</v>
      </c>
      <c r="JJ112" s="6" t="e">
        <f>IF(JJ$2=MIN(Inputs!#REF!,Inputs!#REF!),-(JJ109+JJ111),0)</f>
        <v>#REF!</v>
      </c>
      <c r="JK112" s="6" t="e">
        <f>IF(JK$2=MIN(Inputs!#REF!,Inputs!#REF!),-(JK109+JK111),0)</f>
        <v>#REF!</v>
      </c>
      <c r="JL112" s="6" t="e">
        <f>IF(JL$2=MIN(Inputs!#REF!,Inputs!#REF!),-(JL109+JL111),0)</f>
        <v>#REF!</v>
      </c>
      <c r="JM112" s="6" t="e">
        <f>IF(JM$2=MIN(Inputs!#REF!,Inputs!#REF!),-(JM109+JM111),0)</f>
        <v>#REF!</v>
      </c>
      <c r="JN112" s="6" t="e">
        <f>IF(JN$2=MIN(Inputs!#REF!,Inputs!#REF!),-(JN109+JN111),0)</f>
        <v>#REF!</v>
      </c>
      <c r="JO112" s="6" t="e">
        <f>IF(JO$2=MIN(Inputs!#REF!,Inputs!#REF!),-(JO109+JO111),0)</f>
        <v>#REF!</v>
      </c>
      <c r="JP112" s="6" t="e">
        <f>IF(JP$2=MIN(Inputs!#REF!,Inputs!#REF!),-(JP109+JP111),0)</f>
        <v>#REF!</v>
      </c>
      <c r="JQ112" s="6" t="e">
        <f>IF(JQ$2=MIN(Inputs!#REF!,Inputs!#REF!),-(JQ109+JQ111),0)</f>
        <v>#REF!</v>
      </c>
      <c r="JR112" s="6" t="e">
        <f>IF(JR$2=MIN(Inputs!#REF!,Inputs!#REF!),-(JR109+JR111),0)</f>
        <v>#REF!</v>
      </c>
      <c r="JS112" s="6" t="e">
        <f>IF(JS$2=MIN(Inputs!#REF!,Inputs!#REF!),-(JS109+JS111),0)</f>
        <v>#REF!</v>
      </c>
      <c r="JT112" s="6" t="e">
        <f>IF(JT$2=MIN(Inputs!#REF!,Inputs!#REF!),-(JT109+JT111),0)</f>
        <v>#REF!</v>
      </c>
      <c r="JU112" s="6" t="e">
        <f>IF(JU$2=MIN(Inputs!#REF!,Inputs!#REF!),-(JU109+JU111),0)</f>
        <v>#REF!</v>
      </c>
      <c r="JV112" s="6" t="e">
        <f>IF(JV$2=MIN(Inputs!#REF!,Inputs!#REF!),-(JV109+JV111),0)</f>
        <v>#REF!</v>
      </c>
      <c r="JW112" s="6" t="e">
        <f>IF(JW$2=MIN(Inputs!#REF!,Inputs!#REF!),-(JW109+JW111),0)</f>
        <v>#REF!</v>
      </c>
      <c r="JX112" s="6" t="e">
        <f>IF(JX$2=MIN(Inputs!#REF!,Inputs!#REF!),-(JX109+JX111),0)</f>
        <v>#REF!</v>
      </c>
      <c r="JY112" s="6" t="e">
        <f>IF(JY$2=MIN(Inputs!#REF!,Inputs!#REF!),-(JY109+JY111),0)</f>
        <v>#REF!</v>
      </c>
      <c r="JZ112" s="6" t="e">
        <f>IF(JZ$2=MIN(Inputs!#REF!,Inputs!#REF!),-(JZ109+JZ111),0)</f>
        <v>#REF!</v>
      </c>
      <c r="KA112" s="6" t="e">
        <f>IF(KA$2=MIN(Inputs!#REF!,Inputs!#REF!),-(KA109+KA111),0)</f>
        <v>#REF!</v>
      </c>
      <c r="KB112" s="6" t="e">
        <f>IF(KB$2=MIN(Inputs!#REF!,Inputs!#REF!),-(KB109+KB111),0)</f>
        <v>#REF!</v>
      </c>
      <c r="KC112" s="6" t="e">
        <f>IF(KC$2=MIN(Inputs!#REF!,Inputs!#REF!),-(KC109+KC111),0)</f>
        <v>#REF!</v>
      </c>
      <c r="KD112" s="6" t="e">
        <f>IF(KD$2=MIN(Inputs!#REF!,Inputs!#REF!),-(KD109+KD111),0)</f>
        <v>#REF!</v>
      </c>
      <c r="KE112" s="6" t="e">
        <f>IF(KE$2=MIN(Inputs!#REF!,Inputs!#REF!),-(KE109+KE111),0)</f>
        <v>#REF!</v>
      </c>
      <c r="KF112" s="6" t="e">
        <f>IF(KF$2=MIN(Inputs!#REF!,Inputs!#REF!),-(KF109+KF111),0)</f>
        <v>#REF!</v>
      </c>
      <c r="KG112" s="6" t="e">
        <f>IF(KG$2=MIN(Inputs!#REF!,Inputs!#REF!),-(KG109+KG111),0)</f>
        <v>#REF!</v>
      </c>
      <c r="KH112" s="6" t="e">
        <f>IF(KH$2=MIN(Inputs!#REF!,Inputs!#REF!),-(KH109+KH111),0)</f>
        <v>#REF!</v>
      </c>
      <c r="KI112" s="6" t="e">
        <f>IF(KI$2=MIN(Inputs!#REF!,Inputs!#REF!),-(KI109+KI111),0)</f>
        <v>#REF!</v>
      </c>
      <c r="KJ112" s="6" t="e">
        <f>IF(KJ$2=MIN(Inputs!#REF!,Inputs!#REF!),-(KJ109+KJ111),0)</f>
        <v>#REF!</v>
      </c>
      <c r="KK112" s="6" t="e">
        <f>IF(KK$2=MIN(Inputs!#REF!,Inputs!#REF!),-(KK109+KK111),0)</f>
        <v>#REF!</v>
      </c>
      <c r="KL112" s="6" t="e">
        <f>IF(KL$2=MIN(Inputs!#REF!,Inputs!#REF!),-(KL109+KL111),0)</f>
        <v>#REF!</v>
      </c>
      <c r="KM112" s="6" t="e">
        <f>IF(KM$2=MIN(Inputs!#REF!,Inputs!#REF!),-(KM109+KM111),0)</f>
        <v>#REF!</v>
      </c>
      <c r="KN112" s="6" t="e">
        <f>IF(KN$2=MIN(Inputs!#REF!,Inputs!#REF!),-(KN109+KN111),0)</f>
        <v>#REF!</v>
      </c>
      <c r="KO112" s="6" t="e">
        <f>IF(KO$2=MIN(Inputs!#REF!,Inputs!#REF!),-(KO109+KO111),0)</f>
        <v>#REF!</v>
      </c>
      <c r="KP112" s="6" t="e">
        <f>IF(KP$2=MIN(Inputs!#REF!,Inputs!#REF!),-(KP109+KP111),0)</f>
        <v>#REF!</v>
      </c>
      <c r="KQ112" s="6" t="e">
        <f>IF(KQ$2=MIN(Inputs!#REF!,Inputs!#REF!),-(KQ109+KQ111),0)</f>
        <v>#REF!</v>
      </c>
      <c r="KR112" s="6" t="e">
        <f>IF(KR$2=MIN(Inputs!#REF!,Inputs!#REF!),-(KR109+KR111),0)</f>
        <v>#REF!</v>
      </c>
      <c r="KS112" s="6" t="e">
        <f>IF(KS$2=MIN(Inputs!#REF!,Inputs!#REF!),-(KS109+KS111),0)</f>
        <v>#REF!</v>
      </c>
    </row>
    <row r="113" spans="2:305" s="6" customFormat="1" outlineLevel="1">
      <c r="B113" s="32" t="s">
        <v>29</v>
      </c>
      <c r="C113" s="32"/>
      <c r="D113"/>
      <c r="E113" s="36" t="e">
        <f>SUM(E109:E112)</f>
        <v>#REF!</v>
      </c>
      <c r="F113" s="36" t="e">
        <f t="shared" ref="F113:BQ113" si="420">SUM(F109:F112)</f>
        <v>#REF!</v>
      </c>
      <c r="G113" s="36" t="e">
        <f t="shared" si="420"/>
        <v>#REF!</v>
      </c>
      <c r="H113" s="36" t="e">
        <f t="shared" si="420"/>
        <v>#REF!</v>
      </c>
      <c r="I113" s="36" t="e">
        <f t="shared" si="420"/>
        <v>#REF!</v>
      </c>
      <c r="J113" s="36" t="e">
        <f t="shared" si="420"/>
        <v>#REF!</v>
      </c>
      <c r="K113" s="36" t="e">
        <f t="shared" si="420"/>
        <v>#REF!</v>
      </c>
      <c r="L113" s="36" t="e">
        <f t="shared" si="420"/>
        <v>#REF!</v>
      </c>
      <c r="M113" s="36" t="e">
        <f t="shared" si="420"/>
        <v>#REF!</v>
      </c>
      <c r="N113" s="36" t="e">
        <f t="shared" si="420"/>
        <v>#REF!</v>
      </c>
      <c r="O113" s="36" t="e">
        <f t="shared" si="420"/>
        <v>#REF!</v>
      </c>
      <c r="P113" s="36" t="e">
        <f t="shared" si="420"/>
        <v>#REF!</v>
      </c>
      <c r="Q113" s="36" t="e">
        <f t="shared" si="420"/>
        <v>#REF!</v>
      </c>
      <c r="R113" s="36" t="e">
        <f t="shared" si="420"/>
        <v>#REF!</v>
      </c>
      <c r="S113" s="36" t="e">
        <f t="shared" si="420"/>
        <v>#REF!</v>
      </c>
      <c r="T113" s="36" t="e">
        <f t="shared" si="420"/>
        <v>#REF!</v>
      </c>
      <c r="U113" s="36" t="e">
        <f t="shared" si="420"/>
        <v>#REF!</v>
      </c>
      <c r="V113" s="36" t="e">
        <f t="shared" si="420"/>
        <v>#REF!</v>
      </c>
      <c r="W113" s="36" t="e">
        <f t="shared" si="420"/>
        <v>#REF!</v>
      </c>
      <c r="X113" s="36" t="e">
        <f t="shared" si="420"/>
        <v>#REF!</v>
      </c>
      <c r="Y113" s="36" t="e">
        <f t="shared" si="420"/>
        <v>#REF!</v>
      </c>
      <c r="Z113" s="36" t="e">
        <f t="shared" si="420"/>
        <v>#REF!</v>
      </c>
      <c r="AA113" s="36" t="e">
        <f t="shared" si="420"/>
        <v>#REF!</v>
      </c>
      <c r="AB113" s="36" t="e">
        <f t="shared" si="420"/>
        <v>#REF!</v>
      </c>
      <c r="AC113" s="36" t="e">
        <f t="shared" si="420"/>
        <v>#REF!</v>
      </c>
      <c r="AD113" s="36" t="e">
        <f t="shared" si="420"/>
        <v>#REF!</v>
      </c>
      <c r="AE113" s="36" t="e">
        <f t="shared" si="420"/>
        <v>#REF!</v>
      </c>
      <c r="AF113" s="36" t="e">
        <f t="shared" si="420"/>
        <v>#REF!</v>
      </c>
      <c r="AG113" s="36" t="e">
        <f t="shared" si="420"/>
        <v>#REF!</v>
      </c>
      <c r="AH113" s="36" t="e">
        <f t="shared" si="420"/>
        <v>#REF!</v>
      </c>
      <c r="AI113" s="36" t="e">
        <f t="shared" si="420"/>
        <v>#REF!</v>
      </c>
      <c r="AJ113" s="36" t="e">
        <f t="shared" si="420"/>
        <v>#REF!</v>
      </c>
      <c r="AK113" s="36" t="e">
        <f t="shared" si="420"/>
        <v>#REF!</v>
      </c>
      <c r="AL113" s="36" t="e">
        <f t="shared" si="420"/>
        <v>#REF!</v>
      </c>
      <c r="AM113" s="36" t="e">
        <f t="shared" si="420"/>
        <v>#REF!</v>
      </c>
      <c r="AN113" s="36" t="e">
        <f t="shared" si="420"/>
        <v>#REF!</v>
      </c>
      <c r="AO113" s="36" t="e">
        <f t="shared" si="420"/>
        <v>#REF!</v>
      </c>
      <c r="AP113" s="36" t="e">
        <f t="shared" si="420"/>
        <v>#REF!</v>
      </c>
      <c r="AQ113" s="36" t="e">
        <f t="shared" si="420"/>
        <v>#REF!</v>
      </c>
      <c r="AR113" s="36" t="e">
        <f t="shared" si="420"/>
        <v>#REF!</v>
      </c>
      <c r="AS113" s="36" t="e">
        <f t="shared" si="420"/>
        <v>#REF!</v>
      </c>
      <c r="AT113" s="36" t="e">
        <f t="shared" si="420"/>
        <v>#REF!</v>
      </c>
      <c r="AU113" s="36" t="e">
        <f t="shared" si="420"/>
        <v>#REF!</v>
      </c>
      <c r="AV113" s="36" t="e">
        <f t="shared" si="420"/>
        <v>#REF!</v>
      </c>
      <c r="AW113" s="36" t="e">
        <f t="shared" si="420"/>
        <v>#REF!</v>
      </c>
      <c r="AX113" s="36" t="e">
        <f t="shared" si="420"/>
        <v>#REF!</v>
      </c>
      <c r="AY113" s="36" t="e">
        <f t="shared" si="420"/>
        <v>#REF!</v>
      </c>
      <c r="AZ113" s="36" t="e">
        <f t="shared" si="420"/>
        <v>#REF!</v>
      </c>
      <c r="BA113" s="36" t="e">
        <f t="shared" si="420"/>
        <v>#REF!</v>
      </c>
      <c r="BB113" s="36" t="e">
        <f t="shared" si="420"/>
        <v>#REF!</v>
      </c>
      <c r="BC113" s="36" t="e">
        <f t="shared" si="420"/>
        <v>#REF!</v>
      </c>
      <c r="BD113" s="36" t="e">
        <f t="shared" si="420"/>
        <v>#REF!</v>
      </c>
      <c r="BE113" s="36" t="e">
        <f t="shared" si="420"/>
        <v>#REF!</v>
      </c>
      <c r="BF113" s="36" t="e">
        <f t="shared" si="420"/>
        <v>#REF!</v>
      </c>
      <c r="BG113" s="36" t="e">
        <f t="shared" si="420"/>
        <v>#REF!</v>
      </c>
      <c r="BH113" s="36" t="e">
        <f t="shared" si="420"/>
        <v>#REF!</v>
      </c>
      <c r="BI113" s="36" t="e">
        <f t="shared" si="420"/>
        <v>#REF!</v>
      </c>
      <c r="BJ113" s="36" t="e">
        <f t="shared" si="420"/>
        <v>#REF!</v>
      </c>
      <c r="BK113" s="36" t="e">
        <f t="shared" si="420"/>
        <v>#REF!</v>
      </c>
      <c r="BL113" s="36" t="e">
        <f t="shared" si="420"/>
        <v>#REF!</v>
      </c>
      <c r="BM113" s="36" t="e">
        <f t="shared" si="420"/>
        <v>#REF!</v>
      </c>
      <c r="BN113" s="36" t="e">
        <f t="shared" si="420"/>
        <v>#REF!</v>
      </c>
      <c r="BO113" s="36" t="e">
        <f t="shared" si="420"/>
        <v>#REF!</v>
      </c>
      <c r="BP113" s="36" t="e">
        <f t="shared" si="420"/>
        <v>#REF!</v>
      </c>
      <c r="BQ113" s="36" t="e">
        <f t="shared" si="420"/>
        <v>#REF!</v>
      </c>
      <c r="BR113" s="36" t="e">
        <f t="shared" ref="BR113:EC113" si="421">SUM(BR109:BR112)</f>
        <v>#REF!</v>
      </c>
      <c r="BS113" s="36" t="e">
        <f t="shared" si="421"/>
        <v>#REF!</v>
      </c>
      <c r="BT113" s="36" t="e">
        <f t="shared" si="421"/>
        <v>#REF!</v>
      </c>
      <c r="BU113" s="36" t="e">
        <f t="shared" si="421"/>
        <v>#REF!</v>
      </c>
      <c r="BV113" s="36" t="e">
        <f t="shared" si="421"/>
        <v>#REF!</v>
      </c>
      <c r="BW113" s="36" t="e">
        <f t="shared" si="421"/>
        <v>#REF!</v>
      </c>
      <c r="BX113" s="36" t="e">
        <f t="shared" si="421"/>
        <v>#REF!</v>
      </c>
      <c r="BY113" s="36" t="e">
        <f t="shared" si="421"/>
        <v>#REF!</v>
      </c>
      <c r="BZ113" s="36" t="e">
        <f t="shared" si="421"/>
        <v>#REF!</v>
      </c>
      <c r="CA113" s="36" t="e">
        <f t="shared" si="421"/>
        <v>#REF!</v>
      </c>
      <c r="CB113" s="36" t="e">
        <f t="shared" si="421"/>
        <v>#REF!</v>
      </c>
      <c r="CC113" s="36" t="e">
        <f t="shared" si="421"/>
        <v>#REF!</v>
      </c>
      <c r="CD113" s="36" t="e">
        <f t="shared" si="421"/>
        <v>#REF!</v>
      </c>
      <c r="CE113" s="36" t="e">
        <f t="shared" si="421"/>
        <v>#REF!</v>
      </c>
      <c r="CF113" s="36" t="e">
        <f t="shared" si="421"/>
        <v>#REF!</v>
      </c>
      <c r="CG113" s="36" t="e">
        <f t="shared" si="421"/>
        <v>#REF!</v>
      </c>
      <c r="CH113" s="36" t="e">
        <f t="shared" si="421"/>
        <v>#REF!</v>
      </c>
      <c r="CI113" s="36" t="e">
        <f t="shared" si="421"/>
        <v>#REF!</v>
      </c>
      <c r="CJ113" s="36" t="e">
        <f t="shared" si="421"/>
        <v>#REF!</v>
      </c>
      <c r="CK113" s="36" t="e">
        <f t="shared" si="421"/>
        <v>#REF!</v>
      </c>
      <c r="CL113" s="36" t="e">
        <f t="shared" si="421"/>
        <v>#REF!</v>
      </c>
      <c r="CM113" s="36" t="e">
        <f t="shared" si="421"/>
        <v>#REF!</v>
      </c>
      <c r="CN113" s="36" t="e">
        <f t="shared" si="421"/>
        <v>#REF!</v>
      </c>
      <c r="CO113" s="36" t="e">
        <f t="shared" si="421"/>
        <v>#REF!</v>
      </c>
      <c r="CP113" s="36" t="e">
        <f t="shared" si="421"/>
        <v>#REF!</v>
      </c>
      <c r="CQ113" s="36" t="e">
        <f t="shared" si="421"/>
        <v>#REF!</v>
      </c>
      <c r="CR113" s="36" t="e">
        <f t="shared" si="421"/>
        <v>#REF!</v>
      </c>
      <c r="CS113" s="36" t="e">
        <f t="shared" si="421"/>
        <v>#REF!</v>
      </c>
      <c r="CT113" s="36" t="e">
        <f t="shared" si="421"/>
        <v>#REF!</v>
      </c>
      <c r="CU113" s="36" t="e">
        <f t="shared" si="421"/>
        <v>#REF!</v>
      </c>
      <c r="CV113" s="36" t="e">
        <f t="shared" si="421"/>
        <v>#REF!</v>
      </c>
      <c r="CW113" s="36" t="e">
        <f t="shared" si="421"/>
        <v>#REF!</v>
      </c>
      <c r="CX113" s="36" t="e">
        <f t="shared" si="421"/>
        <v>#REF!</v>
      </c>
      <c r="CY113" s="36" t="e">
        <f t="shared" si="421"/>
        <v>#REF!</v>
      </c>
      <c r="CZ113" s="36" t="e">
        <f t="shared" si="421"/>
        <v>#REF!</v>
      </c>
      <c r="DA113" s="36" t="e">
        <f t="shared" si="421"/>
        <v>#REF!</v>
      </c>
      <c r="DB113" s="36" t="e">
        <f t="shared" si="421"/>
        <v>#REF!</v>
      </c>
      <c r="DC113" s="36" t="e">
        <f t="shared" si="421"/>
        <v>#REF!</v>
      </c>
      <c r="DD113" s="36" t="e">
        <f t="shared" si="421"/>
        <v>#REF!</v>
      </c>
      <c r="DE113" s="36" t="e">
        <f t="shared" si="421"/>
        <v>#REF!</v>
      </c>
      <c r="DF113" s="36" t="e">
        <f t="shared" si="421"/>
        <v>#REF!</v>
      </c>
      <c r="DG113" s="36" t="e">
        <f t="shared" si="421"/>
        <v>#REF!</v>
      </c>
      <c r="DH113" s="36" t="e">
        <f t="shared" si="421"/>
        <v>#REF!</v>
      </c>
      <c r="DI113" s="36" t="e">
        <f t="shared" si="421"/>
        <v>#REF!</v>
      </c>
      <c r="DJ113" s="36" t="e">
        <f t="shared" si="421"/>
        <v>#REF!</v>
      </c>
      <c r="DK113" s="36" t="e">
        <f t="shared" si="421"/>
        <v>#REF!</v>
      </c>
      <c r="DL113" s="36" t="e">
        <f t="shared" si="421"/>
        <v>#REF!</v>
      </c>
      <c r="DM113" s="36" t="e">
        <f t="shared" si="421"/>
        <v>#REF!</v>
      </c>
      <c r="DN113" s="36" t="e">
        <f t="shared" si="421"/>
        <v>#REF!</v>
      </c>
      <c r="DO113" s="36" t="e">
        <f t="shared" si="421"/>
        <v>#REF!</v>
      </c>
      <c r="DP113" s="36" t="e">
        <f t="shared" si="421"/>
        <v>#REF!</v>
      </c>
      <c r="DQ113" s="36" t="e">
        <f t="shared" si="421"/>
        <v>#REF!</v>
      </c>
      <c r="DR113" s="36" t="e">
        <f t="shared" si="421"/>
        <v>#REF!</v>
      </c>
      <c r="DS113" s="36" t="e">
        <f t="shared" si="421"/>
        <v>#REF!</v>
      </c>
      <c r="DT113" s="36" t="e">
        <f t="shared" si="421"/>
        <v>#REF!</v>
      </c>
      <c r="DU113" s="36" t="e">
        <f t="shared" si="421"/>
        <v>#REF!</v>
      </c>
      <c r="DV113" s="36" t="e">
        <f t="shared" si="421"/>
        <v>#REF!</v>
      </c>
      <c r="DW113" s="36" t="e">
        <f t="shared" si="421"/>
        <v>#REF!</v>
      </c>
      <c r="DX113" s="36" t="e">
        <f t="shared" si="421"/>
        <v>#REF!</v>
      </c>
      <c r="DY113" s="36" t="e">
        <f t="shared" si="421"/>
        <v>#REF!</v>
      </c>
      <c r="DZ113" s="36" t="e">
        <f t="shared" si="421"/>
        <v>#REF!</v>
      </c>
      <c r="EA113" s="36" t="e">
        <f t="shared" si="421"/>
        <v>#REF!</v>
      </c>
      <c r="EB113" s="36" t="e">
        <f t="shared" si="421"/>
        <v>#REF!</v>
      </c>
      <c r="EC113" s="36" t="e">
        <f t="shared" si="421"/>
        <v>#REF!</v>
      </c>
      <c r="ED113" s="36" t="e">
        <f t="shared" ref="ED113:GO113" si="422">SUM(ED109:ED112)</f>
        <v>#REF!</v>
      </c>
      <c r="EE113" s="36" t="e">
        <f t="shared" si="422"/>
        <v>#REF!</v>
      </c>
      <c r="EF113" s="36" t="e">
        <f t="shared" si="422"/>
        <v>#REF!</v>
      </c>
      <c r="EG113" s="36" t="e">
        <f t="shared" si="422"/>
        <v>#REF!</v>
      </c>
      <c r="EH113" s="36" t="e">
        <f t="shared" si="422"/>
        <v>#REF!</v>
      </c>
      <c r="EI113" s="36" t="e">
        <f t="shared" si="422"/>
        <v>#REF!</v>
      </c>
      <c r="EJ113" s="36" t="e">
        <f t="shared" si="422"/>
        <v>#REF!</v>
      </c>
      <c r="EK113" s="36" t="e">
        <f t="shared" si="422"/>
        <v>#REF!</v>
      </c>
      <c r="EL113" s="36" t="e">
        <f t="shared" si="422"/>
        <v>#REF!</v>
      </c>
      <c r="EM113" s="36" t="e">
        <f t="shared" si="422"/>
        <v>#REF!</v>
      </c>
      <c r="EN113" s="36" t="e">
        <f t="shared" si="422"/>
        <v>#REF!</v>
      </c>
      <c r="EO113" s="36" t="e">
        <f t="shared" si="422"/>
        <v>#REF!</v>
      </c>
      <c r="EP113" s="36" t="e">
        <f t="shared" si="422"/>
        <v>#REF!</v>
      </c>
      <c r="EQ113" s="36" t="e">
        <f t="shared" si="422"/>
        <v>#REF!</v>
      </c>
      <c r="ER113" s="36" t="e">
        <f t="shared" si="422"/>
        <v>#REF!</v>
      </c>
      <c r="ES113" s="36" t="e">
        <f t="shared" si="422"/>
        <v>#REF!</v>
      </c>
      <c r="ET113" s="36" t="e">
        <f t="shared" si="422"/>
        <v>#REF!</v>
      </c>
      <c r="EU113" s="36" t="e">
        <f t="shared" si="422"/>
        <v>#REF!</v>
      </c>
      <c r="EV113" s="36" t="e">
        <f t="shared" si="422"/>
        <v>#REF!</v>
      </c>
      <c r="EW113" s="36" t="e">
        <f t="shared" si="422"/>
        <v>#REF!</v>
      </c>
      <c r="EX113" s="36" t="e">
        <f t="shared" si="422"/>
        <v>#REF!</v>
      </c>
      <c r="EY113" s="36" t="e">
        <f t="shared" si="422"/>
        <v>#REF!</v>
      </c>
      <c r="EZ113" s="36" t="e">
        <f t="shared" si="422"/>
        <v>#REF!</v>
      </c>
      <c r="FA113" s="36" t="e">
        <f t="shared" si="422"/>
        <v>#REF!</v>
      </c>
      <c r="FB113" s="36" t="e">
        <f t="shared" si="422"/>
        <v>#REF!</v>
      </c>
      <c r="FC113" s="36" t="e">
        <f t="shared" si="422"/>
        <v>#REF!</v>
      </c>
      <c r="FD113" s="36" t="e">
        <f t="shared" si="422"/>
        <v>#REF!</v>
      </c>
      <c r="FE113" s="36" t="e">
        <f t="shared" si="422"/>
        <v>#REF!</v>
      </c>
      <c r="FF113" s="36" t="e">
        <f t="shared" si="422"/>
        <v>#REF!</v>
      </c>
      <c r="FG113" s="36" t="e">
        <f t="shared" si="422"/>
        <v>#REF!</v>
      </c>
      <c r="FH113" s="36" t="e">
        <f t="shared" si="422"/>
        <v>#REF!</v>
      </c>
      <c r="FI113" s="36" t="e">
        <f t="shared" si="422"/>
        <v>#REF!</v>
      </c>
      <c r="FJ113" s="36" t="e">
        <f t="shared" si="422"/>
        <v>#REF!</v>
      </c>
      <c r="FK113" s="36" t="e">
        <f t="shared" si="422"/>
        <v>#REF!</v>
      </c>
      <c r="FL113" s="36" t="e">
        <f t="shared" si="422"/>
        <v>#REF!</v>
      </c>
      <c r="FM113" s="36" t="e">
        <f t="shared" si="422"/>
        <v>#REF!</v>
      </c>
      <c r="FN113" s="36" t="e">
        <f t="shared" si="422"/>
        <v>#REF!</v>
      </c>
      <c r="FO113" s="36" t="e">
        <f t="shared" si="422"/>
        <v>#REF!</v>
      </c>
      <c r="FP113" s="36" t="e">
        <f t="shared" si="422"/>
        <v>#REF!</v>
      </c>
      <c r="FQ113" s="36" t="e">
        <f t="shared" si="422"/>
        <v>#REF!</v>
      </c>
      <c r="FR113" s="36" t="e">
        <f t="shared" si="422"/>
        <v>#REF!</v>
      </c>
      <c r="FS113" s="36" t="e">
        <f t="shared" si="422"/>
        <v>#REF!</v>
      </c>
      <c r="FT113" s="36" t="e">
        <f t="shared" si="422"/>
        <v>#REF!</v>
      </c>
      <c r="FU113" s="36" t="e">
        <f t="shared" si="422"/>
        <v>#REF!</v>
      </c>
      <c r="FV113" s="36" t="e">
        <f t="shared" si="422"/>
        <v>#REF!</v>
      </c>
      <c r="FW113" s="36" t="e">
        <f t="shared" si="422"/>
        <v>#REF!</v>
      </c>
      <c r="FX113" s="36" t="e">
        <f t="shared" si="422"/>
        <v>#REF!</v>
      </c>
      <c r="FY113" s="36" t="e">
        <f t="shared" si="422"/>
        <v>#REF!</v>
      </c>
      <c r="FZ113" s="36" t="e">
        <f t="shared" si="422"/>
        <v>#REF!</v>
      </c>
      <c r="GA113" s="36" t="e">
        <f t="shared" si="422"/>
        <v>#REF!</v>
      </c>
      <c r="GB113" s="36" t="e">
        <f t="shared" si="422"/>
        <v>#REF!</v>
      </c>
      <c r="GC113" s="36" t="e">
        <f t="shared" si="422"/>
        <v>#REF!</v>
      </c>
      <c r="GD113" s="36" t="e">
        <f t="shared" si="422"/>
        <v>#REF!</v>
      </c>
      <c r="GE113" s="36" t="e">
        <f t="shared" si="422"/>
        <v>#REF!</v>
      </c>
      <c r="GF113" s="36" t="e">
        <f t="shared" si="422"/>
        <v>#REF!</v>
      </c>
      <c r="GG113" s="36" t="e">
        <f t="shared" si="422"/>
        <v>#REF!</v>
      </c>
      <c r="GH113" s="36" t="e">
        <f t="shared" si="422"/>
        <v>#REF!</v>
      </c>
      <c r="GI113" s="36" t="e">
        <f t="shared" si="422"/>
        <v>#REF!</v>
      </c>
      <c r="GJ113" s="36" t="e">
        <f t="shared" si="422"/>
        <v>#REF!</v>
      </c>
      <c r="GK113" s="36" t="e">
        <f t="shared" si="422"/>
        <v>#REF!</v>
      </c>
      <c r="GL113" s="36" t="e">
        <f t="shared" si="422"/>
        <v>#REF!</v>
      </c>
      <c r="GM113" s="36" t="e">
        <f t="shared" si="422"/>
        <v>#REF!</v>
      </c>
      <c r="GN113" s="36" t="e">
        <f t="shared" si="422"/>
        <v>#REF!</v>
      </c>
      <c r="GO113" s="36" t="e">
        <f t="shared" si="422"/>
        <v>#REF!</v>
      </c>
      <c r="GP113" s="36" t="e">
        <f t="shared" ref="GP113:JA113" si="423">SUM(GP109:GP112)</f>
        <v>#REF!</v>
      </c>
      <c r="GQ113" s="36" t="e">
        <f t="shared" si="423"/>
        <v>#REF!</v>
      </c>
      <c r="GR113" s="36" t="e">
        <f t="shared" si="423"/>
        <v>#REF!</v>
      </c>
      <c r="GS113" s="36" t="e">
        <f t="shared" si="423"/>
        <v>#REF!</v>
      </c>
      <c r="GT113" s="36" t="e">
        <f t="shared" si="423"/>
        <v>#REF!</v>
      </c>
      <c r="GU113" s="36" t="e">
        <f t="shared" si="423"/>
        <v>#REF!</v>
      </c>
      <c r="GV113" s="36" t="e">
        <f t="shared" si="423"/>
        <v>#REF!</v>
      </c>
      <c r="GW113" s="36" t="e">
        <f t="shared" si="423"/>
        <v>#REF!</v>
      </c>
      <c r="GX113" s="36" t="e">
        <f t="shared" si="423"/>
        <v>#REF!</v>
      </c>
      <c r="GY113" s="36" t="e">
        <f t="shared" si="423"/>
        <v>#REF!</v>
      </c>
      <c r="GZ113" s="36" t="e">
        <f t="shared" si="423"/>
        <v>#REF!</v>
      </c>
      <c r="HA113" s="36" t="e">
        <f t="shared" si="423"/>
        <v>#REF!</v>
      </c>
      <c r="HB113" s="36" t="e">
        <f t="shared" si="423"/>
        <v>#REF!</v>
      </c>
      <c r="HC113" s="36" t="e">
        <f t="shared" si="423"/>
        <v>#REF!</v>
      </c>
      <c r="HD113" s="36" t="e">
        <f t="shared" si="423"/>
        <v>#REF!</v>
      </c>
      <c r="HE113" s="36" t="e">
        <f t="shared" si="423"/>
        <v>#REF!</v>
      </c>
      <c r="HF113" s="36" t="e">
        <f t="shared" si="423"/>
        <v>#REF!</v>
      </c>
      <c r="HG113" s="36" t="e">
        <f t="shared" si="423"/>
        <v>#REF!</v>
      </c>
      <c r="HH113" s="36" t="e">
        <f t="shared" si="423"/>
        <v>#REF!</v>
      </c>
      <c r="HI113" s="36" t="e">
        <f t="shared" si="423"/>
        <v>#REF!</v>
      </c>
      <c r="HJ113" s="36" t="e">
        <f t="shared" si="423"/>
        <v>#REF!</v>
      </c>
      <c r="HK113" s="36" t="e">
        <f t="shared" si="423"/>
        <v>#REF!</v>
      </c>
      <c r="HL113" s="36" t="e">
        <f t="shared" si="423"/>
        <v>#REF!</v>
      </c>
      <c r="HM113" s="36" t="e">
        <f t="shared" si="423"/>
        <v>#REF!</v>
      </c>
      <c r="HN113" s="36" t="e">
        <f t="shared" si="423"/>
        <v>#REF!</v>
      </c>
      <c r="HO113" s="36" t="e">
        <f t="shared" si="423"/>
        <v>#REF!</v>
      </c>
      <c r="HP113" s="36" t="e">
        <f t="shared" si="423"/>
        <v>#REF!</v>
      </c>
      <c r="HQ113" s="36" t="e">
        <f t="shared" si="423"/>
        <v>#REF!</v>
      </c>
      <c r="HR113" s="36" t="e">
        <f t="shared" si="423"/>
        <v>#REF!</v>
      </c>
      <c r="HS113" s="36" t="e">
        <f t="shared" si="423"/>
        <v>#REF!</v>
      </c>
      <c r="HT113" s="36" t="e">
        <f t="shared" si="423"/>
        <v>#REF!</v>
      </c>
      <c r="HU113" s="36" t="e">
        <f t="shared" si="423"/>
        <v>#REF!</v>
      </c>
      <c r="HV113" s="36" t="e">
        <f t="shared" si="423"/>
        <v>#REF!</v>
      </c>
      <c r="HW113" s="36" t="e">
        <f t="shared" si="423"/>
        <v>#REF!</v>
      </c>
      <c r="HX113" s="36" t="e">
        <f t="shared" si="423"/>
        <v>#REF!</v>
      </c>
      <c r="HY113" s="36" t="e">
        <f t="shared" si="423"/>
        <v>#REF!</v>
      </c>
      <c r="HZ113" s="36" t="e">
        <f t="shared" si="423"/>
        <v>#REF!</v>
      </c>
      <c r="IA113" s="36" t="e">
        <f t="shared" si="423"/>
        <v>#REF!</v>
      </c>
      <c r="IB113" s="36" t="e">
        <f t="shared" si="423"/>
        <v>#REF!</v>
      </c>
      <c r="IC113" s="36" t="e">
        <f t="shared" si="423"/>
        <v>#REF!</v>
      </c>
      <c r="ID113" s="36" t="e">
        <f t="shared" si="423"/>
        <v>#REF!</v>
      </c>
      <c r="IE113" s="36" t="e">
        <f t="shared" si="423"/>
        <v>#REF!</v>
      </c>
      <c r="IF113" s="36" t="e">
        <f t="shared" si="423"/>
        <v>#REF!</v>
      </c>
      <c r="IG113" s="36" t="e">
        <f t="shared" si="423"/>
        <v>#REF!</v>
      </c>
      <c r="IH113" s="36" t="e">
        <f t="shared" si="423"/>
        <v>#REF!</v>
      </c>
      <c r="II113" s="36" t="e">
        <f t="shared" si="423"/>
        <v>#REF!</v>
      </c>
      <c r="IJ113" s="36" t="e">
        <f t="shared" si="423"/>
        <v>#REF!</v>
      </c>
      <c r="IK113" s="36" t="e">
        <f t="shared" si="423"/>
        <v>#REF!</v>
      </c>
      <c r="IL113" s="36" t="e">
        <f t="shared" si="423"/>
        <v>#REF!</v>
      </c>
      <c r="IM113" s="36" t="e">
        <f t="shared" si="423"/>
        <v>#REF!</v>
      </c>
      <c r="IN113" s="36" t="e">
        <f t="shared" si="423"/>
        <v>#REF!</v>
      </c>
      <c r="IO113" s="36" t="e">
        <f t="shared" si="423"/>
        <v>#REF!</v>
      </c>
      <c r="IP113" s="36" t="e">
        <f t="shared" si="423"/>
        <v>#REF!</v>
      </c>
      <c r="IQ113" s="36" t="e">
        <f t="shared" si="423"/>
        <v>#REF!</v>
      </c>
      <c r="IR113" s="36" t="e">
        <f t="shared" si="423"/>
        <v>#REF!</v>
      </c>
      <c r="IS113" s="36" t="e">
        <f t="shared" si="423"/>
        <v>#REF!</v>
      </c>
      <c r="IT113" s="36" t="e">
        <f t="shared" si="423"/>
        <v>#REF!</v>
      </c>
      <c r="IU113" s="36" t="e">
        <f t="shared" si="423"/>
        <v>#REF!</v>
      </c>
      <c r="IV113" s="36" t="e">
        <f t="shared" si="423"/>
        <v>#REF!</v>
      </c>
      <c r="IW113" s="36" t="e">
        <f t="shared" si="423"/>
        <v>#REF!</v>
      </c>
      <c r="IX113" s="36" t="e">
        <f t="shared" si="423"/>
        <v>#REF!</v>
      </c>
      <c r="IY113" s="36" t="e">
        <f t="shared" si="423"/>
        <v>#REF!</v>
      </c>
      <c r="IZ113" s="36" t="e">
        <f t="shared" si="423"/>
        <v>#REF!</v>
      </c>
      <c r="JA113" s="36" t="e">
        <f t="shared" si="423"/>
        <v>#REF!</v>
      </c>
      <c r="JB113" s="36" t="e">
        <f t="shared" ref="JB113:KS113" si="424">SUM(JB109:JB112)</f>
        <v>#REF!</v>
      </c>
      <c r="JC113" s="36" t="e">
        <f t="shared" si="424"/>
        <v>#REF!</v>
      </c>
      <c r="JD113" s="36" t="e">
        <f t="shared" si="424"/>
        <v>#REF!</v>
      </c>
      <c r="JE113" s="36" t="e">
        <f t="shared" si="424"/>
        <v>#REF!</v>
      </c>
      <c r="JF113" s="36" t="e">
        <f t="shared" si="424"/>
        <v>#REF!</v>
      </c>
      <c r="JG113" s="36" t="e">
        <f t="shared" si="424"/>
        <v>#REF!</v>
      </c>
      <c r="JH113" s="36" t="e">
        <f t="shared" si="424"/>
        <v>#REF!</v>
      </c>
      <c r="JI113" s="36" t="e">
        <f t="shared" si="424"/>
        <v>#REF!</v>
      </c>
      <c r="JJ113" s="36" t="e">
        <f t="shared" si="424"/>
        <v>#REF!</v>
      </c>
      <c r="JK113" s="36" t="e">
        <f t="shared" si="424"/>
        <v>#REF!</v>
      </c>
      <c r="JL113" s="36" t="e">
        <f t="shared" si="424"/>
        <v>#REF!</v>
      </c>
      <c r="JM113" s="36" t="e">
        <f t="shared" si="424"/>
        <v>#REF!</v>
      </c>
      <c r="JN113" s="36" t="e">
        <f t="shared" si="424"/>
        <v>#REF!</v>
      </c>
      <c r="JO113" s="36" t="e">
        <f t="shared" si="424"/>
        <v>#REF!</v>
      </c>
      <c r="JP113" s="36" t="e">
        <f t="shared" si="424"/>
        <v>#REF!</v>
      </c>
      <c r="JQ113" s="36" t="e">
        <f t="shared" si="424"/>
        <v>#REF!</v>
      </c>
      <c r="JR113" s="36" t="e">
        <f t="shared" si="424"/>
        <v>#REF!</v>
      </c>
      <c r="JS113" s="36" t="e">
        <f t="shared" si="424"/>
        <v>#REF!</v>
      </c>
      <c r="JT113" s="36" t="e">
        <f t="shared" si="424"/>
        <v>#REF!</v>
      </c>
      <c r="JU113" s="36" t="e">
        <f t="shared" si="424"/>
        <v>#REF!</v>
      </c>
      <c r="JV113" s="36" t="e">
        <f t="shared" si="424"/>
        <v>#REF!</v>
      </c>
      <c r="JW113" s="36" t="e">
        <f t="shared" si="424"/>
        <v>#REF!</v>
      </c>
      <c r="JX113" s="36" t="e">
        <f t="shared" si="424"/>
        <v>#REF!</v>
      </c>
      <c r="JY113" s="36" t="e">
        <f t="shared" si="424"/>
        <v>#REF!</v>
      </c>
      <c r="JZ113" s="36" t="e">
        <f t="shared" si="424"/>
        <v>#REF!</v>
      </c>
      <c r="KA113" s="36" t="e">
        <f t="shared" si="424"/>
        <v>#REF!</v>
      </c>
      <c r="KB113" s="36" t="e">
        <f t="shared" si="424"/>
        <v>#REF!</v>
      </c>
      <c r="KC113" s="36" t="e">
        <f t="shared" si="424"/>
        <v>#REF!</v>
      </c>
      <c r="KD113" s="36" t="e">
        <f t="shared" si="424"/>
        <v>#REF!</v>
      </c>
      <c r="KE113" s="36" t="e">
        <f t="shared" si="424"/>
        <v>#REF!</v>
      </c>
      <c r="KF113" s="36" t="e">
        <f t="shared" si="424"/>
        <v>#REF!</v>
      </c>
      <c r="KG113" s="36" t="e">
        <f t="shared" si="424"/>
        <v>#REF!</v>
      </c>
      <c r="KH113" s="36" t="e">
        <f t="shared" si="424"/>
        <v>#REF!</v>
      </c>
      <c r="KI113" s="36" t="e">
        <f t="shared" si="424"/>
        <v>#REF!</v>
      </c>
      <c r="KJ113" s="36" t="e">
        <f t="shared" si="424"/>
        <v>#REF!</v>
      </c>
      <c r="KK113" s="36" t="e">
        <f t="shared" si="424"/>
        <v>#REF!</v>
      </c>
      <c r="KL113" s="36" t="e">
        <f t="shared" si="424"/>
        <v>#REF!</v>
      </c>
      <c r="KM113" s="36" t="e">
        <f t="shared" si="424"/>
        <v>#REF!</v>
      </c>
      <c r="KN113" s="36" t="e">
        <f t="shared" si="424"/>
        <v>#REF!</v>
      </c>
      <c r="KO113" s="36" t="e">
        <f t="shared" si="424"/>
        <v>#REF!</v>
      </c>
      <c r="KP113" s="36" t="e">
        <f t="shared" si="424"/>
        <v>#REF!</v>
      </c>
      <c r="KQ113" s="36" t="e">
        <f t="shared" si="424"/>
        <v>#REF!</v>
      </c>
      <c r="KR113" s="36" t="e">
        <f t="shared" si="424"/>
        <v>#REF!</v>
      </c>
      <c r="KS113" s="36" t="e">
        <f t="shared" si="424"/>
        <v>#REF!</v>
      </c>
    </row>
    <row r="114" spans="2:305" s="6" customFormat="1" outlineLevel="1">
      <c r="B114" t="s">
        <v>44</v>
      </c>
      <c r="C114"/>
      <c r="D114"/>
      <c r="E114" s="6" t="e">
        <f>-D113*(Inputs!#REF!/12)</f>
        <v>#REF!</v>
      </c>
      <c r="F114" s="6" t="e">
        <f>-E113*(Inputs!#REF!/12)</f>
        <v>#REF!</v>
      </c>
      <c r="G114" s="6" t="e">
        <f>-F113*(Inputs!#REF!/12)</f>
        <v>#REF!</v>
      </c>
      <c r="H114" s="6" t="e">
        <f>-G113*(Inputs!#REF!/12)</f>
        <v>#REF!</v>
      </c>
      <c r="I114" s="6" t="e">
        <f>-H113*(Inputs!#REF!/12)</f>
        <v>#REF!</v>
      </c>
      <c r="J114" s="6" t="e">
        <f>-I113*(Inputs!#REF!/12)</f>
        <v>#REF!</v>
      </c>
      <c r="K114" s="6" t="e">
        <f>-J113*(Inputs!#REF!/12)</f>
        <v>#REF!</v>
      </c>
      <c r="L114" s="6" t="e">
        <f>-K113*(Inputs!#REF!/12)</f>
        <v>#REF!</v>
      </c>
      <c r="M114" s="6" t="e">
        <f>-L113*(Inputs!#REF!/12)</f>
        <v>#REF!</v>
      </c>
      <c r="N114" s="6" t="e">
        <f>-M113*(Inputs!#REF!/12)</f>
        <v>#REF!</v>
      </c>
      <c r="O114" s="6" t="e">
        <f>-N113*(Inputs!#REF!/12)</f>
        <v>#REF!</v>
      </c>
      <c r="P114" s="6" t="e">
        <f>-O113*(Inputs!#REF!/12)</f>
        <v>#REF!</v>
      </c>
      <c r="Q114" s="6" t="e">
        <f>-P113*(Inputs!#REF!/12)</f>
        <v>#REF!</v>
      </c>
      <c r="R114" s="6" t="e">
        <f>-Q113*(Inputs!#REF!/12)</f>
        <v>#REF!</v>
      </c>
      <c r="S114" s="6" t="e">
        <f>-R113*(Inputs!#REF!/12)</f>
        <v>#REF!</v>
      </c>
      <c r="T114" s="6" t="e">
        <f>-S113*(Inputs!#REF!/12)</f>
        <v>#REF!</v>
      </c>
      <c r="U114" s="6" t="e">
        <f>-T113*(Inputs!#REF!/12)</f>
        <v>#REF!</v>
      </c>
      <c r="V114" s="6" t="e">
        <f>-U113*(Inputs!#REF!/12)</f>
        <v>#REF!</v>
      </c>
      <c r="W114" s="6" t="e">
        <f>-V113*(Inputs!#REF!/12)</f>
        <v>#REF!</v>
      </c>
      <c r="X114" s="6" t="e">
        <f>-W113*(Inputs!#REF!/12)</f>
        <v>#REF!</v>
      </c>
      <c r="Y114" s="6" t="e">
        <f>-X113*(Inputs!#REF!/12)</f>
        <v>#REF!</v>
      </c>
      <c r="Z114" s="6" t="e">
        <f>-Y113*(Inputs!#REF!/12)</f>
        <v>#REF!</v>
      </c>
      <c r="AA114" s="6" t="e">
        <f>-Z113*(Inputs!#REF!/12)</f>
        <v>#REF!</v>
      </c>
      <c r="AB114" s="6" t="e">
        <f>-AA113*(Inputs!#REF!/12)</f>
        <v>#REF!</v>
      </c>
      <c r="AC114" s="6" t="e">
        <f>-AB113*(Inputs!#REF!/12)</f>
        <v>#REF!</v>
      </c>
      <c r="AD114" s="6" t="e">
        <f>-AC113*(Inputs!#REF!/12)</f>
        <v>#REF!</v>
      </c>
      <c r="AE114" s="6" t="e">
        <f>-AD113*(Inputs!#REF!/12)</f>
        <v>#REF!</v>
      </c>
      <c r="AF114" s="6" t="e">
        <f>-AE113*(Inputs!#REF!/12)</f>
        <v>#REF!</v>
      </c>
      <c r="AG114" s="6" t="e">
        <f>-AF113*(Inputs!#REF!/12)</f>
        <v>#REF!</v>
      </c>
      <c r="AH114" s="6" t="e">
        <f>-AG113*(Inputs!#REF!/12)</f>
        <v>#REF!</v>
      </c>
      <c r="AI114" s="6" t="e">
        <f>-AH113*(Inputs!#REF!/12)</f>
        <v>#REF!</v>
      </c>
      <c r="AJ114" s="6" t="e">
        <f>-AI113*(Inputs!#REF!/12)</f>
        <v>#REF!</v>
      </c>
      <c r="AK114" s="6" t="e">
        <f>-AJ113*(Inputs!#REF!/12)</f>
        <v>#REF!</v>
      </c>
      <c r="AL114" s="6" t="e">
        <f>-AK113*(Inputs!#REF!/12)</f>
        <v>#REF!</v>
      </c>
      <c r="AM114" s="6" t="e">
        <f>-AL113*(Inputs!#REF!/12)</f>
        <v>#REF!</v>
      </c>
      <c r="AN114" s="6" t="e">
        <f>-AM113*(Inputs!#REF!/12)</f>
        <v>#REF!</v>
      </c>
      <c r="AO114" s="6" t="e">
        <f>-AN113*(Inputs!#REF!/12)</f>
        <v>#REF!</v>
      </c>
      <c r="AP114" s="6" t="e">
        <f>-AO113*(Inputs!#REF!/12)</f>
        <v>#REF!</v>
      </c>
      <c r="AQ114" s="6" t="e">
        <f>-AP113*(Inputs!#REF!/12)</f>
        <v>#REF!</v>
      </c>
      <c r="AR114" s="6" t="e">
        <f>-AQ113*(Inputs!#REF!/12)</f>
        <v>#REF!</v>
      </c>
      <c r="AS114" s="6" t="e">
        <f>-AR113*(Inputs!#REF!/12)</f>
        <v>#REF!</v>
      </c>
      <c r="AT114" s="6" t="e">
        <f>-AS113*(Inputs!#REF!/12)</f>
        <v>#REF!</v>
      </c>
      <c r="AU114" s="6" t="e">
        <f>-AT113*(Inputs!#REF!/12)</f>
        <v>#REF!</v>
      </c>
      <c r="AV114" s="6" t="e">
        <f>-AU113*(Inputs!#REF!/12)</f>
        <v>#REF!</v>
      </c>
      <c r="AW114" s="6" t="e">
        <f>-AV113*(Inputs!#REF!/12)</f>
        <v>#REF!</v>
      </c>
      <c r="AX114" s="6" t="e">
        <f>-AW113*(Inputs!#REF!/12)</f>
        <v>#REF!</v>
      </c>
      <c r="AY114" s="6" t="e">
        <f>-AX113*(Inputs!#REF!/12)</f>
        <v>#REF!</v>
      </c>
      <c r="AZ114" s="6" t="e">
        <f>-AY113*(Inputs!#REF!/12)</f>
        <v>#REF!</v>
      </c>
      <c r="BA114" s="6" t="e">
        <f>-AZ113*(Inputs!#REF!/12)</f>
        <v>#REF!</v>
      </c>
      <c r="BB114" s="6" t="e">
        <f>-BA113*(Inputs!#REF!/12)</f>
        <v>#REF!</v>
      </c>
      <c r="BC114" s="6" t="e">
        <f>-BB113*(Inputs!#REF!/12)</f>
        <v>#REF!</v>
      </c>
      <c r="BD114" s="6" t="e">
        <f>-BC113*(Inputs!#REF!/12)</f>
        <v>#REF!</v>
      </c>
      <c r="BE114" s="6" t="e">
        <f>-BD113*(Inputs!#REF!/12)</f>
        <v>#REF!</v>
      </c>
      <c r="BF114" s="6" t="e">
        <f>-BE113*(Inputs!#REF!/12)</f>
        <v>#REF!</v>
      </c>
      <c r="BG114" s="6" t="e">
        <f>-BF113*(Inputs!#REF!/12)</f>
        <v>#REF!</v>
      </c>
      <c r="BH114" s="6" t="e">
        <f>-BG113*(Inputs!#REF!/12)</f>
        <v>#REF!</v>
      </c>
      <c r="BI114" s="6" t="e">
        <f>-BH113*(Inputs!#REF!/12)</f>
        <v>#REF!</v>
      </c>
      <c r="BJ114" s="6" t="e">
        <f>-BI113*(Inputs!#REF!/12)</f>
        <v>#REF!</v>
      </c>
      <c r="BK114" s="6" t="e">
        <f>-BJ113*(Inputs!#REF!/12)</f>
        <v>#REF!</v>
      </c>
      <c r="BL114" s="6" t="e">
        <f>-BK113*(Inputs!#REF!/12)</f>
        <v>#REF!</v>
      </c>
      <c r="BM114" s="6" t="e">
        <f>-BL113*(Inputs!#REF!/12)</f>
        <v>#REF!</v>
      </c>
      <c r="BN114" s="6" t="e">
        <f>-BM113*(Inputs!#REF!/12)</f>
        <v>#REF!</v>
      </c>
      <c r="BO114" s="6" t="e">
        <f>-BN113*(Inputs!#REF!/12)</f>
        <v>#REF!</v>
      </c>
      <c r="BP114" s="6" t="e">
        <f>-BO113*(Inputs!#REF!/12)</f>
        <v>#REF!</v>
      </c>
      <c r="BQ114" s="6" t="e">
        <f>-BP113*(Inputs!#REF!/12)</f>
        <v>#REF!</v>
      </c>
      <c r="BR114" s="6" t="e">
        <f>-BQ113*(Inputs!#REF!/12)</f>
        <v>#REF!</v>
      </c>
      <c r="BS114" s="6" t="e">
        <f>-BR113*(Inputs!#REF!/12)</f>
        <v>#REF!</v>
      </c>
      <c r="BT114" s="6" t="e">
        <f>-BS113*(Inputs!#REF!/12)</f>
        <v>#REF!</v>
      </c>
      <c r="BU114" s="6" t="e">
        <f>-BT113*(Inputs!#REF!/12)</f>
        <v>#REF!</v>
      </c>
      <c r="BV114" s="6" t="e">
        <f>-BU113*(Inputs!#REF!/12)</f>
        <v>#REF!</v>
      </c>
      <c r="BW114" s="6" t="e">
        <f>-BV113*(Inputs!#REF!/12)</f>
        <v>#REF!</v>
      </c>
      <c r="BX114" s="6" t="e">
        <f>-BW113*(Inputs!#REF!/12)</f>
        <v>#REF!</v>
      </c>
      <c r="BY114" s="6" t="e">
        <f>-BX113*(Inputs!#REF!/12)</f>
        <v>#REF!</v>
      </c>
      <c r="BZ114" s="6" t="e">
        <f>-BY113*(Inputs!#REF!/12)</f>
        <v>#REF!</v>
      </c>
      <c r="CA114" s="6" t="e">
        <f>-BZ113*(Inputs!#REF!/12)</f>
        <v>#REF!</v>
      </c>
      <c r="CB114" s="6" t="e">
        <f>-CA113*(Inputs!#REF!/12)</f>
        <v>#REF!</v>
      </c>
      <c r="CC114" s="6" t="e">
        <f>-CB113*(Inputs!#REF!/12)</f>
        <v>#REF!</v>
      </c>
      <c r="CD114" s="6" t="e">
        <f>-CC113*(Inputs!#REF!/12)</f>
        <v>#REF!</v>
      </c>
      <c r="CE114" s="6" t="e">
        <f>-CD113*(Inputs!#REF!/12)</f>
        <v>#REF!</v>
      </c>
      <c r="CF114" s="6" t="e">
        <f>-CE113*(Inputs!#REF!/12)</f>
        <v>#REF!</v>
      </c>
      <c r="CG114" s="6" t="e">
        <f>-CF113*(Inputs!#REF!/12)</f>
        <v>#REF!</v>
      </c>
      <c r="CH114" s="6" t="e">
        <f>-CG113*(Inputs!#REF!/12)</f>
        <v>#REF!</v>
      </c>
      <c r="CI114" s="6" t="e">
        <f>-CH113*(Inputs!#REF!/12)</f>
        <v>#REF!</v>
      </c>
      <c r="CJ114" s="6" t="e">
        <f>-CI113*(Inputs!#REF!/12)</f>
        <v>#REF!</v>
      </c>
      <c r="CK114" s="6" t="e">
        <f>-CJ113*(Inputs!#REF!/12)</f>
        <v>#REF!</v>
      </c>
      <c r="CL114" s="6" t="e">
        <f>-CK113*(Inputs!#REF!/12)</f>
        <v>#REF!</v>
      </c>
      <c r="CM114" s="6" t="e">
        <f>-CL113*(Inputs!#REF!/12)</f>
        <v>#REF!</v>
      </c>
      <c r="CN114" s="6" t="e">
        <f>-CM113*(Inputs!#REF!/12)</f>
        <v>#REF!</v>
      </c>
      <c r="CO114" s="6" t="e">
        <f>-CN113*(Inputs!#REF!/12)</f>
        <v>#REF!</v>
      </c>
      <c r="CP114" s="6" t="e">
        <f>-CO113*(Inputs!#REF!/12)</f>
        <v>#REF!</v>
      </c>
      <c r="CQ114" s="6" t="e">
        <f>-CP113*(Inputs!#REF!/12)</f>
        <v>#REF!</v>
      </c>
      <c r="CR114" s="6" t="e">
        <f>-CQ113*(Inputs!#REF!/12)</f>
        <v>#REF!</v>
      </c>
      <c r="CS114" s="6" t="e">
        <f>-CR113*(Inputs!#REF!/12)</f>
        <v>#REF!</v>
      </c>
      <c r="CT114" s="6" t="e">
        <f>-CS113*(Inputs!#REF!/12)</f>
        <v>#REF!</v>
      </c>
      <c r="CU114" s="6" t="e">
        <f>-CT113*(Inputs!#REF!/12)</f>
        <v>#REF!</v>
      </c>
      <c r="CV114" s="6" t="e">
        <f>-CU113*(Inputs!#REF!/12)</f>
        <v>#REF!</v>
      </c>
      <c r="CW114" s="6" t="e">
        <f>-CV113*(Inputs!#REF!/12)</f>
        <v>#REF!</v>
      </c>
      <c r="CX114" s="6" t="e">
        <f>-CW113*(Inputs!#REF!/12)</f>
        <v>#REF!</v>
      </c>
      <c r="CY114" s="6" t="e">
        <f>-CX113*(Inputs!#REF!/12)</f>
        <v>#REF!</v>
      </c>
      <c r="CZ114" s="6" t="e">
        <f>-CY113*(Inputs!#REF!/12)</f>
        <v>#REF!</v>
      </c>
      <c r="DA114" s="6" t="e">
        <f>-CZ113*(Inputs!#REF!/12)</f>
        <v>#REF!</v>
      </c>
      <c r="DB114" s="6" t="e">
        <f>-DA113*(Inputs!#REF!/12)</f>
        <v>#REF!</v>
      </c>
      <c r="DC114" s="6" t="e">
        <f>-DB113*(Inputs!#REF!/12)</f>
        <v>#REF!</v>
      </c>
      <c r="DD114" s="6" t="e">
        <f>-DC113*(Inputs!#REF!/12)</f>
        <v>#REF!</v>
      </c>
      <c r="DE114" s="6" t="e">
        <f>-DD113*(Inputs!#REF!/12)</f>
        <v>#REF!</v>
      </c>
      <c r="DF114" s="6" t="e">
        <f>-DE113*(Inputs!#REF!/12)</f>
        <v>#REF!</v>
      </c>
      <c r="DG114" s="6" t="e">
        <f>-DF113*(Inputs!#REF!/12)</f>
        <v>#REF!</v>
      </c>
      <c r="DH114" s="6" t="e">
        <f>-DG113*(Inputs!#REF!/12)</f>
        <v>#REF!</v>
      </c>
      <c r="DI114" s="6" t="e">
        <f>-DH113*(Inputs!#REF!/12)</f>
        <v>#REF!</v>
      </c>
      <c r="DJ114" s="6" t="e">
        <f>-DI113*(Inputs!#REF!/12)</f>
        <v>#REF!</v>
      </c>
      <c r="DK114" s="6" t="e">
        <f>-DJ113*(Inputs!#REF!/12)</f>
        <v>#REF!</v>
      </c>
      <c r="DL114" s="6" t="e">
        <f>-DK113*(Inputs!#REF!/12)</f>
        <v>#REF!</v>
      </c>
      <c r="DM114" s="6" t="e">
        <f>-DL113*(Inputs!#REF!/12)</f>
        <v>#REF!</v>
      </c>
      <c r="DN114" s="6" t="e">
        <f>-DM113*(Inputs!#REF!/12)</f>
        <v>#REF!</v>
      </c>
      <c r="DO114" s="6" t="e">
        <f>-DN113*(Inputs!#REF!/12)</f>
        <v>#REF!</v>
      </c>
      <c r="DP114" s="6" t="e">
        <f>-DO113*(Inputs!#REF!/12)</f>
        <v>#REF!</v>
      </c>
      <c r="DQ114" s="6" t="e">
        <f>-DP113*(Inputs!#REF!/12)</f>
        <v>#REF!</v>
      </c>
      <c r="DR114" s="6" t="e">
        <f>-DQ113*(Inputs!#REF!/12)</f>
        <v>#REF!</v>
      </c>
      <c r="DS114" s="6" t="e">
        <f>-DR113*(Inputs!#REF!/12)</f>
        <v>#REF!</v>
      </c>
      <c r="DT114" s="6" t="e">
        <f>-DS113*(Inputs!#REF!/12)</f>
        <v>#REF!</v>
      </c>
      <c r="DU114" s="6" t="e">
        <f>-DT113*(Inputs!#REF!/12)</f>
        <v>#REF!</v>
      </c>
      <c r="DV114" s="6" t="e">
        <f>-DU113*(Inputs!#REF!/12)</f>
        <v>#REF!</v>
      </c>
      <c r="DW114" s="6" t="e">
        <f>-DV113*(Inputs!#REF!/12)</f>
        <v>#REF!</v>
      </c>
      <c r="DX114" s="6" t="e">
        <f>-DW113*(Inputs!#REF!/12)</f>
        <v>#REF!</v>
      </c>
      <c r="DY114" s="6" t="e">
        <f>-DX113*(Inputs!#REF!/12)</f>
        <v>#REF!</v>
      </c>
      <c r="DZ114" s="6" t="e">
        <f>-DY113*(Inputs!#REF!/12)</f>
        <v>#REF!</v>
      </c>
      <c r="EA114" s="6" t="e">
        <f>-DZ113*(Inputs!#REF!/12)</f>
        <v>#REF!</v>
      </c>
      <c r="EB114" s="6" t="e">
        <f>-EA113*(Inputs!#REF!/12)</f>
        <v>#REF!</v>
      </c>
      <c r="EC114" s="6" t="e">
        <f>-EB113*(Inputs!#REF!/12)</f>
        <v>#REF!</v>
      </c>
      <c r="ED114" s="6" t="e">
        <f>-EC113*(Inputs!#REF!/12)</f>
        <v>#REF!</v>
      </c>
      <c r="EE114" s="6" t="e">
        <f>-ED113*(Inputs!#REF!/12)</f>
        <v>#REF!</v>
      </c>
      <c r="EF114" s="6" t="e">
        <f>-EE113*(Inputs!#REF!/12)</f>
        <v>#REF!</v>
      </c>
      <c r="EG114" s="6" t="e">
        <f>-EF113*(Inputs!#REF!/12)</f>
        <v>#REF!</v>
      </c>
      <c r="EH114" s="6" t="e">
        <f>-EG113*(Inputs!#REF!/12)</f>
        <v>#REF!</v>
      </c>
      <c r="EI114" s="6" t="e">
        <f>-EH113*(Inputs!#REF!/12)</f>
        <v>#REF!</v>
      </c>
      <c r="EJ114" s="6" t="e">
        <f>-EI113*(Inputs!#REF!/12)</f>
        <v>#REF!</v>
      </c>
      <c r="EK114" s="6" t="e">
        <f>-EJ113*(Inputs!#REF!/12)</f>
        <v>#REF!</v>
      </c>
      <c r="EL114" s="6" t="e">
        <f>-EK113*(Inputs!#REF!/12)</f>
        <v>#REF!</v>
      </c>
      <c r="EM114" s="6" t="e">
        <f>-EL113*(Inputs!#REF!/12)</f>
        <v>#REF!</v>
      </c>
      <c r="EN114" s="6" t="e">
        <f>-EM113*(Inputs!#REF!/12)</f>
        <v>#REF!</v>
      </c>
      <c r="EO114" s="6" t="e">
        <f>-EN113*(Inputs!#REF!/12)</f>
        <v>#REF!</v>
      </c>
      <c r="EP114" s="6" t="e">
        <f>-EO113*(Inputs!#REF!/12)</f>
        <v>#REF!</v>
      </c>
      <c r="EQ114" s="6" t="e">
        <f>-EP113*(Inputs!#REF!/12)</f>
        <v>#REF!</v>
      </c>
      <c r="ER114" s="6" t="e">
        <f>-EQ113*(Inputs!#REF!/12)</f>
        <v>#REF!</v>
      </c>
      <c r="ES114" s="6" t="e">
        <f>-ER113*(Inputs!#REF!/12)</f>
        <v>#REF!</v>
      </c>
      <c r="ET114" s="6" t="e">
        <f>-ES113*(Inputs!#REF!/12)</f>
        <v>#REF!</v>
      </c>
      <c r="EU114" s="6" t="e">
        <f>-ET113*(Inputs!#REF!/12)</f>
        <v>#REF!</v>
      </c>
      <c r="EV114" s="6" t="e">
        <f>-EU113*(Inputs!#REF!/12)</f>
        <v>#REF!</v>
      </c>
      <c r="EW114" s="6" t="e">
        <f>-EV113*(Inputs!#REF!/12)</f>
        <v>#REF!</v>
      </c>
      <c r="EX114" s="6" t="e">
        <f>-EW113*(Inputs!#REF!/12)</f>
        <v>#REF!</v>
      </c>
      <c r="EY114" s="6" t="e">
        <f>-EX113*(Inputs!#REF!/12)</f>
        <v>#REF!</v>
      </c>
      <c r="EZ114" s="6" t="e">
        <f>-EY113*(Inputs!#REF!/12)</f>
        <v>#REF!</v>
      </c>
      <c r="FA114" s="6" t="e">
        <f>-EZ113*(Inputs!#REF!/12)</f>
        <v>#REF!</v>
      </c>
      <c r="FB114" s="6" t="e">
        <f>-FA113*(Inputs!#REF!/12)</f>
        <v>#REF!</v>
      </c>
      <c r="FC114" s="6" t="e">
        <f>-FB113*(Inputs!#REF!/12)</f>
        <v>#REF!</v>
      </c>
      <c r="FD114" s="6" t="e">
        <f>-FC113*(Inputs!#REF!/12)</f>
        <v>#REF!</v>
      </c>
      <c r="FE114" s="6" t="e">
        <f>-FD113*(Inputs!#REF!/12)</f>
        <v>#REF!</v>
      </c>
      <c r="FF114" s="6" t="e">
        <f>-FE113*(Inputs!#REF!/12)</f>
        <v>#REF!</v>
      </c>
      <c r="FG114" s="6" t="e">
        <f>-FF113*(Inputs!#REF!/12)</f>
        <v>#REF!</v>
      </c>
      <c r="FH114" s="6" t="e">
        <f>-FG113*(Inputs!#REF!/12)</f>
        <v>#REF!</v>
      </c>
      <c r="FI114" s="6" t="e">
        <f>-FH113*(Inputs!#REF!/12)</f>
        <v>#REF!</v>
      </c>
      <c r="FJ114" s="6" t="e">
        <f>-FI113*(Inputs!#REF!/12)</f>
        <v>#REF!</v>
      </c>
      <c r="FK114" s="6" t="e">
        <f>-FJ113*(Inputs!#REF!/12)</f>
        <v>#REF!</v>
      </c>
      <c r="FL114" s="6" t="e">
        <f>-FK113*(Inputs!#REF!/12)</f>
        <v>#REF!</v>
      </c>
      <c r="FM114" s="6" t="e">
        <f>-FL113*(Inputs!#REF!/12)</f>
        <v>#REF!</v>
      </c>
      <c r="FN114" s="6" t="e">
        <f>-FM113*(Inputs!#REF!/12)</f>
        <v>#REF!</v>
      </c>
      <c r="FO114" s="6" t="e">
        <f>-FN113*(Inputs!#REF!/12)</f>
        <v>#REF!</v>
      </c>
      <c r="FP114" s="6" t="e">
        <f>-FO113*(Inputs!#REF!/12)</f>
        <v>#REF!</v>
      </c>
      <c r="FQ114" s="6" t="e">
        <f>-FP113*(Inputs!#REF!/12)</f>
        <v>#REF!</v>
      </c>
      <c r="FR114" s="6" t="e">
        <f>-FQ113*(Inputs!#REF!/12)</f>
        <v>#REF!</v>
      </c>
      <c r="FS114" s="6" t="e">
        <f>-FR113*(Inputs!#REF!/12)</f>
        <v>#REF!</v>
      </c>
      <c r="FT114" s="6" t="e">
        <f>-FS113*(Inputs!#REF!/12)</f>
        <v>#REF!</v>
      </c>
      <c r="FU114" s="6" t="e">
        <f>-FT113*(Inputs!#REF!/12)</f>
        <v>#REF!</v>
      </c>
      <c r="FV114" s="6" t="e">
        <f>-FU113*(Inputs!#REF!/12)</f>
        <v>#REF!</v>
      </c>
      <c r="FW114" s="6" t="e">
        <f>-FV113*(Inputs!#REF!/12)</f>
        <v>#REF!</v>
      </c>
      <c r="FX114" s="6" t="e">
        <f>-FW113*(Inputs!#REF!/12)</f>
        <v>#REF!</v>
      </c>
      <c r="FY114" s="6" t="e">
        <f>-FX113*(Inputs!#REF!/12)</f>
        <v>#REF!</v>
      </c>
      <c r="FZ114" s="6" t="e">
        <f>-FY113*(Inputs!#REF!/12)</f>
        <v>#REF!</v>
      </c>
      <c r="GA114" s="6" t="e">
        <f>-FZ113*(Inputs!#REF!/12)</f>
        <v>#REF!</v>
      </c>
      <c r="GB114" s="6" t="e">
        <f>-GA113*(Inputs!#REF!/12)</f>
        <v>#REF!</v>
      </c>
      <c r="GC114" s="6" t="e">
        <f>-GB113*(Inputs!#REF!/12)</f>
        <v>#REF!</v>
      </c>
      <c r="GD114" s="6" t="e">
        <f>-GC113*(Inputs!#REF!/12)</f>
        <v>#REF!</v>
      </c>
      <c r="GE114" s="6" t="e">
        <f>-GD113*(Inputs!#REF!/12)</f>
        <v>#REF!</v>
      </c>
      <c r="GF114" s="6" t="e">
        <f>-GE113*(Inputs!#REF!/12)</f>
        <v>#REF!</v>
      </c>
      <c r="GG114" s="6" t="e">
        <f>-GF113*(Inputs!#REF!/12)</f>
        <v>#REF!</v>
      </c>
      <c r="GH114" s="6" t="e">
        <f>-GG113*(Inputs!#REF!/12)</f>
        <v>#REF!</v>
      </c>
      <c r="GI114" s="6" t="e">
        <f>-GH113*(Inputs!#REF!/12)</f>
        <v>#REF!</v>
      </c>
      <c r="GJ114" s="6" t="e">
        <f>-GI113*(Inputs!#REF!/12)</f>
        <v>#REF!</v>
      </c>
      <c r="GK114" s="6" t="e">
        <f>-GJ113*(Inputs!#REF!/12)</f>
        <v>#REF!</v>
      </c>
      <c r="GL114" s="6" t="e">
        <f>-GK113*(Inputs!#REF!/12)</f>
        <v>#REF!</v>
      </c>
      <c r="GM114" s="6" t="e">
        <f>-GL113*(Inputs!#REF!/12)</f>
        <v>#REF!</v>
      </c>
      <c r="GN114" s="6" t="e">
        <f>-GM113*(Inputs!#REF!/12)</f>
        <v>#REF!</v>
      </c>
      <c r="GO114" s="6" t="e">
        <f>-GN113*(Inputs!#REF!/12)</f>
        <v>#REF!</v>
      </c>
      <c r="GP114" s="6" t="e">
        <f>-GO113*(Inputs!#REF!/12)</f>
        <v>#REF!</v>
      </c>
      <c r="GQ114" s="6" t="e">
        <f>-GP113*(Inputs!#REF!/12)</f>
        <v>#REF!</v>
      </c>
      <c r="GR114" s="6" t="e">
        <f>-GQ113*(Inputs!#REF!/12)</f>
        <v>#REF!</v>
      </c>
      <c r="GS114" s="6" t="e">
        <f>-GR113*(Inputs!#REF!/12)</f>
        <v>#REF!</v>
      </c>
      <c r="GT114" s="6" t="e">
        <f>-GS113*(Inputs!#REF!/12)</f>
        <v>#REF!</v>
      </c>
      <c r="GU114" s="6" t="e">
        <f>-GT113*(Inputs!#REF!/12)</f>
        <v>#REF!</v>
      </c>
      <c r="GV114" s="6" t="e">
        <f>-GU113*(Inputs!#REF!/12)</f>
        <v>#REF!</v>
      </c>
      <c r="GW114" s="6" t="e">
        <f>-GV113*(Inputs!#REF!/12)</f>
        <v>#REF!</v>
      </c>
      <c r="GX114" s="6" t="e">
        <f>-GW113*(Inputs!#REF!/12)</f>
        <v>#REF!</v>
      </c>
      <c r="GY114" s="6" t="e">
        <f>-GX113*(Inputs!#REF!/12)</f>
        <v>#REF!</v>
      </c>
      <c r="GZ114" s="6" t="e">
        <f>-GY113*(Inputs!#REF!/12)</f>
        <v>#REF!</v>
      </c>
      <c r="HA114" s="6" t="e">
        <f>-GZ113*(Inputs!#REF!/12)</f>
        <v>#REF!</v>
      </c>
      <c r="HB114" s="6" t="e">
        <f>-HA113*(Inputs!#REF!/12)</f>
        <v>#REF!</v>
      </c>
      <c r="HC114" s="6" t="e">
        <f>-HB113*(Inputs!#REF!/12)</f>
        <v>#REF!</v>
      </c>
      <c r="HD114" s="6" t="e">
        <f>-HC113*(Inputs!#REF!/12)</f>
        <v>#REF!</v>
      </c>
      <c r="HE114" s="6" t="e">
        <f>-HD113*(Inputs!#REF!/12)</f>
        <v>#REF!</v>
      </c>
      <c r="HF114" s="6" t="e">
        <f>-HE113*(Inputs!#REF!/12)</f>
        <v>#REF!</v>
      </c>
      <c r="HG114" s="6" t="e">
        <f>-HF113*(Inputs!#REF!/12)</f>
        <v>#REF!</v>
      </c>
      <c r="HH114" s="6" t="e">
        <f>-HG113*(Inputs!#REF!/12)</f>
        <v>#REF!</v>
      </c>
      <c r="HI114" s="6" t="e">
        <f>-HH113*(Inputs!#REF!/12)</f>
        <v>#REF!</v>
      </c>
      <c r="HJ114" s="6" t="e">
        <f>-HI113*(Inputs!#REF!/12)</f>
        <v>#REF!</v>
      </c>
      <c r="HK114" s="6" t="e">
        <f>-HJ113*(Inputs!#REF!/12)</f>
        <v>#REF!</v>
      </c>
      <c r="HL114" s="6" t="e">
        <f>-HK113*(Inputs!#REF!/12)</f>
        <v>#REF!</v>
      </c>
      <c r="HM114" s="6" t="e">
        <f>-HL113*(Inputs!#REF!/12)</f>
        <v>#REF!</v>
      </c>
      <c r="HN114" s="6" t="e">
        <f>-HM113*(Inputs!#REF!/12)</f>
        <v>#REF!</v>
      </c>
      <c r="HO114" s="6" t="e">
        <f>-HN113*(Inputs!#REF!/12)</f>
        <v>#REF!</v>
      </c>
      <c r="HP114" s="6" t="e">
        <f>-HO113*(Inputs!#REF!/12)</f>
        <v>#REF!</v>
      </c>
      <c r="HQ114" s="6" t="e">
        <f>-HP113*(Inputs!#REF!/12)</f>
        <v>#REF!</v>
      </c>
      <c r="HR114" s="6" t="e">
        <f>-HQ113*(Inputs!#REF!/12)</f>
        <v>#REF!</v>
      </c>
      <c r="HS114" s="6" t="e">
        <f>-HR113*(Inputs!#REF!/12)</f>
        <v>#REF!</v>
      </c>
      <c r="HT114" s="6" t="e">
        <f>-HS113*(Inputs!#REF!/12)</f>
        <v>#REF!</v>
      </c>
      <c r="HU114" s="6" t="e">
        <f>-HT113*(Inputs!#REF!/12)</f>
        <v>#REF!</v>
      </c>
      <c r="HV114" s="6" t="e">
        <f>-HU113*(Inputs!#REF!/12)</f>
        <v>#REF!</v>
      </c>
      <c r="HW114" s="6" t="e">
        <f>-HV113*(Inputs!#REF!/12)</f>
        <v>#REF!</v>
      </c>
      <c r="HX114" s="6" t="e">
        <f>-HW113*(Inputs!#REF!/12)</f>
        <v>#REF!</v>
      </c>
      <c r="HY114" s="6" t="e">
        <f>-HX113*(Inputs!#REF!/12)</f>
        <v>#REF!</v>
      </c>
      <c r="HZ114" s="6" t="e">
        <f>-HY113*(Inputs!#REF!/12)</f>
        <v>#REF!</v>
      </c>
      <c r="IA114" s="6" t="e">
        <f>-HZ113*(Inputs!#REF!/12)</f>
        <v>#REF!</v>
      </c>
      <c r="IB114" s="6" t="e">
        <f>-IA113*(Inputs!#REF!/12)</f>
        <v>#REF!</v>
      </c>
      <c r="IC114" s="6" t="e">
        <f>-IB113*(Inputs!#REF!/12)</f>
        <v>#REF!</v>
      </c>
      <c r="ID114" s="6" t="e">
        <f>-IC113*(Inputs!#REF!/12)</f>
        <v>#REF!</v>
      </c>
      <c r="IE114" s="6" t="e">
        <f>-ID113*(Inputs!#REF!/12)</f>
        <v>#REF!</v>
      </c>
      <c r="IF114" s="6" t="e">
        <f>-IE113*(Inputs!#REF!/12)</f>
        <v>#REF!</v>
      </c>
      <c r="IG114" s="6" t="e">
        <f>-IF113*(Inputs!#REF!/12)</f>
        <v>#REF!</v>
      </c>
      <c r="IH114" s="6" t="e">
        <f>-IG113*(Inputs!#REF!/12)</f>
        <v>#REF!</v>
      </c>
      <c r="II114" s="6" t="e">
        <f>-IH113*(Inputs!#REF!/12)</f>
        <v>#REF!</v>
      </c>
      <c r="IJ114" s="6" t="e">
        <f>-II113*(Inputs!#REF!/12)</f>
        <v>#REF!</v>
      </c>
      <c r="IK114" s="6" t="e">
        <f>-IJ113*(Inputs!#REF!/12)</f>
        <v>#REF!</v>
      </c>
      <c r="IL114" s="6" t="e">
        <f>-IK113*(Inputs!#REF!/12)</f>
        <v>#REF!</v>
      </c>
      <c r="IM114" s="6" t="e">
        <f>-IL113*(Inputs!#REF!/12)</f>
        <v>#REF!</v>
      </c>
      <c r="IN114" s="6" t="e">
        <f>-IM113*(Inputs!#REF!/12)</f>
        <v>#REF!</v>
      </c>
      <c r="IO114" s="6" t="e">
        <f>-IN113*(Inputs!#REF!/12)</f>
        <v>#REF!</v>
      </c>
      <c r="IP114" s="6" t="e">
        <f>-IO113*(Inputs!#REF!/12)</f>
        <v>#REF!</v>
      </c>
      <c r="IQ114" s="6" t="e">
        <f>-IP113*(Inputs!#REF!/12)</f>
        <v>#REF!</v>
      </c>
      <c r="IR114" s="6" t="e">
        <f>-IQ113*(Inputs!#REF!/12)</f>
        <v>#REF!</v>
      </c>
      <c r="IS114" s="6" t="e">
        <f>-IR113*(Inputs!#REF!/12)</f>
        <v>#REF!</v>
      </c>
      <c r="IT114" s="6" t="e">
        <f>-IS113*(Inputs!#REF!/12)</f>
        <v>#REF!</v>
      </c>
      <c r="IU114" s="6" t="e">
        <f>-IT113*(Inputs!#REF!/12)</f>
        <v>#REF!</v>
      </c>
      <c r="IV114" s="6" t="e">
        <f>-IU113*(Inputs!#REF!/12)</f>
        <v>#REF!</v>
      </c>
      <c r="IW114" s="6" t="e">
        <f>-IV113*(Inputs!#REF!/12)</f>
        <v>#REF!</v>
      </c>
      <c r="IX114" s="6" t="e">
        <f>-IW113*(Inputs!#REF!/12)</f>
        <v>#REF!</v>
      </c>
      <c r="IY114" s="6" t="e">
        <f>-IX113*(Inputs!#REF!/12)</f>
        <v>#REF!</v>
      </c>
      <c r="IZ114" s="6" t="e">
        <f>-IY113*(Inputs!#REF!/12)</f>
        <v>#REF!</v>
      </c>
      <c r="JA114" s="6" t="e">
        <f>-IZ113*(Inputs!#REF!/12)</f>
        <v>#REF!</v>
      </c>
      <c r="JB114" s="6" t="e">
        <f>-JA113*(Inputs!#REF!/12)</f>
        <v>#REF!</v>
      </c>
      <c r="JC114" s="6" t="e">
        <f>-JB113*(Inputs!#REF!/12)</f>
        <v>#REF!</v>
      </c>
      <c r="JD114" s="6" t="e">
        <f>-JC113*(Inputs!#REF!/12)</f>
        <v>#REF!</v>
      </c>
      <c r="JE114" s="6" t="e">
        <f>-JD113*(Inputs!#REF!/12)</f>
        <v>#REF!</v>
      </c>
      <c r="JF114" s="6" t="e">
        <f>-JE113*(Inputs!#REF!/12)</f>
        <v>#REF!</v>
      </c>
      <c r="JG114" s="6" t="e">
        <f>-JF113*(Inputs!#REF!/12)</f>
        <v>#REF!</v>
      </c>
      <c r="JH114" s="6" t="e">
        <f>-JG113*(Inputs!#REF!/12)</f>
        <v>#REF!</v>
      </c>
      <c r="JI114" s="6" t="e">
        <f>-JH113*(Inputs!#REF!/12)</f>
        <v>#REF!</v>
      </c>
      <c r="JJ114" s="6" t="e">
        <f>-JI113*(Inputs!#REF!/12)</f>
        <v>#REF!</v>
      </c>
      <c r="JK114" s="6" t="e">
        <f>-JJ113*(Inputs!#REF!/12)</f>
        <v>#REF!</v>
      </c>
      <c r="JL114" s="6" t="e">
        <f>-JK113*(Inputs!#REF!/12)</f>
        <v>#REF!</v>
      </c>
      <c r="JM114" s="6" t="e">
        <f>-JL113*(Inputs!#REF!/12)</f>
        <v>#REF!</v>
      </c>
      <c r="JN114" s="6" t="e">
        <f>-JM113*(Inputs!#REF!/12)</f>
        <v>#REF!</v>
      </c>
      <c r="JO114" s="6" t="e">
        <f>-JN113*(Inputs!#REF!/12)</f>
        <v>#REF!</v>
      </c>
      <c r="JP114" s="6" t="e">
        <f>-JO113*(Inputs!#REF!/12)</f>
        <v>#REF!</v>
      </c>
      <c r="JQ114" s="6" t="e">
        <f>-JP113*(Inputs!#REF!/12)</f>
        <v>#REF!</v>
      </c>
      <c r="JR114" s="6" t="e">
        <f>-JQ113*(Inputs!#REF!/12)</f>
        <v>#REF!</v>
      </c>
      <c r="JS114" s="6" t="e">
        <f>-JR113*(Inputs!#REF!/12)</f>
        <v>#REF!</v>
      </c>
      <c r="JT114" s="6" t="e">
        <f>-JS113*(Inputs!#REF!/12)</f>
        <v>#REF!</v>
      </c>
      <c r="JU114" s="6" t="e">
        <f>-JT113*(Inputs!#REF!/12)</f>
        <v>#REF!</v>
      </c>
      <c r="JV114" s="6" t="e">
        <f>-JU113*(Inputs!#REF!/12)</f>
        <v>#REF!</v>
      </c>
      <c r="JW114" s="6" t="e">
        <f>-JV113*(Inputs!#REF!/12)</f>
        <v>#REF!</v>
      </c>
      <c r="JX114" s="6" t="e">
        <f>-JW113*(Inputs!#REF!/12)</f>
        <v>#REF!</v>
      </c>
      <c r="JY114" s="6" t="e">
        <f>-JX113*(Inputs!#REF!/12)</f>
        <v>#REF!</v>
      </c>
      <c r="JZ114" s="6" t="e">
        <f>-JY113*(Inputs!#REF!/12)</f>
        <v>#REF!</v>
      </c>
      <c r="KA114" s="6" t="e">
        <f>-JZ113*(Inputs!#REF!/12)</f>
        <v>#REF!</v>
      </c>
      <c r="KB114" s="6" t="e">
        <f>-KA113*(Inputs!#REF!/12)</f>
        <v>#REF!</v>
      </c>
      <c r="KC114" s="6" t="e">
        <f>-KB113*(Inputs!#REF!/12)</f>
        <v>#REF!</v>
      </c>
      <c r="KD114" s="6" t="e">
        <f>-KC113*(Inputs!#REF!/12)</f>
        <v>#REF!</v>
      </c>
      <c r="KE114" s="6" t="e">
        <f>-KD113*(Inputs!#REF!/12)</f>
        <v>#REF!</v>
      </c>
      <c r="KF114" s="6" t="e">
        <f>-KE113*(Inputs!#REF!/12)</f>
        <v>#REF!</v>
      </c>
      <c r="KG114" s="6" t="e">
        <f>-KF113*(Inputs!#REF!/12)</f>
        <v>#REF!</v>
      </c>
      <c r="KH114" s="6" t="e">
        <f>-KG113*(Inputs!#REF!/12)</f>
        <v>#REF!</v>
      </c>
      <c r="KI114" s="6" t="e">
        <f>-KH113*(Inputs!#REF!/12)</f>
        <v>#REF!</v>
      </c>
      <c r="KJ114" s="6" t="e">
        <f>-KI113*(Inputs!#REF!/12)</f>
        <v>#REF!</v>
      </c>
      <c r="KK114" s="6" t="e">
        <f>-KJ113*(Inputs!#REF!/12)</f>
        <v>#REF!</v>
      </c>
      <c r="KL114" s="6" t="e">
        <f>-KK113*(Inputs!#REF!/12)</f>
        <v>#REF!</v>
      </c>
      <c r="KM114" s="6" t="e">
        <f>-KL113*(Inputs!#REF!/12)</f>
        <v>#REF!</v>
      </c>
      <c r="KN114" s="6" t="e">
        <f>-KM113*(Inputs!#REF!/12)</f>
        <v>#REF!</v>
      </c>
      <c r="KO114" s="6" t="e">
        <f>-KN113*(Inputs!#REF!/12)</f>
        <v>#REF!</v>
      </c>
      <c r="KP114" s="6" t="e">
        <f>-KO113*(Inputs!#REF!/12)</f>
        <v>#REF!</v>
      </c>
      <c r="KQ114" s="6" t="e">
        <f>-KP113*(Inputs!#REF!/12)</f>
        <v>#REF!</v>
      </c>
      <c r="KR114" s="6" t="e">
        <f>-KQ113*(Inputs!#REF!/12)</f>
        <v>#REF!</v>
      </c>
      <c r="KS114" s="6" t="e">
        <f>-KR113*(Inputs!#REF!/12)</f>
        <v>#REF!</v>
      </c>
    </row>
    <row r="115" spans="2:305" s="6" customFormat="1" outlineLevel="1">
      <c r="B115"/>
      <c r="C115"/>
      <c r="D115"/>
    </row>
    <row r="116" spans="2:305" s="6" customFormat="1" outlineLevel="1">
      <c r="B116" t="s">
        <v>4</v>
      </c>
      <c r="C116"/>
      <c r="D116"/>
    </row>
    <row r="117" spans="2:305" s="6" customFormat="1" outlineLevel="1">
      <c r="B117" t="s">
        <v>25</v>
      </c>
      <c r="C117"/>
      <c r="D117"/>
      <c r="E117" s="6">
        <f>D121</f>
        <v>0</v>
      </c>
      <c r="F117" s="6" t="e">
        <f t="shared" ref="F117:BQ117" si="425">E121</f>
        <v>#REF!</v>
      </c>
      <c r="G117" s="6" t="e">
        <f t="shared" si="425"/>
        <v>#REF!</v>
      </c>
      <c r="H117" s="6" t="e">
        <f t="shared" si="425"/>
        <v>#REF!</v>
      </c>
      <c r="I117" s="6" t="e">
        <f t="shared" si="425"/>
        <v>#REF!</v>
      </c>
      <c r="J117" s="6" t="e">
        <f t="shared" si="425"/>
        <v>#REF!</v>
      </c>
      <c r="K117" s="6" t="e">
        <f t="shared" si="425"/>
        <v>#REF!</v>
      </c>
      <c r="L117" s="6" t="e">
        <f t="shared" si="425"/>
        <v>#REF!</v>
      </c>
      <c r="M117" s="6" t="e">
        <f t="shared" si="425"/>
        <v>#REF!</v>
      </c>
      <c r="N117" s="6" t="e">
        <f t="shared" si="425"/>
        <v>#REF!</v>
      </c>
      <c r="O117" s="6" t="e">
        <f t="shared" si="425"/>
        <v>#REF!</v>
      </c>
      <c r="P117" s="6" t="e">
        <f t="shared" si="425"/>
        <v>#REF!</v>
      </c>
      <c r="Q117" s="6" t="e">
        <f t="shared" si="425"/>
        <v>#REF!</v>
      </c>
      <c r="R117" s="6" t="e">
        <f t="shared" si="425"/>
        <v>#REF!</v>
      </c>
      <c r="S117" s="6" t="e">
        <f t="shared" si="425"/>
        <v>#REF!</v>
      </c>
      <c r="T117" s="6" t="e">
        <f t="shared" si="425"/>
        <v>#REF!</v>
      </c>
      <c r="U117" s="6" t="e">
        <f t="shared" si="425"/>
        <v>#REF!</v>
      </c>
      <c r="V117" s="6" t="e">
        <f t="shared" si="425"/>
        <v>#REF!</v>
      </c>
      <c r="W117" s="6" t="e">
        <f t="shared" si="425"/>
        <v>#REF!</v>
      </c>
      <c r="X117" s="6" t="e">
        <f t="shared" si="425"/>
        <v>#REF!</v>
      </c>
      <c r="Y117" s="6" t="e">
        <f t="shared" si="425"/>
        <v>#REF!</v>
      </c>
      <c r="Z117" s="6" t="e">
        <f t="shared" si="425"/>
        <v>#REF!</v>
      </c>
      <c r="AA117" s="6" t="e">
        <f t="shared" si="425"/>
        <v>#REF!</v>
      </c>
      <c r="AB117" s="6" t="e">
        <f t="shared" si="425"/>
        <v>#REF!</v>
      </c>
      <c r="AC117" s="6" t="e">
        <f t="shared" si="425"/>
        <v>#REF!</v>
      </c>
      <c r="AD117" s="6" t="e">
        <f t="shared" si="425"/>
        <v>#REF!</v>
      </c>
      <c r="AE117" s="6" t="e">
        <f t="shared" si="425"/>
        <v>#REF!</v>
      </c>
      <c r="AF117" s="6" t="e">
        <f t="shared" si="425"/>
        <v>#REF!</v>
      </c>
      <c r="AG117" s="6" t="e">
        <f t="shared" si="425"/>
        <v>#REF!</v>
      </c>
      <c r="AH117" s="6" t="e">
        <f t="shared" si="425"/>
        <v>#REF!</v>
      </c>
      <c r="AI117" s="6" t="e">
        <f t="shared" si="425"/>
        <v>#REF!</v>
      </c>
      <c r="AJ117" s="6" t="e">
        <f t="shared" si="425"/>
        <v>#REF!</v>
      </c>
      <c r="AK117" s="6" t="e">
        <f t="shared" si="425"/>
        <v>#REF!</v>
      </c>
      <c r="AL117" s="6" t="e">
        <f t="shared" si="425"/>
        <v>#REF!</v>
      </c>
      <c r="AM117" s="6" t="e">
        <f t="shared" si="425"/>
        <v>#REF!</v>
      </c>
      <c r="AN117" s="6" t="e">
        <f t="shared" si="425"/>
        <v>#REF!</v>
      </c>
      <c r="AO117" s="6" t="e">
        <f t="shared" si="425"/>
        <v>#REF!</v>
      </c>
      <c r="AP117" s="6" t="e">
        <f t="shared" si="425"/>
        <v>#REF!</v>
      </c>
      <c r="AQ117" s="6" t="e">
        <f t="shared" si="425"/>
        <v>#REF!</v>
      </c>
      <c r="AR117" s="6" t="e">
        <f t="shared" si="425"/>
        <v>#REF!</v>
      </c>
      <c r="AS117" s="6" t="e">
        <f t="shared" si="425"/>
        <v>#REF!</v>
      </c>
      <c r="AT117" s="6" t="e">
        <f t="shared" si="425"/>
        <v>#REF!</v>
      </c>
      <c r="AU117" s="6" t="e">
        <f t="shared" si="425"/>
        <v>#REF!</v>
      </c>
      <c r="AV117" s="6" t="e">
        <f t="shared" si="425"/>
        <v>#REF!</v>
      </c>
      <c r="AW117" s="6" t="e">
        <f t="shared" si="425"/>
        <v>#REF!</v>
      </c>
      <c r="AX117" s="6" t="e">
        <f t="shared" si="425"/>
        <v>#REF!</v>
      </c>
      <c r="AY117" s="6" t="e">
        <f t="shared" si="425"/>
        <v>#REF!</v>
      </c>
      <c r="AZ117" s="6" t="e">
        <f t="shared" si="425"/>
        <v>#REF!</v>
      </c>
      <c r="BA117" s="6" t="e">
        <f t="shared" si="425"/>
        <v>#REF!</v>
      </c>
      <c r="BB117" s="6" t="e">
        <f t="shared" si="425"/>
        <v>#REF!</v>
      </c>
      <c r="BC117" s="6" t="e">
        <f t="shared" si="425"/>
        <v>#REF!</v>
      </c>
      <c r="BD117" s="6" t="e">
        <f t="shared" si="425"/>
        <v>#REF!</v>
      </c>
      <c r="BE117" s="6" t="e">
        <f t="shared" si="425"/>
        <v>#REF!</v>
      </c>
      <c r="BF117" s="6" t="e">
        <f t="shared" si="425"/>
        <v>#REF!</v>
      </c>
      <c r="BG117" s="6" t="e">
        <f t="shared" si="425"/>
        <v>#REF!</v>
      </c>
      <c r="BH117" s="6" t="e">
        <f t="shared" si="425"/>
        <v>#REF!</v>
      </c>
      <c r="BI117" s="6" t="e">
        <f t="shared" si="425"/>
        <v>#REF!</v>
      </c>
      <c r="BJ117" s="6" t="e">
        <f t="shared" si="425"/>
        <v>#REF!</v>
      </c>
      <c r="BK117" s="6" t="e">
        <f t="shared" si="425"/>
        <v>#REF!</v>
      </c>
      <c r="BL117" s="6" t="e">
        <f t="shared" si="425"/>
        <v>#REF!</v>
      </c>
      <c r="BM117" s="6" t="e">
        <f t="shared" si="425"/>
        <v>#REF!</v>
      </c>
      <c r="BN117" s="6" t="e">
        <f t="shared" si="425"/>
        <v>#REF!</v>
      </c>
      <c r="BO117" s="6" t="e">
        <f t="shared" si="425"/>
        <v>#REF!</v>
      </c>
      <c r="BP117" s="6" t="e">
        <f t="shared" si="425"/>
        <v>#REF!</v>
      </c>
      <c r="BQ117" s="6" t="e">
        <f t="shared" si="425"/>
        <v>#REF!</v>
      </c>
      <c r="BR117" s="6" t="e">
        <f t="shared" ref="BR117:EC117" si="426">BQ121</f>
        <v>#REF!</v>
      </c>
      <c r="BS117" s="6" t="e">
        <f t="shared" si="426"/>
        <v>#REF!</v>
      </c>
      <c r="BT117" s="6" t="e">
        <f t="shared" si="426"/>
        <v>#REF!</v>
      </c>
      <c r="BU117" s="6" t="e">
        <f t="shared" si="426"/>
        <v>#REF!</v>
      </c>
      <c r="BV117" s="6" t="e">
        <f t="shared" si="426"/>
        <v>#REF!</v>
      </c>
      <c r="BW117" s="6" t="e">
        <f t="shared" si="426"/>
        <v>#REF!</v>
      </c>
      <c r="BX117" s="6" t="e">
        <f t="shared" si="426"/>
        <v>#REF!</v>
      </c>
      <c r="BY117" s="6" t="e">
        <f t="shared" si="426"/>
        <v>#REF!</v>
      </c>
      <c r="BZ117" s="6" t="e">
        <f t="shared" si="426"/>
        <v>#REF!</v>
      </c>
      <c r="CA117" s="6" t="e">
        <f t="shared" si="426"/>
        <v>#REF!</v>
      </c>
      <c r="CB117" s="6" t="e">
        <f t="shared" si="426"/>
        <v>#REF!</v>
      </c>
      <c r="CC117" s="6" t="e">
        <f t="shared" si="426"/>
        <v>#REF!</v>
      </c>
      <c r="CD117" s="6" t="e">
        <f t="shared" si="426"/>
        <v>#REF!</v>
      </c>
      <c r="CE117" s="6" t="e">
        <f t="shared" si="426"/>
        <v>#REF!</v>
      </c>
      <c r="CF117" s="6" t="e">
        <f t="shared" si="426"/>
        <v>#REF!</v>
      </c>
      <c r="CG117" s="6" t="e">
        <f t="shared" si="426"/>
        <v>#REF!</v>
      </c>
      <c r="CH117" s="6" t="e">
        <f t="shared" si="426"/>
        <v>#REF!</v>
      </c>
      <c r="CI117" s="6" t="e">
        <f t="shared" si="426"/>
        <v>#REF!</v>
      </c>
      <c r="CJ117" s="6" t="e">
        <f t="shared" si="426"/>
        <v>#REF!</v>
      </c>
      <c r="CK117" s="6" t="e">
        <f t="shared" si="426"/>
        <v>#REF!</v>
      </c>
      <c r="CL117" s="6" t="e">
        <f t="shared" si="426"/>
        <v>#REF!</v>
      </c>
      <c r="CM117" s="6" t="e">
        <f t="shared" si="426"/>
        <v>#REF!</v>
      </c>
      <c r="CN117" s="6" t="e">
        <f t="shared" si="426"/>
        <v>#REF!</v>
      </c>
      <c r="CO117" s="6" t="e">
        <f t="shared" si="426"/>
        <v>#REF!</v>
      </c>
      <c r="CP117" s="6" t="e">
        <f t="shared" si="426"/>
        <v>#REF!</v>
      </c>
      <c r="CQ117" s="6" t="e">
        <f t="shared" si="426"/>
        <v>#REF!</v>
      </c>
      <c r="CR117" s="6" t="e">
        <f t="shared" si="426"/>
        <v>#REF!</v>
      </c>
      <c r="CS117" s="6" t="e">
        <f t="shared" si="426"/>
        <v>#REF!</v>
      </c>
      <c r="CT117" s="6" t="e">
        <f t="shared" si="426"/>
        <v>#REF!</v>
      </c>
      <c r="CU117" s="6" t="e">
        <f t="shared" si="426"/>
        <v>#REF!</v>
      </c>
      <c r="CV117" s="6" t="e">
        <f t="shared" si="426"/>
        <v>#REF!</v>
      </c>
      <c r="CW117" s="6" t="e">
        <f t="shared" si="426"/>
        <v>#REF!</v>
      </c>
      <c r="CX117" s="6" t="e">
        <f t="shared" si="426"/>
        <v>#REF!</v>
      </c>
      <c r="CY117" s="6" t="e">
        <f t="shared" si="426"/>
        <v>#REF!</v>
      </c>
      <c r="CZ117" s="6" t="e">
        <f t="shared" si="426"/>
        <v>#REF!</v>
      </c>
      <c r="DA117" s="6" t="e">
        <f t="shared" si="426"/>
        <v>#REF!</v>
      </c>
      <c r="DB117" s="6" t="e">
        <f t="shared" si="426"/>
        <v>#REF!</v>
      </c>
      <c r="DC117" s="6" t="e">
        <f t="shared" si="426"/>
        <v>#REF!</v>
      </c>
      <c r="DD117" s="6" t="e">
        <f t="shared" si="426"/>
        <v>#REF!</v>
      </c>
      <c r="DE117" s="6" t="e">
        <f t="shared" si="426"/>
        <v>#REF!</v>
      </c>
      <c r="DF117" s="6" t="e">
        <f t="shared" si="426"/>
        <v>#REF!</v>
      </c>
      <c r="DG117" s="6" t="e">
        <f t="shared" si="426"/>
        <v>#REF!</v>
      </c>
      <c r="DH117" s="6" t="e">
        <f t="shared" si="426"/>
        <v>#REF!</v>
      </c>
      <c r="DI117" s="6" t="e">
        <f t="shared" si="426"/>
        <v>#REF!</v>
      </c>
      <c r="DJ117" s="6" t="e">
        <f t="shared" si="426"/>
        <v>#REF!</v>
      </c>
      <c r="DK117" s="6" t="e">
        <f t="shared" si="426"/>
        <v>#REF!</v>
      </c>
      <c r="DL117" s="6" t="e">
        <f t="shared" si="426"/>
        <v>#REF!</v>
      </c>
      <c r="DM117" s="6" t="e">
        <f t="shared" si="426"/>
        <v>#REF!</v>
      </c>
      <c r="DN117" s="6" t="e">
        <f t="shared" si="426"/>
        <v>#REF!</v>
      </c>
      <c r="DO117" s="6" t="e">
        <f t="shared" si="426"/>
        <v>#REF!</v>
      </c>
      <c r="DP117" s="6" t="e">
        <f t="shared" si="426"/>
        <v>#REF!</v>
      </c>
      <c r="DQ117" s="6" t="e">
        <f t="shared" si="426"/>
        <v>#REF!</v>
      </c>
      <c r="DR117" s="6" t="e">
        <f t="shared" si="426"/>
        <v>#REF!</v>
      </c>
      <c r="DS117" s="6" t="e">
        <f t="shared" si="426"/>
        <v>#REF!</v>
      </c>
      <c r="DT117" s="6" t="e">
        <f t="shared" si="426"/>
        <v>#REF!</v>
      </c>
      <c r="DU117" s="6" t="e">
        <f t="shared" si="426"/>
        <v>#REF!</v>
      </c>
      <c r="DV117" s="6" t="e">
        <f t="shared" si="426"/>
        <v>#REF!</v>
      </c>
      <c r="DW117" s="6" t="e">
        <f t="shared" si="426"/>
        <v>#REF!</v>
      </c>
      <c r="DX117" s="6" t="e">
        <f t="shared" si="426"/>
        <v>#REF!</v>
      </c>
      <c r="DY117" s="6" t="e">
        <f t="shared" si="426"/>
        <v>#REF!</v>
      </c>
      <c r="DZ117" s="6" t="e">
        <f t="shared" si="426"/>
        <v>#REF!</v>
      </c>
      <c r="EA117" s="6" t="e">
        <f t="shared" si="426"/>
        <v>#REF!</v>
      </c>
      <c r="EB117" s="6" t="e">
        <f t="shared" si="426"/>
        <v>#REF!</v>
      </c>
      <c r="EC117" s="6" t="e">
        <f t="shared" si="426"/>
        <v>#REF!</v>
      </c>
      <c r="ED117" s="6" t="e">
        <f t="shared" ref="ED117:GO117" si="427">EC121</f>
        <v>#REF!</v>
      </c>
      <c r="EE117" s="6" t="e">
        <f t="shared" si="427"/>
        <v>#REF!</v>
      </c>
      <c r="EF117" s="6" t="e">
        <f t="shared" si="427"/>
        <v>#REF!</v>
      </c>
      <c r="EG117" s="6" t="e">
        <f t="shared" si="427"/>
        <v>#REF!</v>
      </c>
      <c r="EH117" s="6" t="e">
        <f t="shared" si="427"/>
        <v>#REF!</v>
      </c>
      <c r="EI117" s="6" t="e">
        <f t="shared" si="427"/>
        <v>#REF!</v>
      </c>
      <c r="EJ117" s="6" t="e">
        <f t="shared" si="427"/>
        <v>#REF!</v>
      </c>
      <c r="EK117" s="6" t="e">
        <f t="shared" si="427"/>
        <v>#REF!</v>
      </c>
      <c r="EL117" s="6" t="e">
        <f t="shared" si="427"/>
        <v>#REF!</v>
      </c>
      <c r="EM117" s="6" t="e">
        <f t="shared" si="427"/>
        <v>#REF!</v>
      </c>
      <c r="EN117" s="6" t="e">
        <f t="shared" si="427"/>
        <v>#REF!</v>
      </c>
      <c r="EO117" s="6" t="e">
        <f t="shared" si="427"/>
        <v>#REF!</v>
      </c>
      <c r="EP117" s="6" t="e">
        <f t="shared" si="427"/>
        <v>#REF!</v>
      </c>
      <c r="EQ117" s="6" t="e">
        <f t="shared" si="427"/>
        <v>#REF!</v>
      </c>
      <c r="ER117" s="6" t="e">
        <f t="shared" si="427"/>
        <v>#REF!</v>
      </c>
      <c r="ES117" s="6" t="e">
        <f t="shared" si="427"/>
        <v>#REF!</v>
      </c>
      <c r="ET117" s="6" t="e">
        <f t="shared" si="427"/>
        <v>#REF!</v>
      </c>
      <c r="EU117" s="6" t="e">
        <f t="shared" si="427"/>
        <v>#REF!</v>
      </c>
      <c r="EV117" s="6" t="e">
        <f t="shared" si="427"/>
        <v>#REF!</v>
      </c>
      <c r="EW117" s="6" t="e">
        <f t="shared" si="427"/>
        <v>#REF!</v>
      </c>
      <c r="EX117" s="6" t="e">
        <f t="shared" si="427"/>
        <v>#REF!</v>
      </c>
      <c r="EY117" s="6" t="e">
        <f t="shared" si="427"/>
        <v>#REF!</v>
      </c>
      <c r="EZ117" s="6" t="e">
        <f t="shared" si="427"/>
        <v>#REF!</v>
      </c>
      <c r="FA117" s="6" t="e">
        <f t="shared" si="427"/>
        <v>#REF!</v>
      </c>
      <c r="FB117" s="6" t="e">
        <f t="shared" si="427"/>
        <v>#REF!</v>
      </c>
      <c r="FC117" s="6" t="e">
        <f t="shared" si="427"/>
        <v>#REF!</v>
      </c>
      <c r="FD117" s="6" t="e">
        <f t="shared" si="427"/>
        <v>#REF!</v>
      </c>
      <c r="FE117" s="6" t="e">
        <f t="shared" si="427"/>
        <v>#REF!</v>
      </c>
      <c r="FF117" s="6" t="e">
        <f t="shared" si="427"/>
        <v>#REF!</v>
      </c>
      <c r="FG117" s="6" t="e">
        <f t="shared" si="427"/>
        <v>#REF!</v>
      </c>
      <c r="FH117" s="6" t="e">
        <f t="shared" si="427"/>
        <v>#REF!</v>
      </c>
      <c r="FI117" s="6" t="e">
        <f t="shared" si="427"/>
        <v>#REF!</v>
      </c>
      <c r="FJ117" s="6" t="e">
        <f t="shared" si="427"/>
        <v>#REF!</v>
      </c>
      <c r="FK117" s="6" t="e">
        <f t="shared" si="427"/>
        <v>#REF!</v>
      </c>
      <c r="FL117" s="6" t="e">
        <f t="shared" si="427"/>
        <v>#REF!</v>
      </c>
      <c r="FM117" s="6" t="e">
        <f t="shared" si="427"/>
        <v>#REF!</v>
      </c>
      <c r="FN117" s="6" t="e">
        <f t="shared" si="427"/>
        <v>#REF!</v>
      </c>
      <c r="FO117" s="6" t="e">
        <f t="shared" si="427"/>
        <v>#REF!</v>
      </c>
      <c r="FP117" s="6" t="e">
        <f t="shared" si="427"/>
        <v>#REF!</v>
      </c>
      <c r="FQ117" s="6" t="e">
        <f t="shared" si="427"/>
        <v>#REF!</v>
      </c>
      <c r="FR117" s="6" t="e">
        <f t="shared" si="427"/>
        <v>#REF!</v>
      </c>
      <c r="FS117" s="6" t="e">
        <f t="shared" si="427"/>
        <v>#REF!</v>
      </c>
      <c r="FT117" s="6" t="e">
        <f t="shared" si="427"/>
        <v>#REF!</v>
      </c>
      <c r="FU117" s="6" t="e">
        <f t="shared" si="427"/>
        <v>#REF!</v>
      </c>
      <c r="FV117" s="6" t="e">
        <f t="shared" si="427"/>
        <v>#REF!</v>
      </c>
      <c r="FW117" s="6" t="e">
        <f t="shared" si="427"/>
        <v>#REF!</v>
      </c>
      <c r="FX117" s="6" t="e">
        <f t="shared" si="427"/>
        <v>#REF!</v>
      </c>
      <c r="FY117" s="6" t="e">
        <f t="shared" si="427"/>
        <v>#REF!</v>
      </c>
      <c r="FZ117" s="6" t="e">
        <f t="shared" si="427"/>
        <v>#REF!</v>
      </c>
      <c r="GA117" s="6" t="e">
        <f t="shared" si="427"/>
        <v>#REF!</v>
      </c>
      <c r="GB117" s="6" t="e">
        <f t="shared" si="427"/>
        <v>#REF!</v>
      </c>
      <c r="GC117" s="6" t="e">
        <f t="shared" si="427"/>
        <v>#REF!</v>
      </c>
      <c r="GD117" s="6" t="e">
        <f t="shared" si="427"/>
        <v>#REF!</v>
      </c>
      <c r="GE117" s="6" t="e">
        <f t="shared" si="427"/>
        <v>#REF!</v>
      </c>
      <c r="GF117" s="6" t="e">
        <f t="shared" si="427"/>
        <v>#REF!</v>
      </c>
      <c r="GG117" s="6" t="e">
        <f t="shared" si="427"/>
        <v>#REF!</v>
      </c>
      <c r="GH117" s="6" t="e">
        <f t="shared" si="427"/>
        <v>#REF!</v>
      </c>
      <c r="GI117" s="6" t="e">
        <f t="shared" si="427"/>
        <v>#REF!</v>
      </c>
      <c r="GJ117" s="6" t="e">
        <f t="shared" si="427"/>
        <v>#REF!</v>
      </c>
      <c r="GK117" s="6" t="e">
        <f t="shared" si="427"/>
        <v>#REF!</v>
      </c>
      <c r="GL117" s="6" t="e">
        <f t="shared" si="427"/>
        <v>#REF!</v>
      </c>
      <c r="GM117" s="6" t="e">
        <f t="shared" si="427"/>
        <v>#REF!</v>
      </c>
      <c r="GN117" s="6" t="e">
        <f t="shared" si="427"/>
        <v>#REF!</v>
      </c>
      <c r="GO117" s="6" t="e">
        <f t="shared" si="427"/>
        <v>#REF!</v>
      </c>
      <c r="GP117" s="6" t="e">
        <f t="shared" ref="GP117:JA117" si="428">GO121</f>
        <v>#REF!</v>
      </c>
      <c r="GQ117" s="6" t="e">
        <f t="shared" si="428"/>
        <v>#REF!</v>
      </c>
      <c r="GR117" s="6" t="e">
        <f t="shared" si="428"/>
        <v>#REF!</v>
      </c>
      <c r="GS117" s="6" t="e">
        <f t="shared" si="428"/>
        <v>#REF!</v>
      </c>
      <c r="GT117" s="6" t="e">
        <f t="shared" si="428"/>
        <v>#REF!</v>
      </c>
      <c r="GU117" s="6" t="e">
        <f t="shared" si="428"/>
        <v>#REF!</v>
      </c>
      <c r="GV117" s="6" t="e">
        <f t="shared" si="428"/>
        <v>#REF!</v>
      </c>
      <c r="GW117" s="6" t="e">
        <f t="shared" si="428"/>
        <v>#REF!</v>
      </c>
      <c r="GX117" s="6" t="e">
        <f t="shared" si="428"/>
        <v>#REF!</v>
      </c>
      <c r="GY117" s="6" t="e">
        <f t="shared" si="428"/>
        <v>#REF!</v>
      </c>
      <c r="GZ117" s="6" t="e">
        <f t="shared" si="428"/>
        <v>#REF!</v>
      </c>
      <c r="HA117" s="6" t="e">
        <f t="shared" si="428"/>
        <v>#REF!</v>
      </c>
      <c r="HB117" s="6" t="e">
        <f t="shared" si="428"/>
        <v>#REF!</v>
      </c>
      <c r="HC117" s="6" t="e">
        <f t="shared" si="428"/>
        <v>#REF!</v>
      </c>
      <c r="HD117" s="6" t="e">
        <f t="shared" si="428"/>
        <v>#REF!</v>
      </c>
      <c r="HE117" s="6" t="e">
        <f t="shared" si="428"/>
        <v>#REF!</v>
      </c>
      <c r="HF117" s="6" t="e">
        <f t="shared" si="428"/>
        <v>#REF!</v>
      </c>
      <c r="HG117" s="6" t="e">
        <f t="shared" si="428"/>
        <v>#REF!</v>
      </c>
      <c r="HH117" s="6" t="e">
        <f t="shared" si="428"/>
        <v>#REF!</v>
      </c>
      <c r="HI117" s="6" t="e">
        <f t="shared" si="428"/>
        <v>#REF!</v>
      </c>
      <c r="HJ117" s="6" t="e">
        <f t="shared" si="428"/>
        <v>#REF!</v>
      </c>
      <c r="HK117" s="6" t="e">
        <f t="shared" si="428"/>
        <v>#REF!</v>
      </c>
      <c r="HL117" s="6" t="e">
        <f t="shared" si="428"/>
        <v>#REF!</v>
      </c>
      <c r="HM117" s="6" t="e">
        <f t="shared" si="428"/>
        <v>#REF!</v>
      </c>
      <c r="HN117" s="6" t="e">
        <f t="shared" si="428"/>
        <v>#REF!</v>
      </c>
      <c r="HO117" s="6" t="e">
        <f t="shared" si="428"/>
        <v>#REF!</v>
      </c>
      <c r="HP117" s="6" t="e">
        <f t="shared" si="428"/>
        <v>#REF!</v>
      </c>
      <c r="HQ117" s="6" t="e">
        <f t="shared" si="428"/>
        <v>#REF!</v>
      </c>
      <c r="HR117" s="6" t="e">
        <f t="shared" si="428"/>
        <v>#REF!</v>
      </c>
      <c r="HS117" s="6" t="e">
        <f t="shared" si="428"/>
        <v>#REF!</v>
      </c>
      <c r="HT117" s="6" t="e">
        <f t="shared" si="428"/>
        <v>#REF!</v>
      </c>
      <c r="HU117" s="6" t="e">
        <f t="shared" si="428"/>
        <v>#REF!</v>
      </c>
      <c r="HV117" s="6" t="e">
        <f t="shared" si="428"/>
        <v>#REF!</v>
      </c>
      <c r="HW117" s="6" t="e">
        <f t="shared" si="428"/>
        <v>#REF!</v>
      </c>
      <c r="HX117" s="6" t="e">
        <f t="shared" si="428"/>
        <v>#REF!</v>
      </c>
      <c r="HY117" s="6" t="e">
        <f t="shared" si="428"/>
        <v>#REF!</v>
      </c>
      <c r="HZ117" s="6" t="e">
        <f t="shared" si="428"/>
        <v>#REF!</v>
      </c>
      <c r="IA117" s="6" t="e">
        <f t="shared" si="428"/>
        <v>#REF!</v>
      </c>
      <c r="IB117" s="6" t="e">
        <f t="shared" si="428"/>
        <v>#REF!</v>
      </c>
      <c r="IC117" s="6" t="e">
        <f t="shared" si="428"/>
        <v>#REF!</v>
      </c>
      <c r="ID117" s="6" t="e">
        <f t="shared" si="428"/>
        <v>#REF!</v>
      </c>
      <c r="IE117" s="6" t="e">
        <f t="shared" si="428"/>
        <v>#REF!</v>
      </c>
      <c r="IF117" s="6" t="e">
        <f t="shared" si="428"/>
        <v>#REF!</v>
      </c>
      <c r="IG117" s="6" t="e">
        <f t="shared" si="428"/>
        <v>#REF!</v>
      </c>
      <c r="IH117" s="6" t="e">
        <f t="shared" si="428"/>
        <v>#REF!</v>
      </c>
      <c r="II117" s="6" t="e">
        <f t="shared" si="428"/>
        <v>#REF!</v>
      </c>
      <c r="IJ117" s="6" t="e">
        <f t="shared" si="428"/>
        <v>#REF!</v>
      </c>
      <c r="IK117" s="6" t="e">
        <f t="shared" si="428"/>
        <v>#REF!</v>
      </c>
      <c r="IL117" s="6" t="e">
        <f t="shared" si="428"/>
        <v>#REF!</v>
      </c>
      <c r="IM117" s="6" t="e">
        <f t="shared" si="428"/>
        <v>#REF!</v>
      </c>
      <c r="IN117" s="6" t="e">
        <f t="shared" si="428"/>
        <v>#REF!</v>
      </c>
      <c r="IO117" s="6" t="e">
        <f t="shared" si="428"/>
        <v>#REF!</v>
      </c>
      <c r="IP117" s="6" t="e">
        <f t="shared" si="428"/>
        <v>#REF!</v>
      </c>
      <c r="IQ117" s="6" t="e">
        <f t="shared" si="428"/>
        <v>#REF!</v>
      </c>
      <c r="IR117" s="6" t="e">
        <f t="shared" si="428"/>
        <v>#REF!</v>
      </c>
      <c r="IS117" s="6" t="e">
        <f t="shared" si="428"/>
        <v>#REF!</v>
      </c>
      <c r="IT117" s="6" t="e">
        <f t="shared" si="428"/>
        <v>#REF!</v>
      </c>
      <c r="IU117" s="6" t="e">
        <f t="shared" si="428"/>
        <v>#REF!</v>
      </c>
      <c r="IV117" s="6" t="e">
        <f t="shared" si="428"/>
        <v>#REF!</v>
      </c>
      <c r="IW117" s="6" t="e">
        <f t="shared" si="428"/>
        <v>#REF!</v>
      </c>
      <c r="IX117" s="6" t="e">
        <f t="shared" si="428"/>
        <v>#REF!</v>
      </c>
      <c r="IY117" s="6" t="e">
        <f t="shared" si="428"/>
        <v>#REF!</v>
      </c>
      <c r="IZ117" s="6" t="e">
        <f t="shared" si="428"/>
        <v>#REF!</v>
      </c>
      <c r="JA117" s="6" t="e">
        <f t="shared" si="428"/>
        <v>#REF!</v>
      </c>
      <c r="JB117" s="6" t="e">
        <f t="shared" ref="JB117:KS117" si="429">JA121</f>
        <v>#REF!</v>
      </c>
      <c r="JC117" s="6" t="e">
        <f t="shared" si="429"/>
        <v>#REF!</v>
      </c>
      <c r="JD117" s="6" t="e">
        <f t="shared" si="429"/>
        <v>#REF!</v>
      </c>
      <c r="JE117" s="6" t="e">
        <f t="shared" si="429"/>
        <v>#REF!</v>
      </c>
      <c r="JF117" s="6" t="e">
        <f t="shared" si="429"/>
        <v>#REF!</v>
      </c>
      <c r="JG117" s="6" t="e">
        <f t="shared" si="429"/>
        <v>#REF!</v>
      </c>
      <c r="JH117" s="6" t="e">
        <f t="shared" si="429"/>
        <v>#REF!</v>
      </c>
      <c r="JI117" s="6" t="e">
        <f t="shared" si="429"/>
        <v>#REF!</v>
      </c>
      <c r="JJ117" s="6" t="e">
        <f t="shared" si="429"/>
        <v>#REF!</v>
      </c>
      <c r="JK117" s="6" t="e">
        <f t="shared" si="429"/>
        <v>#REF!</v>
      </c>
      <c r="JL117" s="6" t="e">
        <f t="shared" si="429"/>
        <v>#REF!</v>
      </c>
      <c r="JM117" s="6" t="e">
        <f t="shared" si="429"/>
        <v>#REF!</v>
      </c>
      <c r="JN117" s="6" t="e">
        <f t="shared" si="429"/>
        <v>#REF!</v>
      </c>
      <c r="JO117" s="6" t="e">
        <f t="shared" si="429"/>
        <v>#REF!</v>
      </c>
      <c r="JP117" s="6" t="e">
        <f t="shared" si="429"/>
        <v>#REF!</v>
      </c>
      <c r="JQ117" s="6" t="e">
        <f t="shared" si="429"/>
        <v>#REF!</v>
      </c>
      <c r="JR117" s="6" t="e">
        <f t="shared" si="429"/>
        <v>#REF!</v>
      </c>
      <c r="JS117" s="6" t="e">
        <f t="shared" si="429"/>
        <v>#REF!</v>
      </c>
      <c r="JT117" s="6" t="e">
        <f t="shared" si="429"/>
        <v>#REF!</v>
      </c>
      <c r="JU117" s="6" t="e">
        <f t="shared" si="429"/>
        <v>#REF!</v>
      </c>
      <c r="JV117" s="6" t="e">
        <f t="shared" si="429"/>
        <v>#REF!</v>
      </c>
      <c r="JW117" s="6" t="e">
        <f t="shared" si="429"/>
        <v>#REF!</v>
      </c>
      <c r="JX117" s="6" t="e">
        <f t="shared" si="429"/>
        <v>#REF!</v>
      </c>
      <c r="JY117" s="6" t="e">
        <f t="shared" si="429"/>
        <v>#REF!</v>
      </c>
      <c r="JZ117" s="6" t="e">
        <f t="shared" si="429"/>
        <v>#REF!</v>
      </c>
      <c r="KA117" s="6" t="e">
        <f t="shared" si="429"/>
        <v>#REF!</v>
      </c>
      <c r="KB117" s="6" t="e">
        <f t="shared" si="429"/>
        <v>#REF!</v>
      </c>
      <c r="KC117" s="6" t="e">
        <f t="shared" si="429"/>
        <v>#REF!</v>
      </c>
      <c r="KD117" s="6" t="e">
        <f t="shared" si="429"/>
        <v>#REF!</v>
      </c>
      <c r="KE117" s="6" t="e">
        <f t="shared" si="429"/>
        <v>#REF!</v>
      </c>
      <c r="KF117" s="6" t="e">
        <f t="shared" si="429"/>
        <v>#REF!</v>
      </c>
      <c r="KG117" s="6" t="e">
        <f t="shared" si="429"/>
        <v>#REF!</v>
      </c>
      <c r="KH117" s="6" t="e">
        <f t="shared" si="429"/>
        <v>#REF!</v>
      </c>
      <c r="KI117" s="6" t="e">
        <f t="shared" si="429"/>
        <v>#REF!</v>
      </c>
      <c r="KJ117" s="6" t="e">
        <f t="shared" si="429"/>
        <v>#REF!</v>
      </c>
      <c r="KK117" s="6" t="e">
        <f t="shared" si="429"/>
        <v>#REF!</v>
      </c>
      <c r="KL117" s="6" t="e">
        <f t="shared" si="429"/>
        <v>#REF!</v>
      </c>
      <c r="KM117" s="6" t="e">
        <f t="shared" si="429"/>
        <v>#REF!</v>
      </c>
      <c r="KN117" s="6" t="e">
        <f t="shared" si="429"/>
        <v>#REF!</v>
      </c>
      <c r="KO117" s="6" t="e">
        <f t="shared" si="429"/>
        <v>#REF!</v>
      </c>
      <c r="KP117" s="6" t="e">
        <f t="shared" si="429"/>
        <v>#REF!</v>
      </c>
      <c r="KQ117" s="6" t="e">
        <f t="shared" si="429"/>
        <v>#REF!</v>
      </c>
      <c r="KR117" s="6" t="e">
        <f t="shared" si="429"/>
        <v>#REF!</v>
      </c>
      <c r="KS117" s="6" t="e">
        <f t="shared" si="429"/>
        <v>#REF!</v>
      </c>
    </row>
    <row r="118" spans="2:305" s="6" customFormat="1" outlineLevel="1">
      <c r="B118" t="s">
        <v>17</v>
      </c>
      <c r="C118"/>
      <c r="D118"/>
      <c r="E118" s="6" t="e">
        <f>IF(Inputs!#REF!=2,IF(E2=Inputs!#REF!,Inputs!#REF!,0),0)</f>
        <v>#REF!</v>
      </c>
      <c r="F118" s="6" t="e">
        <f>IF(Inputs!#REF!=2,IF(F2=Inputs!#REF!,Inputs!#REF!,0),0)</f>
        <v>#REF!</v>
      </c>
      <c r="G118" s="6" t="e">
        <f>IF(Inputs!#REF!=2,IF(G2=Inputs!#REF!,Inputs!#REF!,0),0)</f>
        <v>#REF!</v>
      </c>
      <c r="H118" s="6" t="e">
        <f>IF(Inputs!#REF!=2,IF(H2=Inputs!#REF!,Inputs!#REF!,0),0)</f>
        <v>#REF!</v>
      </c>
      <c r="I118" s="6" t="e">
        <f>IF(Inputs!#REF!=2,IF(I2=Inputs!#REF!,Inputs!#REF!,0),0)</f>
        <v>#REF!</v>
      </c>
      <c r="J118" s="6" t="e">
        <f>IF(Inputs!#REF!=2,IF(J2=Inputs!#REF!,Inputs!#REF!,0),0)</f>
        <v>#REF!</v>
      </c>
      <c r="K118" s="6" t="e">
        <f>IF(Inputs!#REF!=2,IF(K2=Inputs!#REF!,Inputs!#REF!,0),0)</f>
        <v>#REF!</v>
      </c>
      <c r="L118" s="6" t="e">
        <f>IF(Inputs!#REF!=2,IF(L2=Inputs!#REF!,Inputs!#REF!,0),0)</f>
        <v>#REF!</v>
      </c>
      <c r="M118" s="6" t="e">
        <f>IF(Inputs!#REF!=2,IF(M2=Inputs!#REF!,Inputs!#REF!,0),0)</f>
        <v>#REF!</v>
      </c>
      <c r="N118" s="6" t="e">
        <f>IF(Inputs!#REF!=2,IF(N2=Inputs!#REF!,Inputs!#REF!,0),0)</f>
        <v>#REF!</v>
      </c>
      <c r="O118" s="6" t="e">
        <f>IF(Inputs!#REF!=2,IF(O2=Inputs!#REF!,Inputs!#REF!,0),0)</f>
        <v>#REF!</v>
      </c>
      <c r="P118" s="6" t="e">
        <f>IF(Inputs!#REF!=2,IF(P2=Inputs!#REF!,Inputs!#REF!,0),0)</f>
        <v>#REF!</v>
      </c>
      <c r="Q118" s="6" t="e">
        <f>IF(Inputs!#REF!=2,IF(Q2=Inputs!#REF!,Inputs!#REF!,0),0)</f>
        <v>#REF!</v>
      </c>
      <c r="R118" s="6" t="e">
        <f>IF(Inputs!#REF!=2,IF(R2=Inputs!#REF!,Inputs!#REF!,0),0)</f>
        <v>#REF!</v>
      </c>
      <c r="S118" s="6" t="e">
        <f>IF(Inputs!#REF!=2,IF(S2=Inputs!#REF!,Inputs!#REF!,0),0)</f>
        <v>#REF!</v>
      </c>
      <c r="T118" s="6" t="e">
        <f>IF(Inputs!#REF!=2,IF(T2=Inputs!#REF!,Inputs!#REF!,0),0)</f>
        <v>#REF!</v>
      </c>
      <c r="U118" s="6" t="e">
        <f>IF(Inputs!#REF!=2,IF(U2=Inputs!#REF!,Inputs!#REF!,0),0)</f>
        <v>#REF!</v>
      </c>
      <c r="V118" s="6" t="e">
        <f>IF(Inputs!#REF!=2,IF(V2=Inputs!#REF!,Inputs!#REF!,0),0)</f>
        <v>#REF!</v>
      </c>
      <c r="W118" s="6" t="e">
        <f>IF(Inputs!#REF!=2,IF(W2=Inputs!#REF!,Inputs!#REF!,0),0)</f>
        <v>#REF!</v>
      </c>
      <c r="X118" s="6" t="e">
        <f>IF(Inputs!#REF!=2,IF(X2=Inputs!#REF!,Inputs!#REF!,0),0)</f>
        <v>#REF!</v>
      </c>
      <c r="Y118" s="6" t="e">
        <f>IF(Inputs!#REF!=2,IF(Y2=Inputs!#REF!,Inputs!#REF!,0),0)</f>
        <v>#REF!</v>
      </c>
      <c r="Z118" s="6" t="e">
        <f>IF(Inputs!#REF!=2,IF(Z2=Inputs!#REF!,Inputs!#REF!,0),0)</f>
        <v>#REF!</v>
      </c>
      <c r="AA118" s="6" t="e">
        <f>IF(Inputs!#REF!=2,IF(AA2=Inputs!#REF!,Inputs!#REF!,0),0)</f>
        <v>#REF!</v>
      </c>
      <c r="AB118" s="6" t="e">
        <f>IF(Inputs!#REF!=2,IF(AB2=Inputs!#REF!,Inputs!#REF!,0),0)</f>
        <v>#REF!</v>
      </c>
      <c r="AC118" s="6" t="e">
        <f>IF(Inputs!#REF!=2,IF(AC2=Inputs!#REF!,Inputs!#REF!,0),0)</f>
        <v>#REF!</v>
      </c>
      <c r="AD118" s="6" t="e">
        <f>IF(Inputs!#REF!=2,IF(AD2=Inputs!#REF!,Inputs!#REF!,0),0)</f>
        <v>#REF!</v>
      </c>
      <c r="AE118" s="6" t="e">
        <f>IF(Inputs!#REF!=2,IF(AE2=Inputs!#REF!,Inputs!#REF!,0),0)</f>
        <v>#REF!</v>
      </c>
      <c r="AF118" s="6" t="e">
        <f>IF(Inputs!#REF!=2,IF(AF2=Inputs!#REF!,Inputs!#REF!,0),0)</f>
        <v>#REF!</v>
      </c>
      <c r="AG118" s="6" t="e">
        <f>IF(Inputs!#REF!=2,IF(AG2=Inputs!#REF!,Inputs!#REF!,0),0)</f>
        <v>#REF!</v>
      </c>
      <c r="AH118" s="6" t="e">
        <f>IF(Inputs!#REF!=2,IF(AH2=Inputs!#REF!,Inputs!#REF!,0),0)</f>
        <v>#REF!</v>
      </c>
      <c r="AI118" s="6" t="e">
        <f>IF(Inputs!#REF!=2,IF(AI2=Inputs!#REF!,Inputs!#REF!,0),0)</f>
        <v>#REF!</v>
      </c>
      <c r="AJ118" s="6" t="e">
        <f>IF(Inputs!#REF!=2,IF(AJ2=Inputs!#REF!,Inputs!#REF!,0),0)</f>
        <v>#REF!</v>
      </c>
      <c r="AK118" s="6" t="e">
        <f>IF(Inputs!#REF!=2,IF(AK2=Inputs!#REF!,Inputs!#REF!,0),0)</f>
        <v>#REF!</v>
      </c>
      <c r="AL118" s="6" t="e">
        <f>IF(Inputs!#REF!=2,IF(AL2=Inputs!#REF!,Inputs!#REF!,0),0)</f>
        <v>#REF!</v>
      </c>
      <c r="AM118" s="6" t="e">
        <f>IF(Inputs!#REF!=2,IF(AM2=Inputs!#REF!,Inputs!#REF!,0),0)</f>
        <v>#REF!</v>
      </c>
      <c r="AN118" s="6" t="e">
        <f>IF(Inputs!#REF!=2,IF(AN2=Inputs!#REF!,Inputs!#REF!,0),0)</f>
        <v>#REF!</v>
      </c>
      <c r="AO118" s="6" t="e">
        <f>IF(Inputs!#REF!=2,IF(AO2=Inputs!#REF!,Inputs!#REF!,0),0)</f>
        <v>#REF!</v>
      </c>
      <c r="AP118" s="6" t="e">
        <f>IF(Inputs!#REF!=2,IF(AP2=Inputs!#REF!,Inputs!#REF!,0),0)</f>
        <v>#REF!</v>
      </c>
      <c r="AQ118" s="6" t="e">
        <f>IF(Inputs!#REF!=2,IF(AQ2=Inputs!#REF!,Inputs!#REF!,0),0)</f>
        <v>#REF!</v>
      </c>
      <c r="AR118" s="6" t="e">
        <f>IF(Inputs!#REF!=2,IF(AR2=Inputs!#REF!,Inputs!#REF!,0),0)</f>
        <v>#REF!</v>
      </c>
      <c r="AS118" s="6" t="e">
        <f>IF(Inputs!#REF!=2,IF(AS2=Inputs!#REF!,Inputs!#REF!,0),0)</f>
        <v>#REF!</v>
      </c>
      <c r="AT118" s="6" t="e">
        <f>IF(Inputs!#REF!=2,IF(AT2=Inputs!#REF!,Inputs!#REF!,0),0)</f>
        <v>#REF!</v>
      </c>
      <c r="AU118" s="6" t="e">
        <f>IF(Inputs!#REF!=2,IF(AU2=Inputs!#REF!,Inputs!#REF!,0),0)</f>
        <v>#REF!</v>
      </c>
      <c r="AV118" s="6" t="e">
        <f>IF(Inputs!#REF!=2,IF(AV2=Inputs!#REF!,Inputs!#REF!,0),0)</f>
        <v>#REF!</v>
      </c>
      <c r="AW118" s="6" t="e">
        <f>IF(Inputs!#REF!=2,IF(AW2=Inputs!#REF!,Inputs!#REF!,0),0)</f>
        <v>#REF!</v>
      </c>
      <c r="AX118" s="6" t="e">
        <f>IF(Inputs!#REF!=2,IF(AX2=Inputs!#REF!,Inputs!#REF!,0),0)</f>
        <v>#REF!</v>
      </c>
      <c r="AY118" s="6" t="e">
        <f>IF(Inputs!#REF!=2,IF(AY2=Inputs!#REF!,Inputs!#REF!,0),0)</f>
        <v>#REF!</v>
      </c>
      <c r="AZ118" s="6" t="e">
        <f>IF(Inputs!#REF!=2,IF(AZ2=Inputs!#REF!,Inputs!#REF!,0),0)</f>
        <v>#REF!</v>
      </c>
      <c r="BA118" s="6" t="e">
        <f>IF(Inputs!#REF!=2,IF(BA2=Inputs!#REF!,Inputs!#REF!,0),0)</f>
        <v>#REF!</v>
      </c>
      <c r="BB118" s="6" t="e">
        <f>IF(Inputs!#REF!=2,IF(BB2=Inputs!#REF!,Inputs!#REF!,0),0)</f>
        <v>#REF!</v>
      </c>
      <c r="BC118" s="6" t="e">
        <f>IF(Inputs!#REF!=2,IF(BC2=Inputs!#REF!,Inputs!#REF!,0),0)</f>
        <v>#REF!</v>
      </c>
      <c r="BD118" s="6" t="e">
        <f>IF(Inputs!#REF!=2,IF(BD2=Inputs!#REF!,Inputs!#REF!,0),0)</f>
        <v>#REF!</v>
      </c>
      <c r="BE118" s="6" t="e">
        <f>IF(Inputs!#REF!=2,IF(BE2=Inputs!#REF!,Inputs!#REF!,0),0)</f>
        <v>#REF!</v>
      </c>
      <c r="BF118" s="6" t="e">
        <f>IF(Inputs!#REF!=2,IF(BF2=Inputs!#REF!,Inputs!#REF!,0),0)</f>
        <v>#REF!</v>
      </c>
      <c r="BG118" s="6" t="e">
        <f>IF(Inputs!#REF!=2,IF(BG2=Inputs!#REF!,Inputs!#REF!,0),0)</f>
        <v>#REF!</v>
      </c>
      <c r="BH118" s="6" t="e">
        <f>IF(Inputs!#REF!=2,IF(BH2=Inputs!#REF!,Inputs!#REF!,0),0)</f>
        <v>#REF!</v>
      </c>
      <c r="BI118" s="6" t="e">
        <f>IF(Inputs!#REF!=2,IF(BI2=Inputs!#REF!,Inputs!#REF!,0),0)</f>
        <v>#REF!</v>
      </c>
      <c r="BJ118" s="6" t="e">
        <f>IF(Inputs!#REF!=2,IF(BJ2=Inputs!#REF!,Inputs!#REF!,0),0)</f>
        <v>#REF!</v>
      </c>
      <c r="BK118" s="6" t="e">
        <f>IF(Inputs!#REF!=2,IF(BK2=Inputs!#REF!,Inputs!#REF!,0),0)</f>
        <v>#REF!</v>
      </c>
      <c r="BL118" s="6" t="e">
        <f>IF(Inputs!#REF!=2,IF(BL2=Inputs!#REF!,Inputs!#REF!,0),0)</f>
        <v>#REF!</v>
      </c>
      <c r="BM118" s="6" t="e">
        <f>IF(Inputs!#REF!=2,IF(BM2=Inputs!#REF!,Inputs!#REF!,0),0)</f>
        <v>#REF!</v>
      </c>
      <c r="BN118" s="6" t="e">
        <f>IF(Inputs!#REF!=2,IF(BN2=Inputs!#REF!,Inputs!#REF!,0),0)</f>
        <v>#REF!</v>
      </c>
      <c r="BO118" s="6" t="e">
        <f>IF(Inputs!#REF!=2,IF(BO2=Inputs!#REF!,Inputs!#REF!,0),0)</f>
        <v>#REF!</v>
      </c>
      <c r="BP118" s="6" t="e">
        <f>IF(Inputs!#REF!=2,IF(BP2=Inputs!#REF!,Inputs!#REF!,0),0)</f>
        <v>#REF!</v>
      </c>
      <c r="BQ118" s="6" t="e">
        <f>IF(Inputs!#REF!=2,IF(BQ2=Inputs!#REF!,Inputs!#REF!,0),0)</f>
        <v>#REF!</v>
      </c>
      <c r="BR118" s="6" t="e">
        <f>IF(Inputs!#REF!=2,IF(BR2=Inputs!#REF!,Inputs!#REF!,0),0)</f>
        <v>#REF!</v>
      </c>
      <c r="BS118" s="6" t="e">
        <f>IF(Inputs!#REF!=2,IF(BS2=Inputs!#REF!,Inputs!#REF!,0),0)</f>
        <v>#REF!</v>
      </c>
      <c r="BT118" s="6" t="e">
        <f>IF(Inputs!#REF!=2,IF(BT2=Inputs!#REF!,Inputs!#REF!,0),0)</f>
        <v>#REF!</v>
      </c>
      <c r="BU118" s="6" t="e">
        <f>IF(Inputs!#REF!=2,IF(BU2=Inputs!#REF!,Inputs!#REF!,0),0)</f>
        <v>#REF!</v>
      </c>
      <c r="BV118" s="6" t="e">
        <f>IF(Inputs!#REF!=2,IF(BV2=Inputs!#REF!,Inputs!#REF!,0),0)</f>
        <v>#REF!</v>
      </c>
      <c r="BW118" s="6" t="e">
        <f>IF(Inputs!#REF!=2,IF(BW2=Inputs!#REF!,Inputs!#REF!,0),0)</f>
        <v>#REF!</v>
      </c>
      <c r="BX118" s="6" t="e">
        <f>IF(Inputs!#REF!=2,IF(BX2=Inputs!#REF!,Inputs!#REF!,0),0)</f>
        <v>#REF!</v>
      </c>
      <c r="BY118" s="6" t="e">
        <f>IF(Inputs!#REF!=2,IF(BY2=Inputs!#REF!,Inputs!#REF!,0),0)</f>
        <v>#REF!</v>
      </c>
      <c r="BZ118" s="6" t="e">
        <f>IF(Inputs!#REF!=2,IF(BZ2=Inputs!#REF!,Inputs!#REF!,0),0)</f>
        <v>#REF!</v>
      </c>
      <c r="CA118" s="6" t="e">
        <f>IF(Inputs!#REF!=2,IF(CA2=Inputs!#REF!,Inputs!#REF!,0),0)</f>
        <v>#REF!</v>
      </c>
      <c r="CB118" s="6" t="e">
        <f>IF(Inputs!#REF!=2,IF(CB2=Inputs!#REF!,Inputs!#REF!,0),0)</f>
        <v>#REF!</v>
      </c>
      <c r="CC118" s="6" t="e">
        <f>IF(Inputs!#REF!=2,IF(CC2=Inputs!#REF!,Inputs!#REF!,0),0)</f>
        <v>#REF!</v>
      </c>
      <c r="CD118" s="6" t="e">
        <f>IF(Inputs!#REF!=2,IF(CD2=Inputs!#REF!,Inputs!#REF!,0),0)</f>
        <v>#REF!</v>
      </c>
      <c r="CE118" s="6" t="e">
        <f>IF(Inputs!#REF!=2,IF(CE2=Inputs!#REF!,Inputs!#REF!,0),0)</f>
        <v>#REF!</v>
      </c>
      <c r="CF118" s="6" t="e">
        <f>IF(Inputs!#REF!=2,IF(CF2=Inputs!#REF!,Inputs!#REF!,0),0)</f>
        <v>#REF!</v>
      </c>
      <c r="CG118" s="6" t="e">
        <f>IF(Inputs!#REF!=2,IF(CG2=Inputs!#REF!,Inputs!#REF!,0),0)</f>
        <v>#REF!</v>
      </c>
      <c r="CH118" s="6" t="e">
        <f>IF(Inputs!#REF!=2,IF(CH2=Inputs!#REF!,Inputs!#REF!,0),0)</f>
        <v>#REF!</v>
      </c>
      <c r="CI118" s="6" t="e">
        <f>IF(Inputs!#REF!=2,IF(CI2=Inputs!#REF!,Inputs!#REF!,0),0)</f>
        <v>#REF!</v>
      </c>
      <c r="CJ118" s="6" t="e">
        <f>IF(Inputs!#REF!=2,IF(CJ2=Inputs!#REF!,Inputs!#REF!,0),0)</f>
        <v>#REF!</v>
      </c>
      <c r="CK118" s="6" t="e">
        <f>IF(Inputs!#REF!=2,IF(CK2=Inputs!#REF!,Inputs!#REF!,0),0)</f>
        <v>#REF!</v>
      </c>
      <c r="CL118" s="6" t="e">
        <f>IF(Inputs!#REF!=2,IF(CL2=Inputs!#REF!,Inputs!#REF!,0),0)</f>
        <v>#REF!</v>
      </c>
      <c r="CM118" s="6" t="e">
        <f>IF(Inputs!#REF!=2,IF(CM2=Inputs!#REF!,Inputs!#REF!,0),0)</f>
        <v>#REF!</v>
      </c>
      <c r="CN118" s="6" t="e">
        <f>IF(Inputs!#REF!=2,IF(CN2=Inputs!#REF!,Inputs!#REF!,0),0)</f>
        <v>#REF!</v>
      </c>
      <c r="CO118" s="6" t="e">
        <f>IF(Inputs!#REF!=2,IF(CO2=Inputs!#REF!,Inputs!#REF!,0),0)</f>
        <v>#REF!</v>
      </c>
      <c r="CP118" s="6" t="e">
        <f>IF(Inputs!#REF!=2,IF(CP2=Inputs!#REF!,Inputs!#REF!,0),0)</f>
        <v>#REF!</v>
      </c>
      <c r="CQ118" s="6" t="e">
        <f>IF(Inputs!#REF!=2,IF(CQ2=Inputs!#REF!,Inputs!#REF!,0),0)</f>
        <v>#REF!</v>
      </c>
      <c r="CR118" s="6" t="e">
        <f>IF(Inputs!#REF!=2,IF(CR2=Inputs!#REF!,Inputs!#REF!,0),0)</f>
        <v>#REF!</v>
      </c>
      <c r="CS118" s="6" t="e">
        <f>IF(Inputs!#REF!=2,IF(CS2=Inputs!#REF!,Inputs!#REF!,0),0)</f>
        <v>#REF!</v>
      </c>
      <c r="CT118" s="6" t="e">
        <f>IF(Inputs!#REF!=2,IF(CT2=Inputs!#REF!,Inputs!#REF!,0),0)</f>
        <v>#REF!</v>
      </c>
      <c r="CU118" s="6" t="e">
        <f>IF(Inputs!#REF!=2,IF(CU2=Inputs!#REF!,Inputs!#REF!,0),0)</f>
        <v>#REF!</v>
      </c>
      <c r="CV118" s="6" t="e">
        <f>IF(Inputs!#REF!=2,IF(CV2=Inputs!#REF!,Inputs!#REF!,0),0)</f>
        <v>#REF!</v>
      </c>
      <c r="CW118" s="6" t="e">
        <f>IF(Inputs!#REF!=2,IF(CW2=Inputs!#REF!,Inputs!#REF!,0),0)</f>
        <v>#REF!</v>
      </c>
      <c r="CX118" s="6" t="e">
        <f>IF(Inputs!#REF!=2,IF(CX2=Inputs!#REF!,Inputs!#REF!,0),0)</f>
        <v>#REF!</v>
      </c>
      <c r="CY118" s="6" t="e">
        <f>IF(Inputs!#REF!=2,IF(CY2=Inputs!#REF!,Inputs!#REF!,0),0)</f>
        <v>#REF!</v>
      </c>
      <c r="CZ118" s="6" t="e">
        <f>IF(Inputs!#REF!=2,IF(CZ2=Inputs!#REF!,Inputs!#REF!,0),0)</f>
        <v>#REF!</v>
      </c>
      <c r="DA118" s="6" t="e">
        <f>IF(Inputs!#REF!=2,IF(DA2=Inputs!#REF!,Inputs!#REF!,0),0)</f>
        <v>#REF!</v>
      </c>
      <c r="DB118" s="6" t="e">
        <f>IF(Inputs!#REF!=2,IF(DB2=Inputs!#REF!,Inputs!#REF!,0),0)</f>
        <v>#REF!</v>
      </c>
      <c r="DC118" s="6" t="e">
        <f>IF(Inputs!#REF!=2,IF(DC2=Inputs!#REF!,Inputs!#REF!,0),0)</f>
        <v>#REF!</v>
      </c>
      <c r="DD118" s="6" t="e">
        <f>IF(Inputs!#REF!=2,IF(DD2=Inputs!#REF!,Inputs!#REF!,0),0)</f>
        <v>#REF!</v>
      </c>
      <c r="DE118" s="6" t="e">
        <f>IF(Inputs!#REF!=2,IF(DE2=Inputs!#REF!,Inputs!#REF!,0),0)</f>
        <v>#REF!</v>
      </c>
      <c r="DF118" s="6" t="e">
        <f>IF(Inputs!#REF!=2,IF(DF2=Inputs!#REF!,Inputs!#REF!,0),0)</f>
        <v>#REF!</v>
      </c>
      <c r="DG118" s="6" t="e">
        <f>IF(Inputs!#REF!=2,IF(DG2=Inputs!#REF!,Inputs!#REF!,0),0)</f>
        <v>#REF!</v>
      </c>
      <c r="DH118" s="6" t="e">
        <f>IF(Inputs!#REF!=2,IF(DH2=Inputs!#REF!,Inputs!#REF!,0),0)</f>
        <v>#REF!</v>
      </c>
      <c r="DI118" s="6" t="e">
        <f>IF(Inputs!#REF!=2,IF(DI2=Inputs!#REF!,Inputs!#REF!,0),0)</f>
        <v>#REF!</v>
      </c>
      <c r="DJ118" s="6" t="e">
        <f>IF(Inputs!#REF!=2,IF(DJ2=Inputs!#REF!,Inputs!#REF!,0),0)</f>
        <v>#REF!</v>
      </c>
      <c r="DK118" s="6" t="e">
        <f>IF(Inputs!#REF!=2,IF(DK2=Inputs!#REF!,Inputs!#REF!,0),0)</f>
        <v>#REF!</v>
      </c>
      <c r="DL118" s="6" t="e">
        <f>IF(Inputs!#REF!=2,IF(DL2=Inputs!#REF!,Inputs!#REF!,0),0)</f>
        <v>#REF!</v>
      </c>
      <c r="DM118" s="6" t="e">
        <f>IF(Inputs!#REF!=2,IF(DM2=Inputs!#REF!,Inputs!#REF!,0),0)</f>
        <v>#REF!</v>
      </c>
      <c r="DN118" s="6" t="e">
        <f>IF(Inputs!#REF!=2,IF(DN2=Inputs!#REF!,Inputs!#REF!,0),0)</f>
        <v>#REF!</v>
      </c>
      <c r="DO118" s="6" t="e">
        <f>IF(Inputs!#REF!=2,IF(DO2=Inputs!#REF!,Inputs!#REF!,0),0)</f>
        <v>#REF!</v>
      </c>
      <c r="DP118" s="6" t="e">
        <f>IF(Inputs!#REF!=2,IF(DP2=Inputs!#REF!,Inputs!#REF!,0),0)</f>
        <v>#REF!</v>
      </c>
      <c r="DQ118" s="6" t="e">
        <f>IF(Inputs!#REF!=2,IF(DQ2=Inputs!#REF!,Inputs!#REF!,0),0)</f>
        <v>#REF!</v>
      </c>
      <c r="DR118" s="6" t="e">
        <f>IF(Inputs!#REF!=2,IF(DR2=Inputs!#REF!,Inputs!#REF!,0),0)</f>
        <v>#REF!</v>
      </c>
      <c r="DS118" s="6" t="e">
        <f>IF(Inputs!#REF!=2,IF(DS2=Inputs!#REF!,Inputs!#REF!,0),0)</f>
        <v>#REF!</v>
      </c>
      <c r="DT118" s="6" t="e">
        <f>IF(Inputs!#REF!=2,IF(DT2=Inputs!#REF!,Inputs!#REF!,0),0)</f>
        <v>#REF!</v>
      </c>
      <c r="DU118" s="6" t="e">
        <f>IF(Inputs!#REF!=2,IF(DU2=Inputs!#REF!,Inputs!#REF!,0),0)</f>
        <v>#REF!</v>
      </c>
      <c r="DV118" s="6" t="e">
        <f>IF(Inputs!#REF!=2,IF(DV2=Inputs!#REF!,Inputs!#REF!,0),0)</f>
        <v>#REF!</v>
      </c>
      <c r="DW118" s="6" t="e">
        <f>IF(Inputs!#REF!=2,IF(DW2=Inputs!#REF!,Inputs!#REF!,0),0)</f>
        <v>#REF!</v>
      </c>
      <c r="DX118" s="6" t="e">
        <f>IF(Inputs!#REF!=2,IF(DX2=Inputs!#REF!,Inputs!#REF!,0),0)</f>
        <v>#REF!</v>
      </c>
      <c r="DY118" s="6" t="e">
        <f>IF(Inputs!#REF!=2,IF(DY2=Inputs!#REF!,Inputs!#REF!,0),0)</f>
        <v>#REF!</v>
      </c>
      <c r="DZ118" s="6" t="e">
        <f>IF(Inputs!#REF!=2,IF(DZ2=Inputs!#REF!,Inputs!#REF!,0),0)</f>
        <v>#REF!</v>
      </c>
      <c r="EA118" s="6" t="e">
        <f>IF(Inputs!#REF!=2,IF(EA2=Inputs!#REF!,Inputs!#REF!,0),0)</f>
        <v>#REF!</v>
      </c>
      <c r="EB118" s="6" t="e">
        <f>IF(Inputs!#REF!=2,IF(EB2=Inputs!#REF!,Inputs!#REF!,0),0)</f>
        <v>#REF!</v>
      </c>
      <c r="EC118" s="6" t="e">
        <f>IF(Inputs!#REF!=2,IF(EC2=Inputs!#REF!,Inputs!#REF!,0),0)</f>
        <v>#REF!</v>
      </c>
      <c r="ED118" s="6" t="e">
        <f>IF(Inputs!#REF!=2,IF(ED2=Inputs!#REF!,Inputs!#REF!,0),0)</f>
        <v>#REF!</v>
      </c>
      <c r="EE118" s="6" t="e">
        <f>IF(Inputs!#REF!=2,IF(EE2=Inputs!#REF!,Inputs!#REF!,0),0)</f>
        <v>#REF!</v>
      </c>
      <c r="EF118" s="6" t="e">
        <f>IF(Inputs!#REF!=2,IF(EF2=Inputs!#REF!,Inputs!#REF!,0),0)</f>
        <v>#REF!</v>
      </c>
      <c r="EG118" s="6" t="e">
        <f>IF(Inputs!#REF!=2,IF(EG2=Inputs!#REF!,Inputs!#REF!,0),0)</f>
        <v>#REF!</v>
      </c>
      <c r="EH118" s="6" t="e">
        <f>IF(Inputs!#REF!=2,IF(EH2=Inputs!#REF!,Inputs!#REF!,0),0)</f>
        <v>#REF!</v>
      </c>
      <c r="EI118" s="6" t="e">
        <f>IF(Inputs!#REF!=2,IF(EI2=Inputs!#REF!,Inputs!#REF!,0),0)</f>
        <v>#REF!</v>
      </c>
      <c r="EJ118" s="6" t="e">
        <f>IF(Inputs!#REF!=2,IF(EJ2=Inputs!#REF!,Inputs!#REF!,0),0)</f>
        <v>#REF!</v>
      </c>
      <c r="EK118" s="6" t="e">
        <f>IF(Inputs!#REF!=2,IF(EK2=Inputs!#REF!,Inputs!#REF!,0),0)</f>
        <v>#REF!</v>
      </c>
      <c r="EL118" s="6" t="e">
        <f>IF(Inputs!#REF!=2,IF(EL2=Inputs!#REF!,Inputs!#REF!,0),0)</f>
        <v>#REF!</v>
      </c>
      <c r="EM118" s="6" t="e">
        <f>IF(Inputs!#REF!=2,IF(EM2=Inputs!#REF!,Inputs!#REF!,0),0)</f>
        <v>#REF!</v>
      </c>
      <c r="EN118" s="6" t="e">
        <f>IF(Inputs!#REF!=2,IF(EN2=Inputs!#REF!,Inputs!#REF!,0),0)</f>
        <v>#REF!</v>
      </c>
      <c r="EO118" s="6" t="e">
        <f>IF(Inputs!#REF!=2,IF(EO2=Inputs!#REF!,Inputs!#REF!,0),0)</f>
        <v>#REF!</v>
      </c>
      <c r="EP118" s="6" t="e">
        <f>IF(Inputs!#REF!=2,IF(EP2=Inputs!#REF!,Inputs!#REF!,0),0)</f>
        <v>#REF!</v>
      </c>
      <c r="EQ118" s="6" t="e">
        <f>IF(Inputs!#REF!=2,IF(EQ2=Inputs!#REF!,Inputs!#REF!,0),0)</f>
        <v>#REF!</v>
      </c>
      <c r="ER118" s="6" t="e">
        <f>IF(Inputs!#REF!=2,IF(ER2=Inputs!#REF!,Inputs!#REF!,0),0)</f>
        <v>#REF!</v>
      </c>
      <c r="ES118" s="6" t="e">
        <f>IF(Inputs!#REF!=2,IF(ES2=Inputs!#REF!,Inputs!#REF!,0),0)</f>
        <v>#REF!</v>
      </c>
      <c r="ET118" s="6" t="e">
        <f>IF(Inputs!#REF!=2,IF(ET2=Inputs!#REF!,Inputs!#REF!,0),0)</f>
        <v>#REF!</v>
      </c>
      <c r="EU118" s="6" t="e">
        <f>IF(Inputs!#REF!=2,IF(EU2=Inputs!#REF!,Inputs!#REF!,0),0)</f>
        <v>#REF!</v>
      </c>
      <c r="EV118" s="6" t="e">
        <f>IF(Inputs!#REF!=2,IF(EV2=Inputs!#REF!,Inputs!#REF!,0),0)</f>
        <v>#REF!</v>
      </c>
      <c r="EW118" s="6" t="e">
        <f>IF(Inputs!#REF!=2,IF(EW2=Inputs!#REF!,Inputs!#REF!,0),0)</f>
        <v>#REF!</v>
      </c>
      <c r="EX118" s="6" t="e">
        <f>IF(Inputs!#REF!=2,IF(EX2=Inputs!#REF!,Inputs!#REF!,0),0)</f>
        <v>#REF!</v>
      </c>
      <c r="EY118" s="6" t="e">
        <f>IF(Inputs!#REF!=2,IF(EY2=Inputs!#REF!,Inputs!#REF!,0),0)</f>
        <v>#REF!</v>
      </c>
      <c r="EZ118" s="6" t="e">
        <f>IF(Inputs!#REF!=2,IF(EZ2=Inputs!#REF!,Inputs!#REF!,0),0)</f>
        <v>#REF!</v>
      </c>
      <c r="FA118" s="6" t="e">
        <f>IF(Inputs!#REF!=2,IF(FA2=Inputs!#REF!,Inputs!#REF!,0),0)</f>
        <v>#REF!</v>
      </c>
      <c r="FB118" s="6" t="e">
        <f>IF(Inputs!#REF!=2,IF(FB2=Inputs!#REF!,Inputs!#REF!,0),0)</f>
        <v>#REF!</v>
      </c>
      <c r="FC118" s="6" t="e">
        <f>IF(Inputs!#REF!=2,IF(FC2=Inputs!#REF!,Inputs!#REF!,0),0)</f>
        <v>#REF!</v>
      </c>
      <c r="FD118" s="6" t="e">
        <f>IF(Inputs!#REF!=2,IF(FD2=Inputs!#REF!,Inputs!#REF!,0),0)</f>
        <v>#REF!</v>
      </c>
      <c r="FE118" s="6" t="e">
        <f>IF(Inputs!#REF!=2,IF(FE2=Inputs!#REF!,Inputs!#REF!,0),0)</f>
        <v>#REF!</v>
      </c>
      <c r="FF118" s="6" t="e">
        <f>IF(Inputs!#REF!=2,IF(FF2=Inputs!#REF!,Inputs!#REF!,0),0)</f>
        <v>#REF!</v>
      </c>
      <c r="FG118" s="6" t="e">
        <f>IF(Inputs!#REF!=2,IF(FG2=Inputs!#REF!,Inputs!#REF!,0),0)</f>
        <v>#REF!</v>
      </c>
      <c r="FH118" s="6" t="e">
        <f>IF(Inputs!#REF!=2,IF(FH2=Inputs!#REF!,Inputs!#REF!,0),0)</f>
        <v>#REF!</v>
      </c>
      <c r="FI118" s="6" t="e">
        <f>IF(Inputs!#REF!=2,IF(FI2=Inputs!#REF!,Inputs!#REF!,0),0)</f>
        <v>#REF!</v>
      </c>
      <c r="FJ118" s="6" t="e">
        <f>IF(Inputs!#REF!=2,IF(FJ2=Inputs!#REF!,Inputs!#REF!,0),0)</f>
        <v>#REF!</v>
      </c>
      <c r="FK118" s="6" t="e">
        <f>IF(Inputs!#REF!=2,IF(FK2=Inputs!#REF!,Inputs!#REF!,0),0)</f>
        <v>#REF!</v>
      </c>
      <c r="FL118" s="6" t="e">
        <f>IF(Inputs!#REF!=2,IF(FL2=Inputs!#REF!,Inputs!#REF!,0),0)</f>
        <v>#REF!</v>
      </c>
      <c r="FM118" s="6" t="e">
        <f>IF(Inputs!#REF!=2,IF(FM2=Inputs!#REF!,Inputs!#REF!,0),0)</f>
        <v>#REF!</v>
      </c>
      <c r="FN118" s="6" t="e">
        <f>IF(Inputs!#REF!=2,IF(FN2=Inputs!#REF!,Inputs!#REF!,0),0)</f>
        <v>#REF!</v>
      </c>
      <c r="FO118" s="6" t="e">
        <f>IF(Inputs!#REF!=2,IF(FO2=Inputs!#REF!,Inputs!#REF!,0),0)</f>
        <v>#REF!</v>
      </c>
      <c r="FP118" s="6" t="e">
        <f>IF(Inputs!#REF!=2,IF(FP2=Inputs!#REF!,Inputs!#REF!,0),0)</f>
        <v>#REF!</v>
      </c>
      <c r="FQ118" s="6" t="e">
        <f>IF(Inputs!#REF!=2,IF(FQ2=Inputs!#REF!,Inputs!#REF!,0),0)</f>
        <v>#REF!</v>
      </c>
      <c r="FR118" s="6" t="e">
        <f>IF(Inputs!#REF!=2,IF(FR2=Inputs!#REF!,Inputs!#REF!,0),0)</f>
        <v>#REF!</v>
      </c>
      <c r="FS118" s="6" t="e">
        <f>IF(Inputs!#REF!=2,IF(FS2=Inputs!#REF!,Inputs!#REF!,0),0)</f>
        <v>#REF!</v>
      </c>
      <c r="FT118" s="6" t="e">
        <f>IF(Inputs!#REF!=2,IF(FT2=Inputs!#REF!,Inputs!#REF!,0),0)</f>
        <v>#REF!</v>
      </c>
      <c r="FU118" s="6" t="e">
        <f>IF(Inputs!#REF!=2,IF(FU2=Inputs!#REF!,Inputs!#REF!,0),0)</f>
        <v>#REF!</v>
      </c>
      <c r="FV118" s="6" t="e">
        <f>IF(Inputs!#REF!=2,IF(FV2=Inputs!#REF!,Inputs!#REF!,0),0)</f>
        <v>#REF!</v>
      </c>
      <c r="FW118" s="6" t="e">
        <f>IF(Inputs!#REF!=2,IF(FW2=Inputs!#REF!,Inputs!#REF!,0),0)</f>
        <v>#REF!</v>
      </c>
      <c r="FX118" s="6" t="e">
        <f>IF(Inputs!#REF!=2,IF(FX2=Inputs!#REF!,Inputs!#REF!,0),0)</f>
        <v>#REF!</v>
      </c>
      <c r="FY118" s="6" t="e">
        <f>IF(Inputs!#REF!=2,IF(FY2=Inputs!#REF!,Inputs!#REF!,0),0)</f>
        <v>#REF!</v>
      </c>
      <c r="FZ118" s="6" t="e">
        <f>IF(Inputs!#REF!=2,IF(FZ2=Inputs!#REF!,Inputs!#REF!,0),0)</f>
        <v>#REF!</v>
      </c>
      <c r="GA118" s="6" t="e">
        <f>IF(Inputs!#REF!=2,IF(GA2=Inputs!#REF!,Inputs!#REF!,0),0)</f>
        <v>#REF!</v>
      </c>
      <c r="GB118" s="6" t="e">
        <f>IF(Inputs!#REF!=2,IF(GB2=Inputs!#REF!,Inputs!#REF!,0),0)</f>
        <v>#REF!</v>
      </c>
      <c r="GC118" s="6" t="e">
        <f>IF(Inputs!#REF!=2,IF(GC2=Inputs!#REF!,Inputs!#REF!,0),0)</f>
        <v>#REF!</v>
      </c>
      <c r="GD118" s="6" t="e">
        <f>IF(Inputs!#REF!=2,IF(GD2=Inputs!#REF!,Inputs!#REF!,0),0)</f>
        <v>#REF!</v>
      </c>
      <c r="GE118" s="6" t="e">
        <f>IF(Inputs!#REF!=2,IF(GE2=Inputs!#REF!,Inputs!#REF!,0),0)</f>
        <v>#REF!</v>
      </c>
      <c r="GF118" s="6" t="e">
        <f>IF(Inputs!#REF!=2,IF(GF2=Inputs!#REF!,Inputs!#REF!,0),0)</f>
        <v>#REF!</v>
      </c>
      <c r="GG118" s="6" t="e">
        <f>IF(Inputs!#REF!=2,IF(GG2=Inputs!#REF!,Inputs!#REF!,0),0)</f>
        <v>#REF!</v>
      </c>
      <c r="GH118" s="6" t="e">
        <f>IF(Inputs!#REF!=2,IF(GH2=Inputs!#REF!,Inputs!#REF!,0),0)</f>
        <v>#REF!</v>
      </c>
      <c r="GI118" s="6" t="e">
        <f>IF(Inputs!#REF!=2,IF(GI2=Inputs!#REF!,Inputs!#REF!,0),0)</f>
        <v>#REF!</v>
      </c>
      <c r="GJ118" s="6" t="e">
        <f>IF(Inputs!#REF!=2,IF(GJ2=Inputs!#REF!,Inputs!#REF!,0),0)</f>
        <v>#REF!</v>
      </c>
      <c r="GK118" s="6" t="e">
        <f>IF(Inputs!#REF!=2,IF(GK2=Inputs!#REF!,Inputs!#REF!,0),0)</f>
        <v>#REF!</v>
      </c>
      <c r="GL118" s="6" t="e">
        <f>IF(Inputs!#REF!=2,IF(GL2=Inputs!#REF!,Inputs!#REF!,0),0)</f>
        <v>#REF!</v>
      </c>
      <c r="GM118" s="6" t="e">
        <f>IF(Inputs!#REF!=2,IF(GM2=Inputs!#REF!,Inputs!#REF!,0),0)</f>
        <v>#REF!</v>
      </c>
      <c r="GN118" s="6" t="e">
        <f>IF(Inputs!#REF!=2,IF(GN2=Inputs!#REF!,Inputs!#REF!,0),0)</f>
        <v>#REF!</v>
      </c>
      <c r="GO118" s="6" t="e">
        <f>IF(Inputs!#REF!=2,IF(GO2=Inputs!#REF!,Inputs!#REF!,0),0)</f>
        <v>#REF!</v>
      </c>
      <c r="GP118" s="6" t="e">
        <f>IF(Inputs!#REF!=2,IF(GP2=Inputs!#REF!,Inputs!#REF!,0),0)</f>
        <v>#REF!</v>
      </c>
      <c r="GQ118" s="6" t="e">
        <f>IF(Inputs!#REF!=2,IF(GQ2=Inputs!#REF!,Inputs!#REF!,0),0)</f>
        <v>#REF!</v>
      </c>
      <c r="GR118" s="6" t="e">
        <f>IF(Inputs!#REF!=2,IF(GR2=Inputs!#REF!,Inputs!#REF!,0),0)</f>
        <v>#REF!</v>
      </c>
      <c r="GS118" s="6" t="e">
        <f>IF(Inputs!#REF!=2,IF(GS2=Inputs!#REF!,Inputs!#REF!,0),0)</f>
        <v>#REF!</v>
      </c>
      <c r="GT118" s="6" t="e">
        <f>IF(Inputs!#REF!=2,IF(GT2=Inputs!#REF!,Inputs!#REF!,0),0)</f>
        <v>#REF!</v>
      </c>
      <c r="GU118" s="6" t="e">
        <f>IF(Inputs!#REF!=2,IF(GU2=Inputs!#REF!,Inputs!#REF!,0),0)</f>
        <v>#REF!</v>
      </c>
      <c r="GV118" s="6" t="e">
        <f>IF(Inputs!#REF!=2,IF(GV2=Inputs!#REF!,Inputs!#REF!,0),0)</f>
        <v>#REF!</v>
      </c>
      <c r="GW118" s="6" t="e">
        <f>IF(Inputs!#REF!=2,IF(GW2=Inputs!#REF!,Inputs!#REF!,0),0)</f>
        <v>#REF!</v>
      </c>
      <c r="GX118" s="6" t="e">
        <f>IF(Inputs!#REF!=2,IF(GX2=Inputs!#REF!,Inputs!#REF!,0),0)</f>
        <v>#REF!</v>
      </c>
      <c r="GY118" s="6" t="e">
        <f>IF(Inputs!#REF!=2,IF(GY2=Inputs!#REF!,Inputs!#REF!,0),0)</f>
        <v>#REF!</v>
      </c>
      <c r="GZ118" s="6" t="e">
        <f>IF(Inputs!#REF!=2,IF(GZ2=Inputs!#REF!,Inputs!#REF!,0),0)</f>
        <v>#REF!</v>
      </c>
      <c r="HA118" s="6" t="e">
        <f>IF(Inputs!#REF!=2,IF(HA2=Inputs!#REF!,Inputs!#REF!,0),0)</f>
        <v>#REF!</v>
      </c>
      <c r="HB118" s="6" t="e">
        <f>IF(Inputs!#REF!=2,IF(HB2=Inputs!#REF!,Inputs!#REF!,0),0)</f>
        <v>#REF!</v>
      </c>
      <c r="HC118" s="6" t="e">
        <f>IF(Inputs!#REF!=2,IF(HC2=Inputs!#REF!,Inputs!#REF!,0),0)</f>
        <v>#REF!</v>
      </c>
      <c r="HD118" s="6" t="e">
        <f>IF(Inputs!#REF!=2,IF(HD2=Inputs!#REF!,Inputs!#REF!,0),0)</f>
        <v>#REF!</v>
      </c>
      <c r="HE118" s="6" t="e">
        <f>IF(Inputs!#REF!=2,IF(HE2=Inputs!#REF!,Inputs!#REF!,0),0)</f>
        <v>#REF!</v>
      </c>
      <c r="HF118" s="6" t="e">
        <f>IF(Inputs!#REF!=2,IF(HF2=Inputs!#REF!,Inputs!#REF!,0),0)</f>
        <v>#REF!</v>
      </c>
      <c r="HG118" s="6" t="e">
        <f>IF(Inputs!#REF!=2,IF(HG2=Inputs!#REF!,Inputs!#REF!,0),0)</f>
        <v>#REF!</v>
      </c>
      <c r="HH118" s="6" t="e">
        <f>IF(Inputs!#REF!=2,IF(HH2=Inputs!#REF!,Inputs!#REF!,0),0)</f>
        <v>#REF!</v>
      </c>
      <c r="HI118" s="6" t="e">
        <f>IF(Inputs!#REF!=2,IF(HI2=Inputs!#REF!,Inputs!#REF!,0),0)</f>
        <v>#REF!</v>
      </c>
      <c r="HJ118" s="6" t="e">
        <f>IF(Inputs!#REF!=2,IF(HJ2=Inputs!#REF!,Inputs!#REF!,0),0)</f>
        <v>#REF!</v>
      </c>
      <c r="HK118" s="6" t="e">
        <f>IF(Inputs!#REF!=2,IF(HK2=Inputs!#REF!,Inputs!#REF!,0),0)</f>
        <v>#REF!</v>
      </c>
      <c r="HL118" s="6" t="e">
        <f>IF(Inputs!#REF!=2,IF(HL2=Inputs!#REF!,Inputs!#REF!,0),0)</f>
        <v>#REF!</v>
      </c>
      <c r="HM118" s="6" t="e">
        <f>IF(Inputs!#REF!=2,IF(HM2=Inputs!#REF!,Inputs!#REF!,0),0)</f>
        <v>#REF!</v>
      </c>
      <c r="HN118" s="6" t="e">
        <f>IF(Inputs!#REF!=2,IF(HN2=Inputs!#REF!,Inputs!#REF!,0),0)</f>
        <v>#REF!</v>
      </c>
      <c r="HO118" s="6" t="e">
        <f>IF(Inputs!#REF!=2,IF(HO2=Inputs!#REF!,Inputs!#REF!,0),0)</f>
        <v>#REF!</v>
      </c>
      <c r="HP118" s="6" t="e">
        <f>IF(Inputs!#REF!=2,IF(HP2=Inputs!#REF!,Inputs!#REF!,0),0)</f>
        <v>#REF!</v>
      </c>
      <c r="HQ118" s="6" t="e">
        <f>IF(Inputs!#REF!=2,IF(HQ2=Inputs!#REF!,Inputs!#REF!,0),0)</f>
        <v>#REF!</v>
      </c>
      <c r="HR118" s="6" t="e">
        <f>IF(Inputs!#REF!=2,IF(HR2=Inputs!#REF!,Inputs!#REF!,0),0)</f>
        <v>#REF!</v>
      </c>
      <c r="HS118" s="6" t="e">
        <f>IF(Inputs!#REF!=2,IF(HS2=Inputs!#REF!,Inputs!#REF!,0),0)</f>
        <v>#REF!</v>
      </c>
      <c r="HT118" s="6" t="e">
        <f>IF(Inputs!#REF!=2,IF(HT2=Inputs!#REF!,Inputs!#REF!,0),0)</f>
        <v>#REF!</v>
      </c>
      <c r="HU118" s="6" t="e">
        <f>IF(Inputs!#REF!=2,IF(HU2=Inputs!#REF!,Inputs!#REF!,0),0)</f>
        <v>#REF!</v>
      </c>
      <c r="HV118" s="6" t="e">
        <f>IF(Inputs!#REF!=2,IF(HV2=Inputs!#REF!,Inputs!#REF!,0),0)</f>
        <v>#REF!</v>
      </c>
      <c r="HW118" s="6" t="e">
        <f>IF(Inputs!#REF!=2,IF(HW2=Inputs!#REF!,Inputs!#REF!,0),0)</f>
        <v>#REF!</v>
      </c>
      <c r="HX118" s="6" t="e">
        <f>IF(Inputs!#REF!=2,IF(HX2=Inputs!#REF!,Inputs!#REF!,0),0)</f>
        <v>#REF!</v>
      </c>
      <c r="HY118" s="6" t="e">
        <f>IF(Inputs!#REF!=2,IF(HY2=Inputs!#REF!,Inputs!#REF!,0),0)</f>
        <v>#REF!</v>
      </c>
      <c r="HZ118" s="6" t="e">
        <f>IF(Inputs!#REF!=2,IF(HZ2=Inputs!#REF!,Inputs!#REF!,0),0)</f>
        <v>#REF!</v>
      </c>
      <c r="IA118" s="6" t="e">
        <f>IF(Inputs!#REF!=2,IF(IA2=Inputs!#REF!,Inputs!#REF!,0),0)</f>
        <v>#REF!</v>
      </c>
      <c r="IB118" s="6" t="e">
        <f>IF(Inputs!#REF!=2,IF(IB2=Inputs!#REF!,Inputs!#REF!,0),0)</f>
        <v>#REF!</v>
      </c>
      <c r="IC118" s="6" t="e">
        <f>IF(Inputs!#REF!=2,IF(IC2=Inputs!#REF!,Inputs!#REF!,0),0)</f>
        <v>#REF!</v>
      </c>
      <c r="ID118" s="6" t="e">
        <f>IF(Inputs!#REF!=2,IF(ID2=Inputs!#REF!,Inputs!#REF!,0),0)</f>
        <v>#REF!</v>
      </c>
      <c r="IE118" s="6" t="e">
        <f>IF(Inputs!#REF!=2,IF(IE2=Inputs!#REF!,Inputs!#REF!,0),0)</f>
        <v>#REF!</v>
      </c>
      <c r="IF118" s="6" t="e">
        <f>IF(Inputs!#REF!=2,IF(IF2=Inputs!#REF!,Inputs!#REF!,0),0)</f>
        <v>#REF!</v>
      </c>
      <c r="IG118" s="6" t="e">
        <f>IF(Inputs!#REF!=2,IF(IG2=Inputs!#REF!,Inputs!#REF!,0),0)</f>
        <v>#REF!</v>
      </c>
      <c r="IH118" s="6" t="e">
        <f>IF(Inputs!#REF!=2,IF(IH2=Inputs!#REF!,Inputs!#REF!,0),0)</f>
        <v>#REF!</v>
      </c>
      <c r="II118" s="6" t="e">
        <f>IF(Inputs!#REF!=2,IF(II2=Inputs!#REF!,Inputs!#REF!,0),0)</f>
        <v>#REF!</v>
      </c>
      <c r="IJ118" s="6" t="e">
        <f>IF(Inputs!#REF!=2,IF(IJ2=Inputs!#REF!,Inputs!#REF!,0),0)</f>
        <v>#REF!</v>
      </c>
      <c r="IK118" s="6" t="e">
        <f>IF(Inputs!#REF!=2,IF(IK2=Inputs!#REF!,Inputs!#REF!,0),0)</f>
        <v>#REF!</v>
      </c>
      <c r="IL118" s="6" t="e">
        <f>IF(Inputs!#REF!=2,IF(IL2=Inputs!#REF!,Inputs!#REF!,0),0)</f>
        <v>#REF!</v>
      </c>
      <c r="IM118" s="6" t="e">
        <f>IF(Inputs!#REF!=2,IF(IM2=Inputs!#REF!,Inputs!#REF!,0),0)</f>
        <v>#REF!</v>
      </c>
      <c r="IN118" s="6" t="e">
        <f>IF(Inputs!#REF!=2,IF(IN2=Inputs!#REF!,Inputs!#REF!,0),0)</f>
        <v>#REF!</v>
      </c>
      <c r="IO118" s="6" t="e">
        <f>IF(Inputs!#REF!=2,IF(IO2=Inputs!#REF!,Inputs!#REF!,0),0)</f>
        <v>#REF!</v>
      </c>
      <c r="IP118" s="6" t="e">
        <f>IF(Inputs!#REF!=2,IF(IP2=Inputs!#REF!,Inputs!#REF!,0),0)</f>
        <v>#REF!</v>
      </c>
      <c r="IQ118" s="6" t="e">
        <f>IF(Inputs!#REF!=2,IF(IQ2=Inputs!#REF!,Inputs!#REF!,0),0)</f>
        <v>#REF!</v>
      </c>
      <c r="IR118" s="6" t="e">
        <f>IF(Inputs!#REF!=2,IF(IR2=Inputs!#REF!,Inputs!#REF!,0),0)</f>
        <v>#REF!</v>
      </c>
      <c r="IS118" s="6" t="e">
        <f>IF(Inputs!#REF!=2,IF(IS2=Inputs!#REF!,Inputs!#REF!,0),0)</f>
        <v>#REF!</v>
      </c>
      <c r="IT118" s="6" t="e">
        <f>IF(Inputs!#REF!=2,IF(IT2=Inputs!#REF!,Inputs!#REF!,0),0)</f>
        <v>#REF!</v>
      </c>
      <c r="IU118" s="6" t="e">
        <f>IF(Inputs!#REF!=2,IF(IU2=Inputs!#REF!,Inputs!#REF!,0),0)</f>
        <v>#REF!</v>
      </c>
      <c r="IV118" s="6" t="e">
        <f>IF(Inputs!#REF!=2,IF(IV2=Inputs!#REF!,Inputs!#REF!,0),0)</f>
        <v>#REF!</v>
      </c>
      <c r="IW118" s="6" t="e">
        <f>IF(Inputs!#REF!=2,IF(IW2=Inputs!#REF!,Inputs!#REF!,0),0)</f>
        <v>#REF!</v>
      </c>
      <c r="IX118" s="6" t="e">
        <f>IF(Inputs!#REF!=2,IF(IX2=Inputs!#REF!,Inputs!#REF!,0),0)</f>
        <v>#REF!</v>
      </c>
      <c r="IY118" s="6" t="e">
        <f>IF(Inputs!#REF!=2,IF(IY2=Inputs!#REF!,Inputs!#REF!,0),0)</f>
        <v>#REF!</v>
      </c>
      <c r="IZ118" s="6" t="e">
        <f>IF(Inputs!#REF!=2,IF(IZ2=Inputs!#REF!,Inputs!#REF!,0),0)</f>
        <v>#REF!</v>
      </c>
      <c r="JA118" s="6" t="e">
        <f>IF(Inputs!#REF!=2,IF(JA2=Inputs!#REF!,Inputs!#REF!,0),0)</f>
        <v>#REF!</v>
      </c>
      <c r="JB118" s="6" t="e">
        <f>IF(Inputs!#REF!=2,IF(JB2=Inputs!#REF!,Inputs!#REF!,0),0)</f>
        <v>#REF!</v>
      </c>
      <c r="JC118" s="6" t="e">
        <f>IF(Inputs!#REF!=2,IF(JC2=Inputs!#REF!,Inputs!#REF!,0),0)</f>
        <v>#REF!</v>
      </c>
      <c r="JD118" s="6" t="e">
        <f>IF(Inputs!#REF!=2,IF(JD2=Inputs!#REF!,Inputs!#REF!,0),0)</f>
        <v>#REF!</v>
      </c>
      <c r="JE118" s="6" t="e">
        <f>IF(Inputs!#REF!=2,IF(JE2=Inputs!#REF!,Inputs!#REF!,0),0)</f>
        <v>#REF!</v>
      </c>
      <c r="JF118" s="6" t="e">
        <f>IF(Inputs!#REF!=2,IF(JF2=Inputs!#REF!,Inputs!#REF!,0),0)</f>
        <v>#REF!</v>
      </c>
      <c r="JG118" s="6" t="e">
        <f>IF(Inputs!#REF!=2,IF(JG2=Inputs!#REF!,Inputs!#REF!,0),0)</f>
        <v>#REF!</v>
      </c>
      <c r="JH118" s="6" t="e">
        <f>IF(Inputs!#REF!=2,IF(JH2=Inputs!#REF!,Inputs!#REF!,0),0)</f>
        <v>#REF!</v>
      </c>
      <c r="JI118" s="6" t="e">
        <f>IF(Inputs!#REF!=2,IF(JI2=Inputs!#REF!,Inputs!#REF!,0),0)</f>
        <v>#REF!</v>
      </c>
      <c r="JJ118" s="6" t="e">
        <f>IF(Inputs!#REF!=2,IF(JJ2=Inputs!#REF!,Inputs!#REF!,0),0)</f>
        <v>#REF!</v>
      </c>
      <c r="JK118" s="6" t="e">
        <f>IF(Inputs!#REF!=2,IF(JK2=Inputs!#REF!,Inputs!#REF!,0),0)</f>
        <v>#REF!</v>
      </c>
      <c r="JL118" s="6" t="e">
        <f>IF(Inputs!#REF!=2,IF(JL2=Inputs!#REF!,Inputs!#REF!,0),0)</f>
        <v>#REF!</v>
      </c>
      <c r="JM118" s="6" t="e">
        <f>IF(Inputs!#REF!=2,IF(JM2=Inputs!#REF!,Inputs!#REF!,0),0)</f>
        <v>#REF!</v>
      </c>
      <c r="JN118" s="6" t="e">
        <f>IF(Inputs!#REF!=2,IF(JN2=Inputs!#REF!,Inputs!#REF!,0),0)</f>
        <v>#REF!</v>
      </c>
      <c r="JO118" s="6" t="e">
        <f>IF(Inputs!#REF!=2,IF(JO2=Inputs!#REF!,Inputs!#REF!,0),0)</f>
        <v>#REF!</v>
      </c>
      <c r="JP118" s="6" t="e">
        <f>IF(Inputs!#REF!=2,IF(JP2=Inputs!#REF!,Inputs!#REF!,0),0)</f>
        <v>#REF!</v>
      </c>
      <c r="JQ118" s="6" t="e">
        <f>IF(Inputs!#REF!=2,IF(JQ2=Inputs!#REF!,Inputs!#REF!,0),0)</f>
        <v>#REF!</v>
      </c>
      <c r="JR118" s="6" t="e">
        <f>IF(Inputs!#REF!=2,IF(JR2=Inputs!#REF!,Inputs!#REF!,0),0)</f>
        <v>#REF!</v>
      </c>
      <c r="JS118" s="6" t="e">
        <f>IF(Inputs!#REF!=2,IF(JS2=Inputs!#REF!,Inputs!#REF!,0),0)</f>
        <v>#REF!</v>
      </c>
      <c r="JT118" s="6" t="e">
        <f>IF(Inputs!#REF!=2,IF(JT2=Inputs!#REF!,Inputs!#REF!,0),0)</f>
        <v>#REF!</v>
      </c>
      <c r="JU118" s="6" t="e">
        <f>IF(Inputs!#REF!=2,IF(JU2=Inputs!#REF!,Inputs!#REF!,0),0)</f>
        <v>#REF!</v>
      </c>
      <c r="JV118" s="6" t="e">
        <f>IF(Inputs!#REF!=2,IF(JV2=Inputs!#REF!,Inputs!#REF!,0),0)</f>
        <v>#REF!</v>
      </c>
      <c r="JW118" s="6" t="e">
        <f>IF(Inputs!#REF!=2,IF(JW2=Inputs!#REF!,Inputs!#REF!,0),0)</f>
        <v>#REF!</v>
      </c>
      <c r="JX118" s="6" t="e">
        <f>IF(Inputs!#REF!=2,IF(JX2=Inputs!#REF!,Inputs!#REF!,0),0)</f>
        <v>#REF!</v>
      </c>
      <c r="JY118" s="6" t="e">
        <f>IF(Inputs!#REF!=2,IF(JY2=Inputs!#REF!,Inputs!#REF!,0),0)</f>
        <v>#REF!</v>
      </c>
      <c r="JZ118" s="6" t="e">
        <f>IF(Inputs!#REF!=2,IF(JZ2=Inputs!#REF!,Inputs!#REF!,0),0)</f>
        <v>#REF!</v>
      </c>
      <c r="KA118" s="6" t="e">
        <f>IF(Inputs!#REF!=2,IF(KA2=Inputs!#REF!,Inputs!#REF!,0),0)</f>
        <v>#REF!</v>
      </c>
      <c r="KB118" s="6" t="e">
        <f>IF(Inputs!#REF!=2,IF(KB2=Inputs!#REF!,Inputs!#REF!,0),0)</f>
        <v>#REF!</v>
      </c>
      <c r="KC118" s="6" t="e">
        <f>IF(Inputs!#REF!=2,IF(KC2=Inputs!#REF!,Inputs!#REF!,0),0)</f>
        <v>#REF!</v>
      </c>
      <c r="KD118" s="6" t="e">
        <f>IF(Inputs!#REF!=2,IF(KD2=Inputs!#REF!,Inputs!#REF!,0),0)</f>
        <v>#REF!</v>
      </c>
      <c r="KE118" s="6" t="e">
        <f>IF(Inputs!#REF!=2,IF(KE2=Inputs!#REF!,Inputs!#REF!,0),0)</f>
        <v>#REF!</v>
      </c>
      <c r="KF118" s="6" t="e">
        <f>IF(Inputs!#REF!=2,IF(KF2=Inputs!#REF!,Inputs!#REF!,0),0)</f>
        <v>#REF!</v>
      </c>
      <c r="KG118" s="6" t="e">
        <f>IF(Inputs!#REF!=2,IF(KG2=Inputs!#REF!,Inputs!#REF!,0),0)</f>
        <v>#REF!</v>
      </c>
      <c r="KH118" s="6" t="e">
        <f>IF(Inputs!#REF!=2,IF(KH2=Inputs!#REF!,Inputs!#REF!,0),0)</f>
        <v>#REF!</v>
      </c>
      <c r="KI118" s="6" t="e">
        <f>IF(Inputs!#REF!=2,IF(KI2=Inputs!#REF!,Inputs!#REF!,0),0)</f>
        <v>#REF!</v>
      </c>
      <c r="KJ118" s="6" t="e">
        <f>IF(Inputs!#REF!=2,IF(KJ2=Inputs!#REF!,Inputs!#REF!,0),0)</f>
        <v>#REF!</v>
      </c>
      <c r="KK118" s="6" t="e">
        <f>IF(Inputs!#REF!=2,IF(KK2=Inputs!#REF!,Inputs!#REF!,0),0)</f>
        <v>#REF!</v>
      </c>
      <c r="KL118" s="6" t="e">
        <f>IF(Inputs!#REF!=2,IF(KL2=Inputs!#REF!,Inputs!#REF!,0),0)</f>
        <v>#REF!</v>
      </c>
      <c r="KM118" s="6" t="e">
        <f>IF(Inputs!#REF!=2,IF(KM2=Inputs!#REF!,Inputs!#REF!,0),0)</f>
        <v>#REF!</v>
      </c>
      <c r="KN118" s="6" t="e">
        <f>IF(Inputs!#REF!=2,IF(KN2=Inputs!#REF!,Inputs!#REF!,0),0)</f>
        <v>#REF!</v>
      </c>
      <c r="KO118" s="6" t="e">
        <f>IF(Inputs!#REF!=2,IF(KO2=Inputs!#REF!,Inputs!#REF!,0),0)</f>
        <v>#REF!</v>
      </c>
      <c r="KP118" s="6" t="e">
        <f>IF(Inputs!#REF!=2,IF(KP2=Inputs!#REF!,Inputs!#REF!,0),0)</f>
        <v>#REF!</v>
      </c>
      <c r="KQ118" s="6" t="e">
        <f>IF(Inputs!#REF!=2,IF(KQ2=Inputs!#REF!,Inputs!#REF!,0),0)</f>
        <v>#REF!</v>
      </c>
      <c r="KR118" s="6" t="e">
        <f>IF(Inputs!#REF!=2,IF(KR2=Inputs!#REF!,Inputs!#REF!,0),0)</f>
        <v>#REF!</v>
      </c>
      <c r="KS118" s="6" t="e">
        <f>IF(Inputs!#REF!=2,IF(KS2=Inputs!#REF!,Inputs!#REF!,0),0)</f>
        <v>#REF!</v>
      </c>
    </row>
    <row r="119" spans="2:305" s="6" customFormat="1" outlineLevel="1">
      <c r="B119" t="s">
        <v>42</v>
      </c>
      <c r="C119" s="6" t="e">
        <f>IF(Inputs!#REF!=2,Inputs!#REF!*Inputs!#REF!,0)/12</f>
        <v>#REF!</v>
      </c>
      <c r="D119"/>
      <c r="E119" s="6" t="e">
        <f>-IF(E$2&gt;=Inputs!#REF!,MIN(E117,$C$119),0)</f>
        <v>#REF!</v>
      </c>
      <c r="F119" s="6" t="e">
        <f>-IF(F$2&gt;=Inputs!#REF!,MIN(F117,$C$119),0)</f>
        <v>#REF!</v>
      </c>
      <c r="G119" s="6" t="e">
        <f>-IF(G$2&gt;=Inputs!#REF!,MIN(G117,$C$119),0)</f>
        <v>#REF!</v>
      </c>
      <c r="H119" s="6" t="e">
        <f>-IF(H$2&gt;=Inputs!#REF!,MIN(H117,$C$119),0)</f>
        <v>#REF!</v>
      </c>
      <c r="I119" s="6" t="e">
        <f>-IF(I$2&gt;=Inputs!#REF!,MIN(I117,$C$119),0)</f>
        <v>#REF!</v>
      </c>
      <c r="J119" s="6" t="e">
        <f>-IF(J$2&gt;=Inputs!#REF!,MIN(J117,$C$119),0)</f>
        <v>#REF!</v>
      </c>
      <c r="K119" s="6" t="e">
        <f>-IF(K$2&gt;=Inputs!#REF!,MIN(K117,$C$119),0)</f>
        <v>#REF!</v>
      </c>
      <c r="L119" s="6" t="e">
        <f>-IF(L$2&gt;=Inputs!#REF!,MIN(L117,$C$119),0)</f>
        <v>#REF!</v>
      </c>
      <c r="M119" s="6" t="e">
        <f>-IF(M$2&gt;=Inputs!#REF!,MIN(M117,$C$119),0)</f>
        <v>#REF!</v>
      </c>
      <c r="N119" s="6" t="e">
        <f>-IF(N$2&gt;=Inputs!#REF!,MIN(N117,$C$119),0)</f>
        <v>#REF!</v>
      </c>
      <c r="O119" s="6" t="e">
        <f>-IF(O$2&gt;=Inputs!#REF!,MIN(O117,$C$119),0)</f>
        <v>#REF!</v>
      </c>
      <c r="P119" s="6" t="e">
        <f>-IF(P$2&gt;=Inputs!#REF!,MIN(P117,$C$119),0)</f>
        <v>#REF!</v>
      </c>
      <c r="Q119" s="6" t="e">
        <f>-IF(Q$2&gt;=Inputs!#REF!,MIN(Q117,$C$119),0)</f>
        <v>#REF!</v>
      </c>
      <c r="R119" s="6" t="e">
        <f>-IF(R$2&gt;=Inputs!#REF!,MIN(R117,$C$119),0)</f>
        <v>#REF!</v>
      </c>
      <c r="S119" s="6" t="e">
        <f>-IF(S$2&gt;=Inputs!#REF!,MIN(S117,$C$119),0)</f>
        <v>#REF!</v>
      </c>
      <c r="T119" s="6" t="e">
        <f>-IF(T$2&gt;=Inputs!#REF!,MIN(T117,$C$119),0)</f>
        <v>#REF!</v>
      </c>
      <c r="U119" s="6" t="e">
        <f>-IF(U$2&gt;=Inputs!#REF!,MIN(U117,$C$119),0)</f>
        <v>#REF!</v>
      </c>
      <c r="V119" s="6" t="e">
        <f>-IF(V$2&gt;=Inputs!#REF!,MIN(V117,$C$119),0)</f>
        <v>#REF!</v>
      </c>
      <c r="W119" s="6" t="e">
        <f>-IF(W$2&gt;=Inputs!#REF!,MIN(W117,$C$119),0)</f>
        <v>#REF!</v>
      </c>
      <c r="X119" s="6" t="e">
        <f>-IF(X$2&gt;=Inputs!#REF!,MIN(X117,$C$119),0)</f>
        <v>#REF!</v>
      </c>
      <c r="Y119" s="6" t="e">
        <f>-IF(Y$2&gt;=Inputs!#REF!,MIN(Y117,$C$119),0)</f>
        <v>#REF!</v>
      </c>
      <c r="Z119" s="6" t="e">
        <f>-IF(Z$2&gt;=Inputs!#REF!,MIN(Z117,$C$119),0)</f>
        <v>#REF!</v>
      </c>
      <c r="AA119" s="6" t="e">
        <f>-IF(AA$2&gt;=Inputs!#REF!,MIN(AA117,$C$119),0)</f>
        <v>#REF!</v>
      </c>
      <c r="AB119" s="6" t="e">
        <f>-IF(AB$2&gt;=Inputs!#REF!,MIN(AB117,$C$119),0)</f>
        <v>#REF!</v>
      </c>
      <c r="AC119" s="6" t="e">
        <f>-IF(AC$2&gt;=Inputs!#REF!,MIN(AC117,$C$119),0)</f>
        <v>#REF!</v>
      </c>
      <c r="AD119" s="6" t="e">
        <f>-IF(AD$2&gt;=Inputs!#REF!,MIN(AD117,$C$119),0)</f>
        <v>#REF!</v>
      </c>
      <c r="AE119" s="6" t="e">
        <f>-IF(AE$2&gt;=Inputs!#REF!,MIN(AE117,$C$119),0)</f>
        <v>#REF!</v>
      </c>
      <c r="AF119" s="6" t="e">
        <f>-IF(AF$2&gt;=Inputs!#REF!,MIN(AF117,$C$119),0)</f>
        <v>#REF!</v>
      </c>
      <c r="AG119" s="6" t="e">
        <f>-IF(AG$2&gt;=Inputs!#REF!,MIN(AG117,$C$119),0)</f>
        <v>#REF!</v>
      </c>
      <c r="AH119" s="6" t="e">
        <f>-IF(AH$2&gt;=Inputs!#REF!,MIN(AH117,$C$119),0)</f>
        <v>#REF!</v>
      </c>
      <c r="AI119" s="6" t="e">
        <f>-IF(AI$2&gt;=Inputs!#REF!,MIN(AI117,$C$119),0)</f>
        <v>#REF!</v>
      </c>
      <c r="AJ119" s="6" t="e">
        <f>-IF(AJ$2&gt;=Inputs!#REF!,MIN(AJ117,$C$119),0)</f>
        <v>#REF!</v>
      </c>
      <c r="AK119" s="6" t="e">
        <f>-IF(AK$2&gt;=Inputs!#REF!,MIN(AK117,$C$119),0)</f>
        <v>#REF!</v>
      </c>
      <c r="AL119" s="6" t="e">
        <f>-IF(AL$2&gt;=Inputs!#REF!,MIN(AL117,$C$119),0)</f>
        <v>#REF!</v>
      </c>
      <c r="AM119" s="6" t="e">
        <f>-IF(AM$2&gt;=Inputs!#REF!,MIN(AM117,$C$119),0)</f>
        <v>#REF!</v>
      </c>
      <c r="AN119" s="6" t="e">
        <f>-IF(AN$2&gt;=Inputs!#REF!,MIN(AN117,$C$119),0)</f>
        <v>#REF!</v>
      </c>
      <c r="AO119" s="6" t="e">
        <f>-IF(AO$2&gt;=Inputs!#REF!,MIN(AO117,$C$119),0)</f>
        <v>#REF!</v>
      </c>
      <c r="AP119" s="6" t="e">
        <f>-IF(AP$2&gt;=Inputs!#REF!,MIN(AP117,$C$119),0)</f>
        <v>#REF!</v>
      </c>
      <c r="AQ119" s="6" t="e">
        <f>-IF(AQ$2&gt;=Inputs!#REF!,MIN(AQ117,$C$119),0)</f>
        <v>#REF!</v>
      </c>
      <c r="AR119" s="6" t="e">
        <f>-IF(AR$2&gt;=Inputs!#REF!,MIN(AR117,$C$119),0)</f>
        <v>#REF!</v>
      </c>
      <c r="AS119" s="6" t="e">
        <f>-IF(AS$2&gt;=Inputs!#REF!,MIN(AS117,$C$119),0)</f>
        <v>#REF!</v>
      </c>
      <c r="AT119" s="6" t="e">
        <f>-IF(AT$2&gt;=Inputs!#REF!,MIN(AT117,$C$119),0)</f>
        <v>#REF!</v>
      </c>
      <c r="AU119" s="6" t="e">
        <f>-IF(AU$2&gt;=Inputs!#REF!,MIN(AU117,$C$119),0)</f>
        <v>#REF!</v>
      </c>
      <c r="AV119" s="6" t="e">
        <f>-IF(AV$2&gt;=Inputs!#REF!,MIN(AV117,$C$119),0)</f>
        <v>#REF!</v>
      </c>
      <c r="AW119" s="6" t="e">
        <f>-IF(AW$2&gt;=Inputs!#REF!,MIN(AW117,$C$119),0)</f>
        <v>#REF!</v>
      </c>
      <c r="AX119" s="6" t="e">
        <f>-IF(AX$2&gt;=Inputs!#REF!,MIN(AX117,$C$119),0)</f>
        <v>#REF!</v>
      </c>
      <c r="AY119" s="6" t="e">
        <f>-IF(AY$2&gt;=Inputs!#REF!,MIN(AY117,$C$119),0)</f>
        <v>#REF!</v>
      </c>
      <c r="AZ119" s="6" t="e">
        <f>-IF(AZ$2&gt;=Inputs!#REF!,MIN(AZ117,$C$119),0)</f>
        <v>#REF!</v>
      </c>
      <c r="BA119" s="6" t="e">
        <f>-IF(BA$2&gt;=Inputs!#REF!,MIN(BA117,$C$119),0)</f>
        <v>#REF!</v>
      </c>
      <c r="BB119" s="6" t="e">
        <f>-IF(BB$2&gt;=Inputs!#REF!,MIN(BB117,$C$119),0)</f>
        <v>#REF!</v>
      </c>
      <c r="BC119" s="6" t="e">
        <f>-IF(BC$2&gt;=Inputs!#REF!,MIN(BC117,$C$119),0)</f>
        <v>#REF!</v>
      </c>
      <c r="BD119" s="6" t="e">
        <f>-IF(BD$2&gt;=Inputs!#REF!,MIN(BD117,$C$119),0)</f>
        <v>#REF!</v>
      </c>
      <c r="BE119" s="6" t="e">
        <f>-IF(BE$2&gt;=Inputs!#REF!,MIN(BE117,$C$119),0)</f>
        <v>#REF!</v>
      </c>
      <c r="BF119" s="6" t="e">
        <f>-IF(BF$2&gt;=Inputs!#REF!,MIN(BF117,$C$119),0)</f>
        <v>#REF!</v>
      </c>
      <c r="BG119" s="6" t="e">
        <f>-IF(BG$2&gt;=Inputs!#REF!,MIN(BG117,$C$119),0)</f>
        <v>#REF!</v>
      </c>
      <c r="BH119" s="6" t="e">
        <f>-IF(BH$2&gt;=Inputs!#REF!,MIN(BH117,$C$119),0)</f>
        <v>#REF!</v>
      </c>
      <c r="BI119" s="6" t="e">
        <f>-IF(BI$2&gt;=Inputs!#REF!,MIN(BI117,$C$119),0)</f>
        <v>#REF!</v>
      </c>
      <c r="BJ119" s="6" t="e">
        <f>-IF(BJ$2&gt;=Inputs!#REF!,MIN(BJ117,$C$119),0)</f>
        <v>#REF!</v>
      </c>
      <c r="BK119" s="6" t="e">
        <f>-IF(BK$2&gt;=Inputs!#REF!,MIN(BK117,$C$119),0)</f>
        <v>#REF!</v>
      </c>
      <c r="BL119" s="6" t="e">
        <f>-IF(BL$2&gt;=Inputs!#REF!,MIN(BL117,$C$119),0)</f>
        <v>#REF!</v>
      </c>
      <c r="BM119" s="6" t="e">
        <f>-IF(BM$2&gt;=Inputs!#REF!,MIN(BM117,$C$119),0)</f>
        <v>#REF!</v>
      </c>
      <c r="BN119" s="6" t="e">
        <f>-IF(BN$2&gt;=Inputs!#REF!,MIN(BN117,$C$119),0)</f>
        <v>#REF!</v>
      </c>
      <c r="BO119" s="6" t="e">
        <f>-IF(BO$2&gt;=Inputs!#REF!,MIN(BO117,$C$119),0)</f>
        <v>#REF!</v>
      </c>
      <c r="BP119" s="6" t="e">
        <f>-IF(BP$2&gt;=Inputs!#REF!,MIN(BP117,$C$119),0)</f>
        <v>#REF!</v>
      </c>
      <c r="BQ119" s="6" t="e">
        <f>-IF(BQ$2&gt;=Inputs!#REF!,MIN(BQ117,$C$119),0)</f>
        <v>#REF!</v>
      </c>
      <c r="BR119" s="6" t="e">
        <f>-IF(BR$2&gt;=Inputs!#REF!,MIN(BR117,$C$119),0)</f>
        <v>#REF!</v>
      </c>
      <c r="BS119" s="6" t="e">
        <f>-IF(BS$2&gt;=Inputs!#REF!,MIN(BS117,$C$119),0)</f>
        <v>#REF!</v>
      </c>
      <c r="BT119" s="6" t="e">
        <f>-IF(BT$2&gt;=Inputs!#REF!,MIN(BT117,$C$119),0)</f>
        <v>#REF!</v>
      </c>
      <c r="BU119" s="6" t="e">
        <f>-IF(BU$2&gt;=Inputs!#REF!,MIN(BU117,$C$119),0)</f>
        <v>#REF!</v>
      </c>
      <c r="BV119" s="6" t="e">
        <f>-IF(BV$2&gt;=Inputs!#REF!,MIN(BV117,$C$119),0)</f>
        <v>#REF!</v>
      </c>
      <c r="BW119" s="6" t="e">
        <f>-IF(BW$2&gt;=Inputs!#REF!,MIN(BW117,$C$119),0)</f>
        <v>#REF!</v>
      </c>
      <c r="BX119" s="6" t="e">
        <f>-IF(BX$2&gt;=Inputs!#REF!,MIN(BX117,$C$119),0)</f>
        <v>#REF!</v>
      </c>
      <c r="BY119" s="6" t="e">
        <f>-IF(BY$2&gt;=Inputs!#REF!,MIN(BY117,$C$119),0)</f>
        <v>#REF!</v>
      </c>
      <c r="BZ119" s="6" t="e">
        <f>-IF(BZ$2&gt;=Inputs!#REF!,MIN(BZ117,$C$119),0)</f>
        <v>#REF!</v>
      </c>
      <c r="CA119" s="6" t="e">
        <f>-IF(CA$2&gt;=Inputs!#REF!,MIN(CA117,$C$119),0)</f>
        <v>#REF!</v>
      </c>
      <c r="CB119" s="6" t="e">
        <f>-IF(CB$2&gt;=Inputs!#REF!,MIN(CB117,$C$119),0)</f>
        <v>#REF!</v>
      </c>
      <c r="CC119" s="6" t="e">
        <f>-IF(CC$2&gt;=Inputs!#REF!,MIN(CC117,$C$119),0)</f>
        <v>#REF!</v>
      </c>
      <c r="CD119" s="6" t="e">
        <f>-IF(CD$2&gt;=Inputs!#REF!,MIN(CD117,$C$119),0)</f>
        <v>#REF!</v>
      </c>
      <c r="CE119" s="6" t="e">
        <f>-IF(CE$2&gt;=Inputs!#REF!,MIN(CE117,$C$119),0)</f>
        <v>#REF!</v>
      </c>
      <c r="CF119" s="6" t="e">
        <f>-IF(CF$2&gt;=Inputs!#REF!,MIN(CF117,$C$119),0)</f>
        <v>#REF!</v>
      </c>
      <c r="CG119" s="6" t="e">
        <f>-IF(CG$2&gt;=Inputs!#REF!,MIN(CG117,$C$119),0)</f>
        <v>#REF!</v>
      </c>
      <c r="CH119" s="6" t="e">
        <f>-IF(CH$2&gt;=Inputs!#REF!,MIN(CH117,$C$119),0)</f>
        <v>#REF!</v>
      </c>
      <c r="CI119" s="6" t="e">
        <f>-IF(CI$2&gt;=Inputs!#REF!,MIN(CI117,$C$119),0)</f>
        <v>#REF!</v>
      </c>
      <c r="CJ119" s="6" t="e">
        <f>-IF(CJ$2&gt;=Inputs!#REF!,MIN(CJ117,$C$119),0)</f>
        <v>#REF!</v>
      </c>
      <c r="CK119" s="6" t="e">
        <f>-IF(CK$2&gt;=Inputs!#REF!,MIN(CK117,$C$119),0)</f>
        <v>#REF!</v>
      </c>
      <c r="CL119" s="6" t="e">
        <f>-IF(CL$2&gt;=Inputs!#REF!,MIN(CL117,$C$119),0)</f>
        <v>#REF!</v>
      </c>
      <c r="CM119" s="6" t="e">
        <f>-IF(CM$2&gt;=Inputs!#REF!,MIN(CM117,$C$119),0)</f>
        <v>#REF!</v>
      </c>
      <c r="CN119" s="6" t="e">
        <f>-IF(CN$2&gt;=Inputs!#REF!,MIN(CN117,$C$119),0)</f>
        <v>#REF!</v>
      </c>
      <c r="CO119" s="6" t="e">
        <f>-IF(CO$2&gt;=Inputs!#REF!,MIN(CO117,$C$119),0)</f>
        <v>#REF!</v>
      </c>
      <c r="CP119" s="6" t="e">
        <f>-IF(CP$2&gt;=Inputs!#REF!,MIN(CP117,$C$119),0)</f>
        <v>#REF!</v>
      </c>
      <c r="CQ119" s="6" t="e">
        <f>-IF(CQ$2&gt;=Inputs!#REF!,MIN(CQ117,$C$119),0)</f>
        <v>#REF!</v>
      </c>
      <c r="CR119" s="6" t="e">
        <f>-IF(CR$2&gt;=Inputs!#REF!,MIN(CR117,$C$119),0)</f>
        <v>#REF!</v>
      </c>
      <c r="CS119" s="6" t="e">
        <f>-IF(CS$2&gt;=Inputs!#REF!,MIN(CS117,$C$119),0)</f>
        <v>#REF!</v>
      </c>
      <c r="CT119" s="6" t="e">
        <f>-IF(CT$2&gt;=Inputs!#REF!,MIN(CT117,$C$119),0)</f>
        <v>#REF!</v>
      </c>
      <c r="CU119" s="6" t="e">
        <f>-IF(CU$2&gt;=Inputs!#REF!,MIN(CU117,$C$119),0)</f>
        <v>#REF!</v>
      </c>
      <c r="CV119" s="6" t="e">
        <f>-IF(CV$2&gt;=Inputs!#REF!,MIN(CV117,$C$119),0)</f>
        <v>#REF!</v>
      </c>
      <c r="CW119" s="6" t="e">
        <f>-IF(CW$2&gt;=Inputs!#REF!,MIN(CW117,$C$119),0)</f>
        <v>#REF!</v>
      </c>
      <c r="CX119" s="6" t="e">
        <f>-IF(CX$2&gt;=Inputs!#REF!,MIN(CX117,$C$119),0)</f>
        <v>#REF!</v>
      </c>
      <c r="CY119" s="6" t="e">
        <f>-IF(CY$2&gt;=Inputs!#REF!,MIN(CY117,$C$119),0)</f>
        <v>#REF!</v>
      </c>
      <c r="CZ119" s="6" t="e">
        <f>-IF(CZ$2&gt;=Inputs!#REF!,MIN(CZ117,$C$119),0)</f>
        <v>#REF!</v>
      </c>
      <c r="DA119" s="6" t="e">
        <f>-IF(DA$2&gt;=Inputs!#REF!,MIN(DA117,$C$119),0)</f>
        <v>#REF!</v>
      </c>
      <c r="DB119" s="6" t="e">
        <f>-IF(DB$2&gt;=Inputs!#REF!,MIN(DB117,$C$119),0)</f>
        <v>#REF!</v>
      </c>
      <c r="DC119" s="6" t="e">
        <f>-IF(DC$2&gt;=Inputs!#REF!,MIN(DC117,$C$119),0)</f>
        <v>#REF!</v>
      </c>
      <c r="DD119" s="6" t="e">
        <f>-IF(DD$2&gt;=Inputs!#REF!,MIN(DD117,$C$119),0)</f>
        <v>#REF!</v>
      </c>
      <c r="DE119" s="6" t="e">
        <f>-IF(DE$2&gt;=Inputs!#REF!,MIN(DE117,$C$119),0)</f>
        <v>#REF!</v>
      </c>
      <c r="DF119" s="6" t="e">
        <f>-IF(DF$2&gt;=Inputs!#REF!,MIN(DF117,$C$119),0)</f>
        <v>#REF!</v>
      </c>
      <c r="DG119" s="6" t="e">
        <f>-IF(DG$2&gt;=Inputs!#REF!,MIN(DG117,$C$119),0)</f>
        <v>#REF!</v>
      </c>
      <c r="DH119" s="6" t="e">
        <f>-IF(DH$2&gt;=Inputs!#REF!,MIN(DH117,$C$119),0)</f>
        <v>#REF!</v>
      </c>
      <c r="DI119" s="6" t="e">
        <f>-IF(DI$2&gt;=Inputs!#REF!,MIN(DI117,$C$119),0)</f>
        <v>#REF!</v>
      </c>
      <c r="DJ119" s="6" t="e">
        <f>-IF(DJ$2&gt;=Inputs!#REF!,MIN(DJ117,$C$119),0)</f>
        <v>#REF!</v>
      </c>
      <c r="DK119" s="6" t="e">
        <f>-IF(DK$2&gt;=Inputs!#REF!,MIN(DK117,$C$119),0)</f>
        <v>#REF!</v>
      </c>
      <c r="DL119" s="6" t="e">
        <f>-IF(DL$2&gt;=Inputs!#REF!,MIN(DL117,$C$119),0)</f>
        <v>#REF!</v>
      </c>
      <c r="DM119" s="6" t="e">
        <f>-IF(DM$2&gt;=Inputs!#REF!,MIN(DM117,$C$119),0)</f>
        <v>#REF!</v>
      </c>
      <c r="DN119" s="6" t="e">
        <f>-IF(DN$2&gt;=Inputs!#REF!,MIN(DN117,$C$119),0)</f>
        <v>#REF!</v>
      </c>
      <c r="DO119" s="6" t="e">
        <f>-IF(DO$2&gt;=Inputs!#REF!,MIN(DO117,$C$119),0)</f>
        <v>#REF!</v>
      </c>
      <c r="DP119" s="6" t="e">
        <f>-IF(DP$2&gt;=Inputs!#REF!,MIN(DP117,$C$119),0)</f>
        <v>#REF!</v>
      </c>
      <c r="DQ119" s="6" t="e">
        <f>-IF(DQ$2&gt;=Inputs!#REF!,MIN(DQ117,$C$119),0)</f>
        <v>#REF!</v>
      </c>
      <c r="DR119" s="6" t="e">
        <f>-IF(DR$2&gt;=Inputs!#REF!,MIN(DR117,$C$119),0)</f>
        <v>#REF!</v>
      </c>
      <c r="DS119" s="6" t="e">
        <f>-IF(DS$2&gt;=Inputs!#REF!,MIN(DS117,$C$119),0)</f>
        <v>#REF!</v>
      </c>
      <c r="DT119" s="6" t="e">
        <f>-IF(DT$2&gt;=Inputs!#REF!,MIN(DT117,$C$119),0)</f>
        <v>#REF!</v>
      </c>
      <c r="DU119" s="6" t="e">
        <f>-IF(DU$2&gt;=Inputs!#REF!,MIN(DU117,$C$119),0)</f>
        <v>#REF!</v>
      </c>
      <c r="DV119" s="6" t="e">
        <f>-IF(DV$2&gt;=Inputs!#REF!,MIN(DV117,$C$119),0)</f>
        <v>#REF!</v>
      </c>
      <c r="DW119" s="6" t="e">
        <f>-IF(DW$2&gt;=Inputs!#REF!,MIN(DW117,$C$119),0)</f>
        <v>#REF!</v>
      </c>
      <c r="DX119" s="6" t="e">
        <f>-IF(DX$2&gt;=Inputs!#REF!,MIN(DX117,$C$119),0)</f>
        <v>#REF!</v>
      </c>
      <c r="DY119" s="6" t="e">
        <f>-IF(DY$2&gt;=Inputs!#REF!,MIN(DY117,$C$119),0)</f>
        <v>#REF!</v>
      </c>
      <c r="DZ119" s="6" t="e">
        <f>-IF(DZ$2&gt;=Inputs!#REF!,MIN(DZ117,$C$119),0)</f>
        <v>#REF!</v>
      </c>
      <c r="EA119" s="6" t="e">
        <f>-IF(EA$2&gt;=Inputs!#REF!,MIN(EA117,$C$119),0)</f>
        <v>#REF!</v>
      </c>
      <c r="EB119" s="6" t="e">
        <f>-IF(EB$2&gt;=Inputs!#REF!,MIN(EB117,$C$119),0)</f>
        <v>#REF!</v>
      </c>
      <c r="EC119" s="6" t="e">
        <f>-IF(EC$2&gt;=Inputs!#REF!,MIN(EC117,$C$119),0)</f>
        <v>#REF!</v>
      </c>
      <c r="ED119" s="6" t="e">
        <f>-IF(ED$2&gt;=Inputs!#REF!,MIN(ED117,$C$119),0)</f>
        <v>#REF!</v>
      </c>
      <c r="EE119" s="6" t="e">
        <f>-IF(EE$2&gt;=Inputs!#REF!,MIN(EE117,$C$119),0)</f>
        <v>#REF!</v>
      </c>
      <c r="EF119" s="6" t="e">
        <f>-IF(EF$2&gt;=Inputs!#REF!,MIN(EF117,$C$119),0)</f>
        <v>#REF!</v>
      </c>
      <c r="EG119" s="6" t="e">
        <f>-IF(EG$2&gt;=Inputs!#REF!,MIN(EG117,$C$119),0)</f>
        <v>#REF!</v>
      </c>
      <c r="EH119" s="6" t="e">
        <f>-IF(EH$2&gt;=Inputs!#REF!,MIN(EH117,$C$119),0)</f>
        <v>#REF!</v>
      </c>
      <c r="EI119" s="6" t="e">
        <f>-IF(EI$2&gt;=Inputs!#REF!,MIN(EI117,$C$119),0)</f>
        <v>#REF!</v>
      </c>
      <c r="EJ119" s="6" t="e">
        <f>-IF(EJ$2&gt;=Inputs!#REF!,MIN(EJ117,$C$119),0)</f>
        <v>#REF!</v>
      </c>
      <c r="EK119" s="6" t="e">
        <f>-IF(EK$2&gt;=Inputs!#REF!,MIN(EK117,$C$119),0)</f>
        <v>#REF!</v>
      </c>
      <c r="EL119" s="6" t="e">
        <f>-IF(EL$2&gt;=Inputs!#REF!,MIN(EL117,$C$119),0)</f>
        <v>#REF!</v>
      </c>
      <c r="EM119" s="6" t="e">
        <f>-IF(EM$2&gt;=Inputs!#REF!,MIN(EM117,$C$119),0)</f>
        <v>#REF!</v>
      </c>
      <c r="EN119" s="6" t="e">
        <f>-IF(EN$2&gt;=Inputs!#REF!,MIN(EN117,$C$119),0)</f>
        <v>#REF!</v>
      </c>
      <c r="EO119" s="6" t="e">
        <f>-IF(EO$2&gt;=Inputs!#REF!,MIN(EO117,$C$119),0)</f>
        <v>#REF!</v>
      </c>
      <c r="EP119" s="6" t="e">
        <f>-IF(EP$2&gt;=Inputs!#REF!,MIN(EP117,$C$119),0)</f>
        <v>#REF!</v>
      </c>
      <c r="EQ119" s="6" t="e">
        <f>-IF(EQ$2&gt;=Inputs!#REF!,MIN(EQ117,$C$119),0)</f>
        <v>#REF!</v>
      </c>
      <c r="ER119" s="6" t="e">
        <f>-IF(ER$2&gt;=Inputs!#REF!,MIN(ER117,$C$119),0)</f>
        <v>#REF!</v>
      </c>
      <c r="ES119" s="6" t="e">
        <f>-IF(ES$2&gt;=Inputs!#REF!,MIN(ES117,$C$119),0)</f>
        <v>#REF!</v>
      </c>
      <c r="ET119" s="6" t="e">
        <f>-IF(ET$2&gt;=Inputs!#REF!,MIN(ET117,$C$119),0)</f>
        <v>#REF!</v>
      </c>
      <c r="EU119" s="6" t="e">
        <f>-IF(EU$2&gt;=Inputs!#REF!,MIN(EU117,$C$119),0)</f>
        <v>#REF!</v>
      </c>
      <c r="EV119" s="6" t="e">
        <f>-IF(EV$2&gt;=Inputs!#REF!,MIN(EV117,$C$119),0)</f>
        <v>#REF!</v>
      </c>
      <c r="EW119" s="6" t="e">
        <f>-IF(EW$2&gt;=Inputs!#REF!,MIN(EW117,$C$119),0)</f>
        <v>#REF!</v>
      </c>
      <c r="EX119" s="6" t="e">
        <f>-IF(EX$2&gt;=Inputs!#REF!,MIN(EX117,$C$119),0)</f>
        <v>#REF!</v>
      </c>
      <c r="EY119" s="6" t="e">
        <f>-IF(EY$2&gt;=Inputs!#REF!,MIN(EY117,$C$119),0)</f>
        <v>#REF!</v>
      </c>
      <c r="EZ119" s="6" t="e">
        <f>-IF(EZ$2&gt;=Inputs!#REF!,MIN(EZ117,$C$119),0)</f>
        <v>#REF!</v>
      </c>
      <c r="FA119" s="6" t="e">
        <f>-IF(FA$2&gt;=Inputs!#REF!,MIN(FA117,$C$119),0)</f>
        <v>#REF!</v>
      </c>
      <c r="FB119" s="6" t="e">
        <f>-IF(FB$2&gt;=Inputs!#REF!,MIN(FB117,$C$119),0)</f>
        <v>#REF!</v>
      </c>
      <c r="FC119" s="6" t="e">
        <f>-IF(FC$2&gt;=Inputs!#REF!,MIN(FC117,$C$119),0)</f>
        <v>#REF!</v>
      </c>
      <c r="FD119" s="6" t="e">
        <f>-IF(FD$2&gt;=Inputs!#REF!,MIN(FD117,$C$119),0)</f>
        <v>#REF!</v>
      </c>
      <c r="FE119" s="6" t="e">
        <f>-IF(FE$2&gt;=Inputs!#REF!,MIN(FE117,$C$119),0)</f>
        <v>#REF!</v>
      </c>
      <c r="FF119" s="6" t="e">
        <f>-IF(FF$2&gt;=Inputs!#REF!,MIN(FF117,$C$119),0)</f>
        <v>#REF!</v>
      </c>
      <c r="FG119" s="6" t="e">
        <f>-IF(FG$2&gt;=Inputs!#REF!,MIN(FG117,$C$119),0)</f>
        <v>#REF!</v>
      </c>
      <c r="FH119" s="6" t="e">
        <f>-IF(FH$2&gt;=Inputs!#REF!,MIN(FH117,$C$119),0)</f>
        <v>#REF!</v>
      </c>
      <c r="FI119" s="6" t="e">
        <f>-IF(FI$2&gt;=Inputs!#REF!,MIN(FI117,$C$119),0)</f>
        <v>#REF!</v>
      </c>
      <c r="FJ119" s="6" t="e">
        <f>-IF(FJ$2&gt;=Inputs!#REF!,MIN(FJ117,$C$119),0)</f>
        <v>#REF!</v>
      </c>
      <c r="FK119" s="6" t="e">
        <f>-IF(FK$2&gt;=Inputs!#REF!,MIN(FK117,$C$119),0)</f>
        <v>#REF!</v>
      </c>
      <c r="FL119" s="6" t="e">
        <f>-IF(FL$2&gt;=Inputs!#REF!,MIN(FL117,$C$119),0)</f>
        <v>#REF!</v>
      </c>
      <c r="FM119" s="6" t="e">
        <f>-IF(FM$2&gt;=Inputs!#REF!,MIN(FM117,$C$119),0)</f>
        <v>#REF!</v>
      </c>
      <c r="FN119" s="6" t="e">
        <f>-IF(FN$2&gt;=Inputs!#REF!,MIN(FN117,$C$119),0)</f>
        <v>#REF!</v>
      </c>
      <c r="FO119" s="6" t="e">
        <f>-IF(FO$2&gt;=Inputs!#REF!,MIN(FO117,$C$119),0)</f>
        <v>#REF!</v>
      </c>
      <c r="FP119" s="6" t="e">
        <f>-IF(FP$2&gt;=Inputs!#REF!,MIN(FP117,$C$119),0)</f>
        <v>#REF!</v>
      </c>
      <c r="FQ119" s="6" t="e">
        <f>-IF(FQ$2&gt;=Inputs!#REF!,MIN(FQ117,$C$119),0)</f>
        <v>#REF!</v>
      </c>
      <c r="FR119" s="6" t="e">
        <f>-IF(FR$2&gt;=Inputs!#REF!,MIN(FR117,$C$119),0)</f>
        <v>#REF!</v>
      </c>
      <c r="FS119" s="6" t="e">
        <f>-IF(FS$2&gt;=Inputs!#REF!,MIN(FS117,$C$119),0)</f>
        <v>#REF!</v>
      </c>
      <c r="FT119" s="6" t="e">
        <f>-IF(FT$2&gt;=Inputs!#REF!,MIN(FT117,$C$119),0)</f>
        <v>#REF!</v>
      </c>
      <c r="FU119" s="6" t="e">
        <f>-IF(FU$2&gt;=Inputs!#REF!,MIN(FU117,$C$119),0)</f>
        <v>#REF!</v>
      </c>
      <c r="FV119" s="6" t="e">
        <f>-IF(FV$2&gt;=Inputs!#REF!,MIN(FV117,$C$119),0)</f>
        <v>#REF!</v>
      </c>
      <c r="FW119" s="6" t="e">
        <f>-IF(FW$2&gt;=Inputs!#REF!,MIN(FW117,$C$119),0)</f>
        <v>#REF!</v>
      </c>
      <c r="FX119" s="6" t="e">
        <f>-IF(FX$2&gt;=Inputs!#REF!,MIN(FX117,$C$119),0)</f>
        <v>#REF!</v>
      </c>
      <c r="FY119" s="6" t="e">
        <f>-IF(FY$2&gt;=Inputs!#REF!,MIN(FY117,$C$119),0)</f>
        <v>#REF!</v>
      </c>
      <c r="FZ119" s="6" t="e">
        <f>-IF(FZ$2&gt;=Inputs!#REF!,MIN(FZ117,$C$119),0)</f>
        <v>#REF!</v>
      </c>
      <c r="GA119" s="6" t="e">
        <f>-IF(GA$2&gt;=Inputs!#REF!,MIN(GA117,$C$119),0)</f>
        <v>#REF!</v>
      </c>
      <c r="GB119" s="6" t="e">
        <f>-IF(GB$2&gt;=Inputs!#REF!,MIN(GB117,$C$119),0)</f>
        <v>#REF!</v>
      </c>
      <c r="GC119" s="6" t="e">
        <f>-IF(GC$2&gt;=Inputs!#REF!,MIN(GC117,$C$119),0)</f>
        <v>#REF!</v>
      </c>
      <c r="GD119" s="6" t="e">
        <f>-IF(GD$2&gt;=Inputs!#REF!,MIN(GD117,$C$119),0)</f>
        <v>#REF!</v>
      </c>
      <c r="GE119" s="6" t="e">
        <f>-IF(GE$2&gt;=Inputs!#REF!,MIN(GE117,$C$119),0)</f>
        <v>#REF!</v>
      </c>
      <c r="GF119" s="6" t="e">
        <f>-IF(GF$2&gt;=Inputs!#REF!,MIN(GF117,$C$119),0)</f>
        <v>#REF!</v>
      </c>
      <c r="GG119" s="6" t="e">
        <f>-IF(GG$2&gt;=Inputs!#REF!,MIN(GG117,$C$119),0)</f>
        <v>#REF!</v>
      </c>
      <c r="GH119" s="6" t="e">
        <f>-IF(GH$2&gt;=Inputs!#REF!,MIN(GH117,$C$119),0)</f>
        <v>#REF!</v>
      </c>
      <c r="GI119" s="6" t="e">
        <f>-IF(GI$2&gt;=Inputs!#REF!,MIN(GI117,$C$119),0)</f>
        <v>#REF!</v>
      </c>
      <c r="GJ119" s="6" t="e">
        <f>-IF(GJ$2&gt;=Inputs!#REF!,MIN(GJ117,$C$119),0)</f>
        <v>#REF!</v>
      </c>
      <c r="GK119" s="6" t="e">
        <f>-IF(GK$2&gt;=Inputs!#REF!,MIN(GK117,$C$119),0)</f>
        <v>#REF!</v>
      </c>
      <c r="GL119" s="6" t="e">
        <f>-IF(GL$2&gt;=Inputs!#REF!,MIN(GL117,$C$119),0)</f>
        <v>#REF!</v>
      </c>
      <c r="GM119" s="6" t="e">
        <f>-IF(GM$2&gt;=Inputs!#REF!,MIN(GM117,$C$119),0)</f>
        <v>#REF!</v>
      </c>
      <c r="GN119" s="6" t="e">
        <f>-IF(GN$2&gt;=Inputs!#REF!,MIN(GN117,$C$119),0)</f>
        <v>#REF!</v>
      </c>
      <c r="GO119" s="6" t="e">
        <f>-IF(GO$2&gt;=Inputs!#REF!,MIN(GO117,$C$119),0)</f>
        <v>#REF!</v>
      </c>
      <c r="GP119" s="6" t="e">
        <f>-IF(GP$2&gt;=Inputs!#REF!,MIN(GP117,$C$119),0)</f>
        <v>#REF!</v>
      </c>
      <c r="GQ119" s="6" t="e">
        <f>-IF(GQ$2&gt;=Inputs!#REF!,MIN(GQ117,$C$119),0)</f>
        <v>#REF!</v>
      </c>
      <c r="GR119" s="6" t="e">
        <f>-IF(GR$2&gt;=Inputs!#REF!,MIN(GR117,$C$119),0)</f>
        <v>#REF!</v>
      </c>
      <c r="GS119" s="6" t="e">
        <f>-IF(GS$2&gt;=Inputs!#REF!,MIN(GS117,$C$119),0)</f>
        <v>#REF!</v>
      </c>
      <c r="GT119" s="6" t="e">
        <f>-IF(GT$2&gt;=Inputs!#REF!,MIN(GT117,$C$119),0)</f>
        <v>#REF!</v>
      </c>
      <c r="GU119" s="6" t="e">
        <f>-IF(GU$2&gt;=Inputs!#REF!,MIN(GU117,$C$119),0)</f>
        <v>#REF!</v>
      </c>
      <c r="GV119" s="6" t="e">
        <f>-IF(GV$2&gt;=Inputs!#REF!,MIN(GV117,$C$119),0)</f>
        <v>#REF!</v>
      </c>
      <c r="GW119" s="6" t="e">
        <f>-IF(GW$2&gt;=Inputs!#REF!,MIN(GW117,$C$119),0)</f>
        <v>#REF!</v>
      </c>
      <c r="GX119" s="6" t="e">
        <f>-IF(GX$2&gt;=Inputs!#REF!,MIN(GX117,$C$119),0)</f>
        <v>#REF!</v>
      </c>
      <c r="GY119" s="6" t="e">
        <f>-IF(GY$2&gt;=Inputs!#REF!,MIN(GY117,$C$119),0)</f>
        <v>#REF!</v>
      </c>
      <c r="GZ119" s="6" t="e">
        <f>-IF(GZ$2&gt;=Inputs!#REF!,MIN(GZ117,$C$119),0)</f>
        <v>#REF!</v>
      </c>
      <c r="HA119" s="6" t="e">
        <f>-IF(HA$2&gt;=Inputs!#REF!,MIN(HA117,$C$119),0)</f>
        <v>#REF!</v>
      </c>
      <c r="HB119" s="6" t="e">
        <f>-IF(HB$2&gt;=Inputs!#REF!,MIN(HB117,$C$119),0)</f>
        <v>#REF!</v>
      </c>
      <c r="HC119" s="6" t="e">
        <f>-IF(HC$2&gt;=Inputs!#REF!,MIN(HC117,$C$119),0)</f>
        <v>#REF!</v>
      </c>
      <c r="HD119" s="6" t="e">
        <f>-IF(HD$2&gt;=Inputs!#REF!,MIN(HD117,$C$119),0)</f>
        <v>#REF!</v>
      </c>
      <c r="HE119" s="6" t="e">
        <f>-IF(HE$2&gt;=Inputs!#REF!,MIN(HE117,$C$119),0)</f>
        <v>#REF!</v>
      </c>
      <c r="HF119" s="6" t="e">
        <f>-IF(HF$2&gt;=Inputs!#REF!,MIN(HF117,$C$119),0)</f>
        <v>#REF!</v>
      </c>
      <c r="HG119" s="6" t="e">
        <f>-IF(HG$2&gt;=Inputs!#REF!,MIN(HG117,$C$119),0)</f>
        <v>#REF!</v>
      </c>
      <c r="HH119" s="6" t="e">
        <f>-IF(HH$2&gt;=Inputs!#REF!,MIN(HH117,$C$119),0)</f>
        <v>#REF!</v>
      </c>
      <c r="HI119" s="6" t="e">
        <f>-IF(HI$2&gt;=Inputs!#REF!,MIN(HI117,$C$119),0)</f>
        <v>#REF!</v>
      </c>
      <c r="HJ119" s="6" t="e">
        <f>-IF(HJ$2&gt;=Inputs!#REF!,MIN(HJ117,$C$119),0)</f>
        <v>#REF!</v>
      </c>
      <c r="HK119" s="6" t="e">
        <f>-IF(HK$2&gt;=Inputs!#REF!,MIN(HK117,$C$119),0)</f>
        <v>#REF!</v>
      </c>
      <c r="HL119" s="6" t="e">
        <f>-IF(HL$2&gt;=Inputs!#REF!,MIN(HL117,$C$119),0)</f>
        <v>#REF!</v>
      </c>
      <c r="HM119" s="6" t="e">
        <f>-IF(HM$2&gt;=Inputs!#REF!,MIN(HM117,$C$119),0)</f>
        <v>#REF!</v>
      </c>
      <c r="HN119" s="6" t="e">
        <f>-IF(HN$2&gt;=Inputs!#REF!,MIN(HN117,$C$119),0)</f>
        <v>#REF!</v>
      </c>
      <c r="HO119" s="6" t="e">
        <f>-IF(HO$2&gt;=Inputs!#REF!,MIN(HO117,$C$119),0)</f>
        <v>#REF!</v>
      </c>
      <c r="HP119" s="6" t="e">
        <f>-IF(HP$2&gt;=Inputs!#REF!,MIN(HP117,$C$119),0)</f>
        <v>#REF!</v>
      </c>
      <c r="HQ119" s="6" t="e">
        <f>-IF(HQ$2&gt;=Inputs!#REF!,MIN(HQ117,$C$119),0)</f>
        <v>#REF!</v>
      </c>
      <c r="HR119" s="6" t="e">
        <f>-IF(HR$2&gt;=Inputs!#REF!,MIN(HR117,$C$119),0)</f>
        <v>#REF!</v>
      </c>
      <c r="HS119" s="6" t="e">
        <f>-IF(HS$2&gt;=Inputs!#REF!,MIN(HS117,$C$119),0)</f>
        <v>#REF!</v>
      </c>
      <c r="HT119" s="6" t="e">
        <f>-IF(HT$2&gt;=Inputs!#REF!,MIN(HT117,$C$119),0)</f>
        <v>#REF!</v>
      </c>
      <c r="HU119" s="6" t="e">
        <f>-IF(HU$2&gt;=Inputs!#REF!,MIN(HU117,$C$119),0)</f>
        <v>#REF!</v>
      </c>
      <c r="HV119" s="6" t="e">
        <f>-IF(HV$2&gt;=Inputs!#REF!,MIN(HV117,$C$119),0)</f>
        <v>#REF!</v>
      </c>
      <c r="HW119" s="6" t="e">
        <f>-IF(HW$2&gt;=Inputs!#REF!,MIN(HW117,$C$119),0)</f>
        <v>#REF!</v>
      </c>
      <c r="HX119" s="6" t="e">
        <f>-IF(HX$2&gt;=Inputs!#REF!,MIN(HX117,$C$119),0)</f>
        <v>#REF!</v>
      </c>
      <c r="HY119" s="6" t="e">
        <f>-IF(HY$2&gt;=Inputs!#REF!,MIN(HY117,$C$119),0)</f>
        <v>#REF!</v>
      </c>
      <c r="HZ119" s="6" t="e">
        <f>-IF(HZ$2&gt;=Inputs!#REF!,MIN(HZ117,$C$119),0)</f>
        <v>#REF!</v>
      </c>
      <c r="IA119" s="6" t="e">
        <f>-IF(IA$2&gt;=Inputs!#REF!,MIN(IA117,$C$119),0)</f>
        <v>#REF!</v>
      </c>
      <c r="IB119" s="6" t="e">
        <f>-IF(IB$2&gt;=Inputs!#REF!,MIN(IB117,$C$119),0)</f>
        <v>#REF!</v>
      </c>
      <c r="IC119" s="6" t="e">
        <f>-IF(IC$2&gt;=Inputs!#REF!,MIN(IC117,$C$119),0)</f>
        <v>#REF!</v>
      </c>
      <c r="ID119" s="6" t="e">
        <f>-IF(ID$2&gt;=Inputs!#REF!,MIN(ID117,$C$119),0)</f>
        <v>#REF!</v>
      </c>
      <c r="IE119" s="6" t="e">
        <f>-IF(IE$2&gt;=Inputs!#REF!,MIN(IE117,$C$119),0)</f>
        <v>#REF!</v>
      </c>
      <c r="IF119" s="6" t="e">
        <f>-IF(IF$2&gt;=Inputs!#REF!,MIN(IF117,$C$119),0)</f>
        <v>#REF!</v>
      </c>
      <c r="IG119" s="6" t="e">
        <f>-IF(IG$2&gt;=Inputs!#REF!,MIN(IG117,$C$119),0)</f>
        <v>#REF!</v>
      </c>
      <c r="IH119" s="6" t="e">
        <f>-IF(IH$2&gt;=Inputs!#REF!,MIN(IH117,$C$119),0)</f>
        <v>#REF!</v>
      </c>
      <c r="II119" s="6" t="e">
        <f>-IF(II$2&gt;=Inputs!#REF!,MIN(II117,$C$119),0)</f>
        <v>#REF!</v>
      </c>
      <c r="IJ119" s="6" t="e">
        <f>-IF(IJ$2&gt;=Inputs!#REF!,MIN(IJ117,$C$119),0)</f>
        <v>#REF!</v>
      </c>
      <c r="IK119" s="6" t="e">
        <f>-IF(IK$2&gt;=Inputs!#REF!,MIN(IK117,$C$119),0)</f>
        <v>#REF!</v>
      </c>
      <c r="IL119" s="6" t="e">
        <f>-IF(IL$2&gt;=Inputs!#REF!,MIN(IL117,$C$119),0)</f>
        <v>#REF!</v>
      </c>
      <c r="IM119" s="6" t="e">
        <f>-IF(IM$2&gt;=Inputs!#REF!,MIN(IM117,$C$119),0)</f>
        <v>#REF!</v>
      </c>
      <c r="IN119" s="6" t="e">
        <f>-IF(IN$2&gt;=Inputs!#REF!,MIN(IN117,$C$119),0)</f>
        <v>#REF!</v>
      </c>
      <c r="IO119" s="6" t="e">
        <f>-IF(IO$2&gt;=Inputs!#REF!,MIN(IO117,$C$119),0)</f>
        <v>#REF!</v>
      </c>
      <c r="IP119" s="6" t="e">
        <f>-IF(IP$2&gt;=Inputs!#REF!,MIN(IP117,$C$119),0)</f>
        <v>#REF!</v>
      </c>
      <c r="IQ119" s="6" t="e">
        <f>-IF(IQ$2&gt;=Inputs!#REF!,MIN(IQ117,$C$119),0)</f>
        <v>#REF!</v>
      </c>
      <c r="IR119" s="6" t="e">
        <f>-IF(IR$2&gt;=Inputs!#REF!,MIN(IR117,$C$119),0)</f>
        <v>#REF!</v>
      </c>
      <c r="IS119" s="6" t="e">
        <f>-IF(IS$2&gt;=Inputs!#REF!,MIN(IS117,$C$119),0)</f>
        <v>#REF!</v>
      </c>
      <c r="IT119" s="6" t="e">
        <f>-IF(IT$2&gt;=Inputs!#REF!,MIN(IT117,$C$119),0)</f>
        <v>#REF!</v>
      </c>
      <c r="IU119" s="6" t="e">
        <f>-IF(IU$2&gt;=Inputs!#REF!,MIN(IU117,$C$119),0)</f>
        <v>#REF!</v>
      </c>
      <c r="IV119" s="6" t="e">
        <f>-IF(IV$2&gt;=Inputs!#REF!,MIN(IV117,$C$119),0)</f>
        <v>#REF!</v>
      </c>
      <c r="IW119" s="6" t="e">
        <f>-IF(IW$2&gt;=Inputs!#REF!,MIN(IW117,$C$119),0)</f>
        <v>#REF!</v>
      </c>
      <c r="IX119" s="6" t="e">
        <f>-IF(IX$2&gt;=Inputs!#REF!,MIN(IX117,$C$119),0)</f>
        <v>#REF!</v>
      </c>
      <c r="IY119" s="6" t="e">
        <f>-IF(IY$2&gt;=Inputs!#REF!,MIN(IY117,$C$119),0)</f>
        <v>#REF!</v>
      </c>
      <c r="IZ119" s="6" t="e">
        <f>-IF(IZ$2&gt;=Inputs!#REF!,MIN(IZ117,$C$119),0)</f>
        <v>#REF!</v>
      </c>
      <c r="JA119" s="6" t="e">
        <f>-IF(JA$2&gt;=Inputs!#REF!,MIN(JA117,$C$119),0)</f>
        <v>#REF!</v>
      </c>
      <c r="JB119" s="6" t="e">
        <f>-IF(JB$2&gt;=Inputs!#REF!,MIN(JB117,$C$119),0)</f>
        <v>#REF!</v>
      </c>
      <c r="JC119" s="6" t="e">
        <f>-IF(JC$2&gt;=Inputs!#REF!,MIN(JC117,$C$119),0)</f>
        <v>#REF!</v>
      </c>
      <c r="JD119" s="6" t="e">
        <f>-IF(JD$2&gt;=Inputs!#REF!,MIN(JD117,$C$119),0)</f>
        <v>#REF!</v>
      </c>
      <c r="JE119" s="6" t="e">
        <f>-IF(JE$2&gt;=Inputs!#REF!,MIN(JE117,$C$119),0)</f>
        <v>#REF!</v>
      </c>
      <c r="JF119" s="6" t="e">
        <f>-IF(JF$2&gt;=Inputs!#REF!,MIN(JF117,$C$119),0)</f>
        <v>#REF!</v>
      </c>
      <c r="JG119" s="6" t="e">
        <f>-IF(JG$2&gt;=Inputs!#REF!,MIN(JG117,$C$119),0)</f>
        <v>#REF!</v>
      </c>
      <c r="JH119" s="6" t="e">
        <f>-IF(JH$2&gt;=Inputs!#REF!,MIN(JH117,$C$119),0)</f>
        <v>#REF!</v>
      </c>
      <c r="JI119" s="6" t="e">
        <f>-IF(JI$2&gt;=Inputs!#REF!,MIN(JI117,$C$119),0)</f>
        <v>#REF!</v>
      </c>
      <c r="JJ119" s="6" t="e">
        <f>-IF(JJ$2&gt;=Inputs!#REF!,MIN(JJ117,$C$119),0)</f>
        <v>#REF!</v>
      </c>
      <c r="JK119" s="6" t="e">
        <f>-IF(JK$2&gt;=Inputs!#REF!,MIN(JK117,$C$119),0)</f>
        <v>#REF!</v>
      </c>
      <c r="JL119" s="6" t="e">
        <f>-IF(JL$2&gt;=Inputs!#REF!,MIN(JL117,$C$119),0)</f>
        <v>#REF!</v>
      </c>
      <c r="JM119" s="6" t="e">
        <f>-IF(JM$2&gt;=Inputs!#REF!,MIN(JM117,$C$119),0)</f>
        <v>#REF!</v>
      </c>
      <c r="JN119" s="6" t="e">
        <f>-IF(JN$2&gt;=Inputs!#REF!,MIN(JN117,$C$119),0)</f>
        <v>#REF!</v>
      </c>
      <c r="JO119" s="6" t="e">
        <f>-IF(JO$2&gt;=Inputs!#REF!,MIN(JO117,$C$119),0)</f>
        <v>#REF!</v>
      </c>
      <c r="JP119" s="6" t="e">
        <f>-IF(JP$2&gt;=Inputs!#REF!,MIN(JP117,$C$119),0)</f>
        <v>#REF!</v>
      </c>
      <c r="JQ119" s="6" t="e">
        <f>-IF(JQ$2&gt;=Inputs!#REF!,MIN(JQ117,$C$119),0)</f>
        <v>#REF!</v>
      </c>
      <c r="JR119" s="6" t="e">
        <f>-IF(JR$2&gt;=Inputs!#REF!,MIN(JR117,$C$119),0)</f>
        <v>#REF!</v>
      </c>
      <c r="JS119" s="6" t="e">
        <f>-IF(JS$2&gt;=Inputs!#REF!,MIN(JS117,$C$119),0)</f>
        <v>#REF!</v>
      </c>
      <c r="JT119" s="6" t="e">
        <f>-IF(JT$2&gt;=Inputs!#REF!,MIN(JT117,$C$119),0)</f>
        <v>#REF!</v>
      </c>
      <c r="JU119" s="6" t="e">
        <f>-IF(JU$2&gt;=Inputs!#REF!,MIN(JU117,$C$119),0)</f>
        <v>#REF!</v>
      </c>
      <c r="JV119" s="6" t="e">
        <f>-IF(JV$2&gt;=Inputs!#REF!,MIN(JV117,$C$119),0)</f>
        <v>#REF!</v>
      </c>
      <c r="JW119" s="6" t="e">
        <f>-IF(JW$2&gt;=Inputs!#REF!,MIN(JW117,$C$119),0)</f>
        <v>#REF!</v>
      </c>
      <c r="JX119" s="6" t="e">
        <f>-IF(JX$2&gt;=Inputs!#REF!,MIN(JX117,$C$119),0)</f>
        <v>#REF!</v>
      </c>
      <c r="JY119" s="6" t="e">
        <f>-IF(JY$2&gt;=Inputs!#REF!,MIN(JY117,$C$119),0)</f>
        <v>#REF!</v>
      </c>
      <c r="JZ119" s="6" t="e">
        <f>-IF(JZ$2&gt;=Inputs!#REF!,MIN(JZ117,$C$119),0)</f>
        <v>#REF!</v>
      </c>
      <c r="KA119" s="6" t="e">
        <f>-IF(KA$2&gt;=Inputs!#REF!,MIN(KA117,$C$119),0)</f>
        <v>#REF!</v>
      </c>
      <c r="KB119" s="6" t="e">
        <f>-IF(KB$2&gt;=Inputs!#REF!,MIN(KB117,$C$119),0)</f>
        <v>#REF!</v>
      </c>
      <c r="KC119" s="6" t="e">
        <f>-IF(KC$2&gt;=Inputs!#REF!,MIN(KC117,$C$119),0)</f>
        <v>#REF!</v>
      </c>
      <c r="KD119" s="6" t="e">
        <f>-IF(KD$2&gt;=Inputs!#REF!,MIN(KD117,$C$119),0)</f>
        <v>#REF!</v>
      </c>
      <c r="KE119" s="6" t="e">
        <f>-IF(KE$2&gt;=Inputs!#REF!,MIN(KE117,$C$119),0)</f>
        <v>#REF!</v>
      </c>
      <c r="KF119" s="6" t="e">
        <f>-IF(KF$2&gt;=Inputs!#REF!,MIN(KF117,$C$119),0)</f>
        <v>#REF!</v>
      </c>
      <c r="KG119" s="6" t="e">
        <f>-IF(KG$2&gt;=Inputs!#REF!,MIN(KG117,$C$119),0)</f>
        <v>#REF!</v>
      </c>
      <c r="KH119" s="6" t="e">
        <f>-IF(KH$2&gt;=Inputs!#REF!,MIN(KH117,$C$119),0)</f>
        <v>#REF!</v>
      </c>
      <c r="KI119" s="6" t="e">
        <f>-IF(KI$2&gt;=Inputs!#REF!,MIN(KI117,$C$119),0)</f>
        <v>#REF!</v>
      </c>
      <c r="KJ119" s="6" t="e">
        <f>-IF(KJ$2&gt;=Inputs!#REF!,MIN(KJ117,$C$119),0)</f>
        <v>#REF!</v>
      </c>
      <c r="KK119" s="6" t="e">
        <f>-IF(KK$2&gt;=Inputs!#REF!,MIN(KK117,$C$119),0)</f>
        <v>#REF!</v>
      </c>
      <c r="KL119" s="6" t="e">
        <f>-IF(KL$2&gt;=Inputs!#REF!,MIN(KL117,$C$119),0)</f>
        <v>#REF!</v>
      </c>
      <c r="KM119" s="6" t="e">
        <f>-IF(KM$2&gt;=Inputs!#REF!,MIN(KM117,$C$119),0)</f>
        <v>#REF!</v>
      </c>
      <c r="KN119" s="6" t="e">
        <f>-IF(KN$2&gt;=Inputs!#REF!,MIN(KN117,$C$119),0)</f>
        <v>#REF!</v>
      </c>
      <c r="KO119" s="6" t="e">
        <f>-IF(KO$2&gt;=Inputs!#REF!,MIN(KO117,$C$119),0)</f>
        <v>#REF!</v>
      </c>
      <c r="KP119" s="6" t="e">
        <f>-IF(KP$2&gt;=Inputs!#REF!,MIN(KP117,$C$119),0)</f>
        <v>#REF!</v>
      </c>
      <c r="KQ119" s="6" t="e">
        <f>-IF(KQ$2&gt;=Inputs!#REF!,MIN(KQ117,$C$119),0)</f>
        <v>#REF!</v>
      </c>
      <c r="KR119" s="6" t="e">
        <f>-IF(KR$2&gt;=Inputs!#REF!,MIN(KR117,$C$119),0)</f>
        <v>#REF!</v>
      </c>
      <c r="KS119" s="6" t="e">
        <f>-IF(KS$2&gt;=Inputs!#REF!,MIN(KS117,$C$119),0)</f>
        <v>#REF!</v>
      </c>
    </row>
    <row r="120" spans="2:305" s="6" customFormat="1" outlineLevel="1">
      <c r="B120" t="s">
        <v>43</v>
      </c>
      <c r="C120"/>
      <c r="D120"/>
      <c r="E120" s="6" t="e">
        <f>IF(E$2=MIN(Inputs!#REF!,Inputs!#REF!),-(E117+E119),0)</f>
        <v>#REF!</v>
      </c>
      <c r="F120" s="6" t="e">
        <f>IF(F$2=MIN(Inputs!#REF!,Inputs!#REF!),-(F117+F119),0)</f>
        <v>#REF!</v>
      </c>
      <c r="G120" s="6" t="e">
        <f>IF(G$2=MIN(Inputs!#REF!,Inputs!#REF!),-(G117+G119),0)</f>
        <v>#REF!</v>
      </c>
      <c r="H120" s="6" t="e">
        <f>IF(H$2=MIN(Inputs!#REF!,Inputs!#REF!),-(H117+H119),0)</f>
        <v>#REF!</v>
      </c>
      <c r="I120" s="6" t="e">
        <f>IF(I$2=MIN(Inputs!#REF!,Inputs!#REF!),-(I117+I119),0)</f>
        <v>#REF!</v>
      </c>
      <c r="J120" s="6" t="e">
        <f>IF(J$2=MIN(Inputs!#REF!,Inputs!#REF!),-(J117+J119),0)</f>
        <v>#REF!</v>
      </c>
      <c r="K120" s="6" t="e">
        <f>IF(K$2=MIN(Inputs!#REF!,Inputs!#REF!),-(K117+K119),0)</f>
        <v>#REF!</v>
      </c>
      <c r="L120" s="6" t="e">
        <f>IF(L$2=MIN(Inputs!#REF!,Inputs!#REF!),-(L117+L119),0)</f>
        <v>#REF!</v>
      </c>
      <c r="M120" s="6" t="e">
        <f>IF(M$2=MIN(Inputs!#REF!,Inputs!#REF!),-(M117+M119),0)</f>
        <v>#REF!</v>
      </c>
      <c r="N120" s="6" t="e">
        <f>IF(N$2=MIN(Inputs!#REF!,Inputs!#REF!),-(N117+N119),0)</f>
        <v>#REF!</v>
      </c>
      <c r="O120" s="6" t="e">
        <f>IF(O$2=MIN(Inputs!#REF!,Inputs!#REF!),-(O117+O119),0)</f>
        <v>#REF!</v>
      </c>
      <c r="P120" s="6" t="e">
        <f>IF(P$2=MIN(Inputs!#REF!,Inputs!#REF!),-(P117+P119),0)</f>
        <v>#REF!</v>
      </c>
      <c r="Q120" s="6" t="e">
        <f>IF(Q$2=MIN(Inputs!#REF!,Inputs!#REF!),-(Q117+Q119),0)</f>
        <v>#REF!</v>
      </c>
      <c r="R120" s="6" t="e">
        <f>IF(R$2=MIN(Inputs!#REF!,Inputs!#REF!),-(R117+R119),0)</f>
        <v>#REF!</v>
      </c>
      <c r="S120" s="6" t="e">
        <f>IF(S$2=MIN(Inputs!#REF!,Inputs!#REF!),-(S117+S119),0)</f>
        <v>#REF!</v>
      </c>
      <c r="T120" s="6" t="e">
        <f>IF(T$2=MIN(Inputs!#REF!,Inputs!#REF!),-(T117+T119),0)</f>
        <v>#REF!</v>
      </c>
      <c r="U120" s="6" t="e">
        <f>IF(U$2=MIN(Inputs!#REF!,Inputs!#REF!),-(U117+U119),0)</f>
        <v>#REF!</v>
      </c>
      <c r="V120" s="6" t="e">
        <f>IF(V$2=MIN(Inputs!#REF!,Inputs!#REF!),-(V117+V119),0)</f>
        <v>#REF!</v>
      </c>
      <c r="W120" s="6" t="e">
        <f>IF(W$2=MIN(Inputs!#REF!,Inputs!#REF!),-(W117+W119),0)</f>
        <v>#REF!</v>
      </c>
      <c r="X120" s="6" t="e">
        <f>IF(X$2=MIN(Inputs!#REF!,Inputs!#REF!),-(X117+X119),0)</f>
        <v>#REF!</v>
      </c>
      <c r="Y120" s="6" t="e">
        <f>IF(Y$2=MIN(Inputs!#REF!,Inputs!#REF!),-(Y117+Y119),0)</f>
        <v>#REF!</v>
      </c>
      <c r="Z120" s="6" t="e">
        <f>IF(Z$2=MIN(Inputs!#REF!,Inputs!#REF!),-(Z117+Z119),0)</f>
        <v>#REF!</v>
      </c>
      <c r="AA120" s="6" t="e">
        <f>IF(AA$2=MIN(Inputs!#REF!,Inputs!#REF!),-(AA117+AA119),0)</f>
        <v>#REF!</v>
      </c>
      <c r="AB120" s="6" t="e">
        <f>IF(AB$2=MIN(Inputs!#REF!,Inputs!#REF!),-(AB117+AB119),0)</f>
        <v>#REF!</v>
      </c>
      <c r="AC120" s="6" t="e">
        <f>IF(AC$2=MIN(Inputs!#REF!,Inputs!#REF!),-(AC117+AC119),0)</f>
        <v>#REF!</v>
      </c>
      <c r="AD120" s="6" t="e">
        <f>IF(AD$2=MIN(Inputs!#REF!,Inputs!#REF!),-(AD117+AD119),0)</f>
        <v>#REF!</v>
      </c>
      <c r="AE120" s="6" t="e">
        <f>IF(AE$2=MIN(Inputs!#REF!,Inputs!#REF!),-(AE117+AE119),0)</f>
        <v>#REF!</v>
      </c>
      <c r="AF120" s="6" t="e">
        <f>IF(AF$2=MIN(Inputs!#REF!,Inputs!#REF!),-(AF117+AF119),0)</f>
        <v>#REF!</v>
      </c>
      <c r="AG120" s="6" t="e">
        <f>IF(AG$2=MIN(Inputs!#REF!,Inputs!#REF!),-(AG117+AG119),0)</f>
        <v>#REF!</v>
      </c>
      <c r="AH120" s="6" t="e">
        <f>IF(AH$2=MIN(Inputs!#REF!,Inputs!#REF!),-(AH117+AH119),0)</f>
        <v>#REF!</v>
      </c>
      <c r="AI120" s="6" t="e">
        <f>IF(AI$2=MIN(Inputs!#REF!,Inputs!#REF!),-(AI117+AI119),0)</f>
        <v>#REF!</v>
      </c>
      <c r="AJ120" s="6" t="e">
        <f>IF(AJ$2=MIN(Inputs!#REF!,Inputs!#REF!),-(AJ117+AJ119),0)</f>
        <v>#REF!</v>
      </c>
      <c r="AK120" s="6" t="e">
        <f>IF(AK$2=MIN(Inputs!#REF!,Inputs!#REF!),-(AK117+AK119),0)</f>
        <v>#REF!</v>
      </c>
      <c r="AL120" s="6" t="e">
        <f>IF(AL$2=MIN(Inputs!#REF!,Inputs!#REF!),-(AL117+AL119),0)</f>
        <v>#REF!</v>
      </c>
      <c r="AM120" s="6" t="e">
        <f>IF(AM$2=MIN(Inputs!#REF!,Inputs!#REF!),-(AM117+AM119),0)</f>
        <v>#REF!</v>
      </c>
      <c r="AN120" s="6" t="e">
        <f>IF(AN$2=MIN(Inputs!#REF!,Inputs!#REF!),-(AN117+AN119),0)</f>
        <v>#REF!</v>
      </c>
      <c r="AO120" s="6" t="e">
        <f>IF(AO$2=MIN(Inputs!#REF!,Inputs!#REF!),-(AO117+AO119),0)</f>
        <v>#REF!</v>
      </c>
      <c r="AP120" s="6" t="e">
        <f>IF(AP$2=MIN(Inputs!#REF!,Inputs!#REF!),-(AP117+AP119),0)</f>
        <v>#REF!</v>
      </c>
      <c r="AQ120" s="6" t="e">
        <f>IF(AQ$2=MIN(Inputs!#REF!,Inputs!#REF!),-(AQ117+AQ119),0)</f>
        <v>#REF!</v>
      </c>
      <c r="AR120" s="6" t="e">
        <f>IF(AR$2=MIN(Inputs!#REF!,Inputs!#REF!),-(AR117+AR119),0)</f>
        <v>#REF!</v>
      </c>
      <c r="AS120" s="6" t="e">
        <f>IF(AS$2=MIN(Inputs!#REF!,Inputs!#REF!),-(AS117+AS119),0)</f>
        <v>#REF!</v>
      </c>
      <c r="AT120" s="6" t="e">
        <f>IF(AT$2=MIN(Inputs!#REF!,Inputs!#REF!),-(AT117+AT119),0)</f>
        <v>#REF!</v>
      </c>
      <c r="AU120" s="6" t="e">
        <f>IF(AU$2=MIN(Inputs!#REF!,Inputs!#REF!),-(AU117+AU119),0)</f>
        <v>#REF!</v>
      </c>
      <c r="AV120" s="6" t="e">
        <f>IF(AV$2=MIN(Inputs!#REF!,Inputs!#REF!),-(AV117+AV119),0)</f>
        <v>#REF!</v>
      </c>
      <c r="AW120" s="6" t="e">
        <f>IF(AW$2=MIN(Inputs!#REF!,Inputs!#REF!),-(AW117+AW119),0)</f>
        <v>#REF!</v>
      </c>
      <c r="AX120" s="6" t="e">
        <f>IF(AX$2=MIN(Inputs!#REF!,Inputs!#REF!),-(AX117+AX119),0)</f>
        <v>#REF!</v>
      </c>
      <c r="AY120" s="6" t="e">
        <f>IF(AY$2=MIN(Inputs!#REF!,Inputs!#REF!),-(AY117+AY119),0)</f>
        <v>#REF!</v>
      </c>
      <c r="AZ120" s="6" t="e">
        <f>IF(AZ$2=MIN(Inputs!#REF!,Inputs!#REF!),-(AZ117+AZ119),0)</f>
        <v>#REF!</v>
      </c>
      <c r="BA120" s="6" t="e">
        <f>IF(BA$2=MIN(Inputs!#REF!,Inputs!#REF!),-(BA117+BA119),0)</f>
        <v>#REF!</v>
      </c>
      <c r="BB120" s="6" t="e">
        <f>IF(BB$2=MIN(Inputs!#REF!,Inputs!#REF!),-(BB117+BB119),0)</f>
        <v>#REF!</v>
      </c>
      <c r="BC120" s="6" t="e">
        <f>IF(BC$2=MIN(Inputs!#REF!,Inputs!#REF!),-(BC117+BC119),0)</f>
        <v>#REF!</v>
      </c>
      <c r="BD120" s="6" t="e">
        <f>IF(BD$2=MIN(Inputs!#REF!,Inputs!#REF!),-(BD117+BD119),0)</f>
        <v>#REF!</v>
      </c>
      <c r="BE120" s="6" t="e">
        <f>IF(BE$2=MIN(Inputs!#REF!,Inputs!#REF!),-(BE117+BE119),0)</f>
        <v>#REF!</v>
      </c>
      <c r="BF120" s="6" t="e">
        <f>IF(BF$2=MIN(Inputs!#REF!,Inputs!#REF!),-(BF117+BF119),0)</f>
        <v>#REF!</v>
      </c>
      <c r="BG120" s="6" t="e">
        <f>IF(BG$2=MIN(Inputs!#REF!,Inputs!#REF!),-(BG117+BG119),0)</f>
        <v>#REF!</v>
      </c>
      <c r="BH120" s="6" t="e">
        <f>IF(BH$2=MIN(Inputs!#REF!,Inputs!#REF!),-(BH117+BH119),0)</f>
        <v>#REF!</v>
      </c>
      <c r="BI120" s="6" t="e">
        <f>IF(BI$2=MIN(Inputs!#REF!,Inputs!#REF!),-(BI117+BI119),0)</f>
        <v>#REF!</v>
      </c>
      <c r="BJ120" s="6" t="e">
        <f>IF(BJ$2=MIN(Inputs!#REF!,Inputs!#REF!),-(BJ117+BJ119),0)</f>
        <v>#REF!</v>
      </c>
      <c r="BK120" s="6" t="e">
        <f>IF(BK$2=MIN(Inputs!#REF!,Inputs!#REF!),-(BK117+BK119),0)</f>
        <v>#REF!</v>
      </c>
      <c r="BL120" s="6" t="e">
        <f>IF(BL$2=MIN(Inputs!#REF!,Inputs!#REF!),-(BL117+BL119),0)</f>
        <v>#REF!</v>
      </c>
      <c r="BM120" s="6" t="e">
        <f>IF(BM$2=MIN(Inputs!#REF!,Inputs!#REF!),-(BM117+BM119),0)</f>
        <v>#REF!</v>
      </c>
      <c r="BN120" s="6" t="e">
        <f>IF(BN$2=MIN(Inputs!#REF!,Inputs!#REF!),-(BN117+BN119),0)</f>
        <v>#REF!</v>
      </c>
      <c r="BO120" s="6" t="e">
        <f>IF(BO$2=MIN(Inputs!#REF!,Inputs!#REF!),-(BO117+BO119),0)</f>
        <v>#REF!</v>
      </c>
      <c r="BP120" s="6" t="e">
        <f>IF(BP$2=MIN(Inputs!#REF!,Inputs!#REF!),-(BP117+BP119),0)</f>
        <v>#REF!</v>
      </c>
      <c r="BQ120" s="6" t="e">
        <f>IF(BQ$2=MIN(Inputs!#REF!,Inputs!#REF!),-(BQ117+BQ119),0)</f>
        <v>#REF!</v>
      </c>
      <c r="BR120" s="6" t="e">
        <f>IF(BR$2=MIN(Inputs!#REF!,Inputs!#REF!),-(BR117+BR119),0)</f>
        <v>#REF!</v>
      </c>
      <c r="BS120" s="6" t="e">
        <f>IF(BS$2=MIN(Inputs!#REF!,Inputs!#REF!),-(BS117+BS119),0)</f>
        <v>#REF!</v>
      </c>
      <c r="BT120" s="6" t="e">
        <f>IF(BT$2=MIN(Inputs!#REF!,Inputs!#REF!),-(BT117+BT119),0)</f>
        <v>#REF!</v>
      </c>
      <c r="BU120" s="6" t="e">
        <f>IF(BU$2=MIN(Inputs!#REF!,Inputs!#REF!),-(BU117+BU119),0)</f>
        <v>#REF!</v>
      </c>
      <c r="BV120" s="6" t="e">
        <f>IF(BV$2=MIN(Inputs!#REF!,Inputs!#REF!),-(BV117+BV119),0)</f>
        <v>#REF!</v>
      </c>
      <c r="BW120" s="6" t="e">
        <f>IF(BW$2=MIN(Inputs!#REF!,Inputs!#REF!),-(BW117+BW119),0)</f>
        <v>#REF!</v>
      </c>
      <c r="BX120" s="6" t="e">
        <f>IF(BX$2=MIN(Inputs!#REF!,Inputs!#REF!),-(BX117+BX119),0)</f>
        <v>#REF!</v>
      </c>
      <c r="BY120" s="6" t="e">
        <f>IF(BY$2=MIN(Inputs!#REF!,Inputs!#REF!),-(BY117+BY119),0)</f>
        <v>#REF!</v>
      </c>
      <c r="BZ120" s="6" t="e">
        <f>IF(BZ$2=MIN(Inputs!#REF!,Inputs!#REF!),-(BZ117+BZ119),0)</f>
        <v>#REF!</v>
      </c>
      <c r="CA120" s="6" t="e">
        <f>IF(CA$2=MIN(Inputs!#REF!,Inputs!#REF!),-(CA117+CA119),0)</f>
        <v>#REF!</v>
      </c>
      <c r="CB120" s="6" t="e">
        <f>IF(CB$2=MIN(Inputs!#REF!,Inputs!#REF!),-(CB117+CB119),0)</f>
        <v>#REF!</v>
      </c>
      <c r="CC120" s="6" t="e">
        <f>IF(CC$2=MIN(Inputs!#REF!,Inputs!#REF!),-(CC117+CC119),0)</f>
        <v>#REF!</v>
      </c>
      <c r="CD120" s="6" t="e">
        <f>IF(CD$2=MIN(Inputs!#REF!,Inputs!#REF!),-(CD117+CD119),0)</f>
        <v>#REF!</v>
      </c>
      <c r="CE120" s="6" t="e">
        <f>IF(CE$2=MIN(Inputs!#REF!,Inputs!#REF!),-(CE117+CE119),0)</f>
        <v>#REF!</v>
      </c>
      <c r="CF120" s="6" t="e">
        <f>IF(CF$2=MIN(Inputs!#REF!,Inputs!#REF!),-(CF117+CF119),0)</f>
        <v>#REF!</v>
      </c>
      <c r="CG120" s="6" t="e">
        <f>IF(CG$2=MIN(Inputs!#REF!,Inputs!#REF!),-(CG117+CG119),0)</f>
        <v>#REF!</v>
      </c>
      <c r="CH120" s="6" t="e">
        <f>IF(CH$2=MIN(Inputs!#REF!,Inputs!#REF!),-(CH117+CH119),0)</f>
        <v>#REF!</v>
      </c>
      <c r="CI120" s="6" t="e">
        <f>IF(CI$2=MIN(Inputs!#REF!,Inputs!#REF!),-(CI117+CI119),0)</f>
        <v>#REF!</v>
      </c>
      <c r="CJ120" s="6" t="e">
        <f>IF(CJ$2=MIN(Inputs!#REF!,Inputs!#REF!),-(CJ117+CJ119),0)</f>
        <v>#REF!</v>
      </c>
      <c r="CK120" s="6" t="e">
        <f>IF(CK$2=MIN(Inputs!#REF!,Inputs!#REF!),-(CK117+CK119),0)</f>
        <v>#REF!</v>
      </c>
      <c r="CL120" s="6" t="e">
        <f>IF(CL$2=MIN(Inputs!#REF!,Inputs!#REF!),-(CL117+CL119),0)</f>
        <v>#REF!</v>
      </c>
      <c r="CM120" s="6" t="e">
        <f>IF(CM$2=MIN(Inputs!#REF!,Inputs!#REF!),-(CM117+CM119),0)</f>
        <v>#REF!</v>
      </c>
      <c r="CN120" s="6" t="e">
        <f>IF(CN$2=MIN(Inputs!#REF!,Inputs!#REF!),-(CN117+CN119),0)</f>
        <v>#REF!</v>
      </c>
      <c r="CO120" s="6" t="e">
        <f>IF(CO$2=MIN(Inputs!#REF!,Inputs!#REF!),-(CO117+CO119),0)</f>
        <v>#REF!</v>
      </c>
      <c r="CP120" s="6" t="e">
        <f>IF(CP$2=MIN(Inputs!#REF!,Inputs!#REF!),-(CP117+CP119),0)</f>
        <v>#REF!</v>
      </c>
      <c r="CQ120" s="6" t="e">
        <f>IF(CQ$2=MIN(Inputs!#REF!,Inputs!#REF!),-(CQ117+CQ119),0)</f>
        <v>#REF!</v>
      </c>
      <c r="CR120" s="6" t="e">
        <f>IF(CR$2=MIN(Inputs!#REF!,Inputs!#REF!),-(CR117+CR119),0)</f>
        <v>#REF!</v>
      </c>
      <c r="CS120" s="6" t="e">
        <f>IF(CS$2=MIN(Inputs!#REF!,Inputs!#REF!),-(CS117+CS119),0)</f>
        <v>#REF!</v>
      </c>
      <c r="CT120" s="6" t="e">
        <f>IF(CT$2=MIN(Inputs!#REF!,Inputs!#REF!),-(CT117+CT119),0)</f>
        <v>#REF!</v>
      </c>
      <c r="CU120" s="6" t="e">
        <f>IF(CU$2=MIN(Inputs!#REF!,Inputs!#REF!),-(CU117+CU119),0)</f>
        <v>#REF!</v>
      </c>
      <c r="CV120" s="6" t="e">
        <f>IF(CV$2=MIN(Inputs!#REF!,Inputs!#REF!),-(CV117+CV119),0)</f>
        <v>#REF!</v>
      </c>
      <c r="CW120" s="6" t="e">
        <f>IF(CW$2=MIN(Inputs!#REF!,Inputs!#REF!),-(CW117+CW119),0)</f>
        <v>#REF!</v>
      </c>
      <c r="CX120" s="6" t="e">
        <f>IF(CX$2=MIN(Inputs!#REF!,Inputs!#REF!),-(CX117+CX119),0)</f>
        <v>#REF!</v>
      </c>
      <c r="CY120" s="6" t="e">
        <f>IF(CY$2=MIN(Inputs!#REF!,Inputs!#REF!),-(CY117+CY119),0)</f>
        <v>#REF!</v>
      </c>
      <c r="CZ120" s="6" t="e">
        <f>IF(CZ$2=MIN(Inputs!#REF!,Inputs!#REF!),-(CZ117+CZ119),0)</f>
        <v>#REF!</v>
      </c>
      <c r="DA120" s="6" t="e">
        <f>IF(DA$2=MIN(Inputs!#REF!,Inputs!#REF!),-(DA117+DA119),0)</f>
        <v>#REF!</v>
      </c>
      <c r="DB120" s="6" t="e">
        <f>IF(DB$2=MIN(Inputs!#REF!,Inputs!#REF!),-(DB117+DB119),0)</f>
        <v>#REF!</v>
      </c>
      <c r="DC120" s="6" t="e">
        <f>IF(DC$2=MIN(Inputs!#REF!,Inputs!#REF!),-(DC117+DC119),0)</f>
        <v>#REF!</v>
      </c>
      <c r="DD120" s="6" t="e">
        <f>IF(DD$2=MIN(Inputs!#REF!,Inputs!#REF!),-(DD117+DD119),0)</f>
        <v>#REF!</v>
      </c>
      <c r="DE120" s="6" t="e">
        <f>IF(DE$2=MIN(Inputs!#REF!,Inputs!#REF!),-(DE117+DE119),0)</f>
        <v>#REF!</v>
      </c>
      <c r="DF120" s="6" t="e">
        <f>IF(DF$2=MIN(Inputs!#REF!,Inputs!#REF!),-(DF117+DF119),0)</f>
        <v>#REF!</v>
      </c>
      <c r="DG120" s="6" t="e">
        <f>IF(DG$2=MIN(Inputs!#REF!,Inputs!#REF!),-(DG117+DG119),0)</f>
        <v>#REF!</v>
      </c>
      <c r="DH120" s="6" t="e">
        <f>IF(DH$2=MIN(Inputs!#REF!,Inputs!#REF!),-(DH117+DH119),0)</f>
        <v>#REF!</v>
      </c>
      <c r="DI120" s="6" t="e">
        <f>IF(DI$2=MIN(Inputs!#REF!,Inputs!#REF!),-(DI117+DI119),0)</f>
        <v>#REF!</v>
      </c>
      <c r="DJ120" s="6" t="e">
        <f>IF(DJ$2=MIN(Inputs!#REF!,Inputs!#REF!),-(DJ117+DJ119),0)</f>
        <v>#REF!</v>
      </c>
      <c r="DK120" s="6" t="e">
        <f>IF(DK$2=MIN(Inputs!#REF!,Inputs!#REF!),-(DK117+DK119),0)</f>
        <v>#REF!</v>
      </c>
      <c r="DL120" s="6" t="e">
        <f>IF(DL$2=MIN(Inputs!#REF!,Inputs!#REF!),-(DL117+DL119),0)</f>
        <v>#REF!</v>
      </c>
      <c r="DM120" s="6" t="e">
        <f>IF(DM$2=MIN(Inputs!#REF!,Inputs!#REF!),-(DM117+DM119),0)</f>
        <v>#REF!</v>
      </c>
      <c r="DN120" s="6" t="e">
        <f>IF(DN$2=MIN(Inputs!#REF!,Inputs!#REF!),-(DN117+DN119),0)</f>
        <v>#REF!</v>
      </c>
      <c r="DO120" s="6" t="e">
        <f>IF(DO$2=MIN(Inputs!#REF!,Inputs!#REF!),-(DO117+DO119),0)</f>
        <v>#REF!</v>
      </c>
      <c r="DP120" s="6" t="e">
        <f>IF(DP$2=MIN(Inputs!#REF!,Inputs!#REF!),-(DP117+DP119),0)</f>
        <v>#REF!</v>
      </c>
      <c r="DQ120" s="6" t="e">
        <f>IF(DQ$2=MIN(Inputs!#REF!,Inputs!#REF!),-(DQ117+DQ119),0)</f>
        <v>#REF!</v>
      </c>
      <c r="DR120" s="6" t="e">
        <f>IF(DR$2=MIN(Inputs!#REF!,Inputs!#REF!),-(DR117+DR119),0)</f>
        <v>#REF!</v>
      </c>
      <c r="DS120" s="6" t="e">
        <f>IF(DS$2=MIN(Inputs!#REF!,Inputs!#REF!),-(DS117+DS119),0)</f>
        <v>#REF!</v>
      </c>
      <c r="DT120" s="6" t="e">
        <f>IF(DT$2=MIN(Inputs!#REF!,Inputs!#REF!),-(DT117+DT119),0)</f>
        <v>#REF!</v>
      </c>
      <c r="DU120" s="6" t="e">
        <f>IF(DU$2=MIN(Inputs!#REF!,Inputs!#REF!),-(DU117+DU119),0)</f>
        <v>#REF!</v>
      </c>
      <c r="DV120" s="6" t="e">
        <f>IF(DV$2=MIN(Inputs!#REF!,Inputs!#REF!),-(DV117+DV119),0)</f>
        <v>#REF!</v>
      </c>
      <c r="DW120" s="6" t="e">
        <f>IF(DW$2=MIN(Inputs!#REF!,Inputs!#REF!),-(DW117+DW119),0)</f>
        <v>#REF!</v>
      </c>
      <c r="DX120" s="6" t="e">
        <f>IF(DX$2=MIN(Inputs!#REF!,Inputs!#REF!),-(DX117+DX119),0)</f>
        <v>#REF!</v>
      </c>
      <c r="DY120" s="6" t="e">
        <f>IF(DY$2=MIN(Inputs!#REF!,Inputs!#REF!),-(DY117+DY119),0)</f>
        <v>#REF!</v>
      </c>
      <c r="DZ120" s="6" t="e">
        <f>IF(DZ$2=MIN(Inputs!#REF!,Inputs!#REF!),-(DZ117+DZ119),0)</f>
        <v>#REF!</v>
      </c>
      <c r="EA120" s="6" t="e">
        <f>IF(EA$2=MIN(Inputs!#REF!,Inputs!#REF!),-(EA117+EA119),0)</f>
        <v>#REF!</v>
      </c>
      <c r="EB120" s="6" t="e">
        <f>IF(EB$2=MIN(Inputs!#REF!,Inputs!#REF!),-(EB117+EB119),0)</f>
        <v>#REF!</v>
      </c>
      <c r="EC120" s="6" t="e">
        <f>IF(EC$2=MIN(Inputs!#REF!,Inputs!#REF!),-(EC117+EC119),0)</f>
        <v>#REF!</v>
      </c>
      <c r="ED120" s="6" t="e">
        <f>IF(ED$2=MIN(Inputs!#REF!,Inputs!#REF!),-(ED117+ED119),0)</f>
        <v>#REF!</v>
      </c>
      <c r="EE120" s="6" t="e">
        <f>IF(EE$2=MIN(Inputs!#REF!,Inputs!#REF!),-(EE117+EE119),0)</f>
        <v>#REF!</v>
      </c>
      <c r="EF120" s="6" t="e">
        <f>IF(EF$2=MIN(Inputs!#REF!,Inputs!#REF!),-(EF117+EF119),0)</f>
        <v>#REF!</v>
      </c>
      <c r="EG120" s="6" t="e">
        <f>IF(EG$2=MIN(Inputs!#REF!,Inputs!#REF!),-(EG117+EG119),0)</f>
        <v>#REF!</v>
      </c>
      <c r="EH120" s="6" t="e">
        <f>IF(EH$2=MIN(Inputs!#REF!,Inputs!#REF!),-(EH117+EH119),0)</f>
        <v>#REF!</v>
      </c>
      <c r="EI120" s="6" t="e">
        <f>IF(EI$2=MIN(Inputs!#REF!,Inputs!#REF!),-(EI117+EI119),0)</f>
        <v>#REF!</v>
      </c>
      <c r="EJ120" s="6" t="e">
        <f>IF(EJ$2=MIN(Inputs!#REF!,Inputs!#REF!),-(EJ117+EJ119),0)</f>
        <v>#REF!</v>
      </c>
      <c r="EK120" s="6" t="e">
        <f>IF(EK$2=MIN(Inputs!#REF!,Inputs!#REF!),-(EK117+EK119),0)</f>
        <v>#REF!</v>
      </c>
      <c r="EL120" s="6" t="e">
        <f>IF(EL$2=MIN(Inputs!#REF!,Inputs!#REF!),-(EL117+EL119),0)</f>
        <v>#REF!</v>
      </c>
      <c r="EM120" s="6" t="e">
        <f>IF(EM$2=MIN(Inputs!#REF!,Inputs!#REF!),-(EM117+EM119),0)</f>
        <v>#REF!</v>
      </c>
      <c r="EN120" s="6" t="e">
        <f>IF(EN$2=MIN(Inputs!#REF!,Inputs!#REF!),-(EN117+EN119),0)</f>
        <v>#REF!</v>
      </c>
      <c r="EO120" s="6" t="e">
        <f>IF(EO$2=MIN(Inputs!#REF!,Inputs!#REF!),-(EO117+EO119),0)</f>
        <v>#REF!</v>
      </c>
      <c r="EP120" s="6" t="e">
        <f>IF(EP$2=MIN(Inputs!#REF!,Inputs!#REF!),-(EP117+EP119),0)</f>
        <v>#REF!</v>
      </c>
      <c r="EQ120" s="6" t="e">
        <f>IF(EQ$2=MIN(Inputs!#REF!,Inputs!#REF!),-(EQ117+EQ119),0)</f>
        <v>#REF!</v>
      </c>
      <c r="ER120" s="6" t="e">
        <f>IF(ER$2=MIN(Inputs!#REF!,Inputs!#REF!),-(ER117+ER119),0)</f>
        <v>#REF!</v>
      </c>
      <c r="ES120" s="6" t="e">
        <f>IF(ES$2=MIN(Inputs!#REF!,Inputs!#REF!),-(ES117+ES119),0)</f>
        <v>#REF!</v>
      </c>
      <c r="ET120" s="6" t="e">
        <f>IF(ET$2=MIN(Inputs!#REF!,Inputs!#REF!),-(ET117+ET119),0)</f>
        <v>#REF!</v>
      </c>
      <c r="EU120" s="6" t="e">
        <f>IF(EU$2=MIN(Inputs!#REF!,Inputs!#REF!),-(EU117+EU119),0)</f>
        <v>#REF!</v>
      </c>
      <c r="EV120" s="6" t="e">
        <f>IF(EV$2=MIN(Inputs!#REF!,Inputs!#REF!),-(EV117+EV119),0)</f>
        <v>#REF!</v>
      </c>
      <c r="EW120" s="6" t="e">
        <f>IF(EW$2=MIN(Inputs!#REF!,Inputs!#REF!),-(EW117+EW119),0)</f>
        <v>#REF!</v>
      </c>
      <c r="EX120" s="6" t="e">
        <f>IF(EX$2=MIN(Inputs!#REF!,Inputs!#REF!),-(EX117+EX119),0)</f>
        <v>#REF!</v>
      </c>
      <c r="EY120" s="6" t="e">
        <f>IF(EY$2=MIN(Inputs!#REF!,Inputs!#REF!),-(EY117+EY119),0)</f>
        <v>#REF!</v>
      </c>
      <c r="EZ120" s="6" t="e">
        <f>IF(EZ$2=MIN(Inputs!#REF!,Inputs!#REF!),-(EZ117+EZ119),0)</f>
        <v>#REF!</v>
      </c>
      <c r="FA120" s="6" t="e">
        <f>IF(FA$2=MIN(Inputs!#REF!,Inputs!#REF!),-(FA117+FA119),0)</f>
        <v>#REF!</v>
      </c>
      <c r="FB120" s="6" t="e">
        <f>IF(FB$2=MIN(Inputs!#REF!,Inputs!#REF!),-(FB117+FB119),0)</f>
        <v>#REF!</v>
      </c>
      <c r="FC120" s="6" t="e">
        <f>IF(FC$2=MIN(Inputs!#REF!,Inputs!#REF!),-(FC117+FC119),0)</f>
        <v>#REF!</v>
      </c>
      <c r="FD120" s="6" t="e">
        <f>IF(FD$2=MIN(Inputs!#REF!,Inputs!#REF!),-(FD117+FD119),0)</f>
        <v>#REF!</v>
      </c>
      <c r="FE120" s="6" t="e">
        <f>IF(FE$2=MIN(Inputs!#REF!,Inputs!#REF!),-(FE117+FE119),0)</f>
        <v>#REF!</v>
      </c>
      <c r="FF120" s="6" t="e">
        <f>IF(FF$2=MIN(Inputs!#REF!,Inputs!#REF!),-(FF117+FF119),0)</f>
        <v>#REF!</v>
      </c>
      <c r="FG120" s="6" t="e">
        <f>IF(FG$2=MIN(Inputs!#REF!,Inputs!#REF!),-(FG117+FG119),0)</f>
        <v>#REF!</v>
      </c>
      <c r="FH120" s="6" t="e">
        <f>IF(FH$2=MIN(Inputs!#REF!,Inputs!#REF!),-(FH117+FH119),0)</f>
        <v>#REF!</v>
      </c>
      <c r="FI120" s="6" t="e">
        <f>IF(FI$2=MIN(Inputs!#REF!,Inputs!#REF!),-(FI117+FI119),0)</f>
        <v>#REF!</v>
      </c>
      <c r="FJ120" s="6" t="e">
        <f>IF(FJ$2=MIN(Inputs!#REF!,Inputs!#REF!),-(FJ117+FJ119),0)</f>
        <v>#REF!</v>
      </c>
      <c r="FK120" s="6" t="e">
        <f>IF(FK$2=MIN(Inputs!#REF!,Inputs!#REF!),-(FK117+FK119),0)</f>
        <v>#REF!</v>
      </c>
      <c r="FL120" s="6" t="e">
        <f>IF(FL$2=MIN(Inputs!#REF!,Inputs!#REF!),-(FL117+FL119),0)</f>
        <v>#REF!</v>
      </c>
      <c r="FM120" s="6" t="e">
        <f>IF(FM$2=MIN(Inputs!#REF!,Inputs!#REF!),-(FM117+FM119),0)</f>
        <v>#REF!</v>
      </c>
      <c r="FN120" s="6" t="e">
        <f>IF(FN$2=MIN(Inputs!#REF!,Inputs!#REF!),-(FN117+FN119),0)</f>
        <v>#REF!</v>
      </c>
      <c r="FO120" s="6" t="e">
        <f>IF(FO$2=MIN(Inputs!#REF!,Inputs!#REF!),-(FO117+FO119),0)</f>
        <v>#REF!</v>
      </c>
      <c r="FP120" s="6" t="e">
        <f>IF(FP$2=MIN(Inputs!#REF!,Inputs!#REF!),-(FP117+FP119),0)</f>
        <v>#REF!</v>
      </c>
      <c r="FQ120" s="6" t="e">
        <f>IF(FQ$2=MIN(Inputs!#REF!,Inputs!#REF!),-(FQ117+FQ119),0)</f>
        <v>#REF!</v>
      </c>
      <c r="FR120" s="6" t="e">
        <f>IF(FR$2=MIN(Inputs!#REF!,Inputs!#REF!),-(FR117+FR119),0)</f>
        <v>#REF!</v>
      </c>
      <c r="FS120" s="6" t="e">
        <f>IF(FS$2=MIN(Inputs!#REF!,Inputs!#REF!),-(FS117+FS119),0)</f>
        <v>#REF!</v>
      </c>
      <c r="FT120" s="6" t="e">
        <f>IF(FT$2=MIN(Inputs!#REF!,Inputs!#REF!),-(FT117+FT119),0)</f>
        <v>#REF!</v>
      </c>
      <c r="FU120" s="6" t="e">
        <f>IF(FU$2=MIN(Inputs!#REF!,Inputs!#REF!),-(FU117+FU119),0)</f>
        <v>#REF!</v>
      </c>
      <c r="FV120" s="6" t="e">
        <f>IF(FV$2=MIN(Inputs!#REF!,Inputs!#REF!),-(FV117+FV119),0)</f>
        <v>#REF!</v>
      </c>
      <c r="FW120" s="6" t="e">
        <f>IF(FW$2=MIN(Inputs!#REF!,Inputs!#REF!),-(FW117+FW119),0)</f>
        <v>#REF!</v>
      </c>
      <c r="FX120" s="6" t="e">
        <f>IF(FX$2=MIN(Inputs!#REF!,Inputs!#REF!),-(FX117+FX119),0)</f>
        <v>#REF!</v>
      </c>
      <c r="FY120" s="6" t="e">
        <f>IF(FY$2=MIN(Inputs!#REF!,Inputs!#REF!),-(FY117+FY119),0)</f>
        <v>#REF!</v>
      </c>
      <c r="FZ120" s="6" t="e">
        <f>IF(FZ$2=MIN(Inputs!#REF!,Inputs!#REF!),-(FZ117+FZ119),0)</f>
        <v>#REF!</v>
      </c>
      <c r="GA120" s="6" t="e">
        <f>IF(GA$2=MIN(Inputs!#REF!,Inputs!#REF!),-(GA117+GA119),0)</f>
        <v>#REF!</v>
      </c>
      <c r="GB120" s="6" t="e">
        <f>IF(GB$2=MIN(Inputs!#REF!,Inputs!#REF!),-(GB117+GB119),0)</f>
        <v>#REF!</v>
      </c>
      <c r="GC120" s="6" t="e">
        <f>IF(GC$2=MIN(Inputs!#REF!,Inputs!#REF!),-(GC117+GC119),0)</f>
        <v>#REF!</v>
      </c>
      <c r="GD120" s="6" t="e">
        <f>IF(GD$2=MIN(Inputs!#REF!,Inputs!#REF!),-(GD117+GD119),0)</f>
        <v>#REF!</v>
      </c>
      <c r="GE120" s="6" t="e">
        <f>IF(GE$2=MIN(Inputs!#REF!,Inputs!#REF!),-(GE117+GE119),0)</f>
        <v>#REF!</v>
      </c>
      <c r="GF120" s="6" t="e">
        <f>IF(GF$2=MIN(Inputs!#REF!,Inputs!#REF!),-(GF117+GF119),0)</f>
        <v>#REF!</v>
      </c>
      <c r="GG120" s="6" t="e">
        <f>IF(GG$2=MIN(Inputs!#REF!,Inputs!#REF!),-(GG117+GG119),0)</f>
        <v>#REF!</v>
      </c>
      <c r="GH120" s="6" t="e">
        <f>IF(GH$2=MIN(Inputs!#REF!,Inputs!#REF!),-(GH117+GH119),0)</f>
        <v>#REF!</v>
      </c>
      <c r="GI120" s="6" t="e">
        <f>IF(GI$2=MIN(Inputs!#REF!,Inputs!#REF!),-(GI117+GI119),0)</f>
        <v>#REF!</v>
      </c>
      <c r="GJ120" s="6" t="e">
        <f>IF(GJ$2=MIN(Inputs!#REF!,Inputs!#REF!),-(GJ117+GJ119),0)</f>
        <v>#REF!</v>
      </c>
      <c r="GK120" s="6" t="e">
        <f>IF(GK$2=MIN(Inputs!#REF!,Inputs!#REF!),-(GK117+GK119),0)</f>
        <v>#REF!</v>
      </c>
      <c r="GL120" s="6" t="e">
        <f>IF(GL$2=MIN(Inputs!#REF!,Inputs!#REF!),-(GL117+GL119),0)</f>
        <v>#REF!</v>
      </c>
      <c r="GM120" s="6" t="e">
        <f>IF(GM$2=MIN(Inputs!#REF!,Inputs!#REF!),-(GM117+GM119),0)</f>
        <v>#REF!</v>
      </c>
      <c r="GN120" s="6" t="e">
        <f>IF(GN$2=MIN(Inputs!#REF!,Inputs!#REF!),-(GN117+GN119),0)</f>
        <v>#REF!</v>
      </c>
      <c r="GO120" s="6" t="e">
        <f>IF(GO$2=MIN(Inputs!#REF!,Inputs!#REF!),-(GO117+GO119),0)</f>
        <v>#REF!</v>
      </c>
      <c r="GP120" s="6" t="e">
        <f>IF(GP$2=MIN(Inputs!#REF!,Inputs!#REF!),-(GP117+GP119),0)</f>
        <v>#REF!</v>
      </c>
      <c r="GQ120" s="6" t="e">
        <f>IF(GQ$2=MIN(Inputs!#REF!,Inputs!#REF!),-(GQ117+GQ119),0)</f>
        <v>#REF!</v>
      </c>
      <c r="GR120" s="6" t="e">
        <f>IF(GR$2=MIN(Inputs!#REF!,Inputs!#REF!),-(GR117+GR119),0)</f>
        <v>#REF!</v>
      </c>
      <c r="GS120" s="6" t="e">
        <f>IF(GS$2=MIN(Inputs!#REF!,Inputs!#REF!),-(GS117+GS119),0)</f>
        <v>#REF!</v>
      </c>
      <c r="GT120" s="6" t="e">
        <f>IF(GT$2=MIN(Inputs!#REF!,Inputs!#REF!),-(GT117+GT119),0)</f>
        <v>#REF!</v>
      </c>
      <c r="GU120" s="6" t="e">
        <f>IF(GU$2=MIN(Inputs!#REF!,Inputs!#REF!),-(GU117+GU119),0)</f>
        <v>#REF!</v>
      </c>
      <c r="GV120" s="6" t="e">
        <f>IF(GV$2=MIN(Inputs!#REF!,Inputs!#REF!),-(GV117+GV119),0)</f>
        <v>#REF!</v>
      </c>
      <c r="GW120" s="6" t="e">
        <f>IF(GW$2=MIN(Inputs!#REF!,Inputs!#REF!),-(GW117+GW119),0)</f>
        <v>#REF!</v>
      </c>
      <c r="GX120" s="6" t="e">
        <f>IF(GX$2=MIN(Inputs!#REF!,Inputs!#REF!),-(GX117+GX119),0)</f>
        <v>#REF!</v>
      </c>
      <c r="GY120" s="6" t="e">
        <f>IF(GY$2=MIN(Inputs!#REF!,Inputs!#REF!),-(GY117+GY119),0)</f>
        <v>#REF!</v>
      </c>
      <c r="GZ120" s="6" t="e">
        <f>IF(GZ$2=MIN(Inputs!#REF!,Inputs!#REF!),-(GZ117+GZ119),0)</f>
        <v>#REF!</v>
      </c>
      <c r="HA120" s="6" t="e">
        <f>IF(HA$2=MIN(Inputs!#REF!,Inputs!#REF!),-(HA117+HA119),0)</f>
        <v>#REF!</v>
      </c>
      <c r="HB120" s="6" t="e">
        <f>IF(HB$2=MIN(Inputs!#REF!,Inputs!#REF!),-(HB117+HB119),0)</f>
        <v>#REF!</v>
      </c>
      <c r="HC120" s="6" t="e">
        <f>IF(HC$2=MIN(Inputs!#REF!,Inputs!#REF!),-(HC117+HC119),0)</f>
        <v>#REF!</v>
      </c>
      <c r="HD120" s="6" t="e">
        <f>IF(HD$2=MIN(Inputs!#REF!,Inputs!#REF!),-(HD117+HD119),0)</f>
        <v>#REF!</v>
      </c>
      <c r="HE120" s="6" t="e">
        <f>IF(HE$2=MIN(Inputs!#REF!,Inputs!#REF!),-(HE117+HE119),0)</f>
        <v>#REF!</v>
      </c>
      <c r="HF120" s="6" t="e">
        <f>IF(HF$2=MIN(Inputs!#REF!,Inputs!#REF!),-(HF117+HF119),0)</f>
        <v>#REF!</v>
      </c>
      <c r="HG120" s="6" t="e">
        <f>IF(HG$2=MIN(Inputs!#REF!,Inputs!#REF!),-(HG117+HG119),0)</f>
        <v>#REF!</v>
      </c>
      <c r="HH120" s="6" t="e">
        <f>IF(HH$2=MIN(Inputs!#REF!,Inputs!#REF!),-(HH117+HH119),0)</f>
        <v>#REF!</v>
      </c>
      <c r="HI120" s="6" t="e">
        <f>IF(HI$2=MIN(Inputs!#REF!,Inputs!#REF!),-(HI117+HI119),0)</f>
        <v>#REF!</v>
      </c>
      <c r="HJ120" s="6" t="e">
        <f>IF(HJ$2=MIN(Inputs!#REF!,Inputs!#REF!),-(HJ117+HJ119),0)</f>
        <v>#REF!</v>
      </c>
      <c r="HK120" s="6" t="e">
        <f>IF(HK$2=MIN(Inputs!#REF!,Inputs!#REF!),-(HK117+HK119),0)</f>
        <v>#REF!</v>
      </c>
      <c r="HL120" s="6" t="e">
        <f>IF(HL$2=MIN(Inputs!#REF!,Inputs!#REF!),-(HL117+HL119),0)</f>
        <v>#REF!</v>
      </c>
      <c r="HM120" s="6" t="e">
        <f>IF(HM$2=MIN(Inputs!#REF!,Inputs!#REF!),-(HM117+HM119),0)</f>
        <v>#REF!</v>
      </c>
      <c r="HN120" s="6" t="e">
        <f>IF(HN$2=MIN(Inputs!#REF!,Inputs!#REF!),-(HN117+HN119),0)</f>
        <v>#REF!</v>
      </c>
      <c r="HO120" s="6" t="e">
        <f>IF(HO$2=MIN(Inputs!#REF!,Inputs!#REF!),-(HO117+HO119),0)</f>
        <v>#REF!</v>
      </c>
      <c r="HP120" s="6" t="e">
        <f>IF(HP$2=MIN(Inputs!#REF!,Inputs!#REF!),-(HP117+HP119),0)</f>
        <v>#REF!</v>
      </c>
      <c r="HQ120" s="6" t="e">
        <f>IF(HQ$2=MIN(Inputs!#REF!,Inputs!#REF!),-(HQ117+HQ119),0)</f>
        <v>#REF!</v>
      </c>
      <c r="HR120" s="6" t="e">
        <f>IF(HR$2=MIN(Inputs!#REF!,Inputs!#REF!),-(HR117+HR119),0)</f>
        <v>#REF!</v>
      </c>
      <c r="HS120" s="6" t="e">
        <f>IF(HS$2=MIN(Inputs!#REF!,Inputs!#REF!),-(HS117+HS119),0)</f>
        <v>#REF!</v>
      </c>
      <c r="HT120" s="6" t="e">
        <f>IF(HT$2=MIN(Inputs!#REF!,Inputs!#REF!),-(HT117+HT119),0)</f>
        <v>#REF!</v>
      </c>
      <c r="HU120" s="6" t="e">
        <f>IF(HU$2=MIN(Inputs!#REF!,Inputs!#REF!),-(HU117+HU119),0)</f>
        <v>#REF!</v>
      </c>
      <c r="HV120" s="6" t="e">
        <f>IF(HV$2=MIN(Inputs!#REF!,Inputs!#REF!),-(HV117+HV119),0)</f>
        <v>#REF!</v>
      </c>
      <c r="HW120" s="6" t="e">
        <f>IF(HW$2=MIN(Inputs!#REF!,Inputs!#REF!),-(HW117+HW119),0)</f>
        <v>#REF!</v>
      </c>
      <c r="HX120" s="6" t="e">
        <f>IF(HX$2=MIN(Inputs!#REF!,Inputs!#REF!),-(HX117+HX119),0)</f>
        <v>#REF!</v>
      </c>
      <c r="HY120" s="6" t="e">
        <f>IF(HY$2=MIN(Inputs!#REF!,Inputs!#REF!),-(HY117+HY119),0)</f>
        <v>#REF!</v>
      </c>
      <c r="HZ120" s="6" t="e">
        <f>IF(HZ$2=MIN(Inputs!#REF!,Inputs!#REF!),-(HZ117+HZ119),0)</f>
        <v>#REF!</v>
      </c>
      <c r="IA120" s="6" t="e">
        <f>IF(IA$2=MIN(Inputs!#REF!,Inputs!#REF!),-(IA117+IA119),0)</f>
        <v>#REF!</v>
      </c>
      <c r="IB120" s="6" t="e">
        <f>IF(IB$2=MIN(Inputs!#REF!,Inputs!#REF!),-(IB117+IB119),0)</f>
        <v>#REF!</v>
      </c>
      <c r="IC120" s="6" t="e">
        <f>IF(IC$2=MIN(Inputs!#REF!,Inputs!#REF!),-(IC117+IC119),0)</f>
        <v>#REF!</v>
      </c>
      <c r="ID120" s="6" t="e">
        <f>IF(ID$2=MIN(Inputs!#REF!,Inputs!#REF!),-(ID117+ID119),0)</f>
        <v>#REF!</v>
      </c>
      <c r="IE120" s="6" t="e">
        <f>IF(IE$2=MIN(Inputs!#REF!,Inputs!#REF!),-(IE117+IE119),0)</f>
        <v>#REF!</v>
      </c>
      <c r="IF120" s="6" t="e">
        <f>IF(IF$2=MIN(Inputs!#REF!,Inputs!#REF!),-(IF117+IF119),0)</f>
        <v>#REF!</v>
      </c>
      <c r="IG120" s="6" t="e">
        <f>IF(IG$2=MIN(Inputs!#REF!,Inputs!#REF!),-(IG117+IG119),0)</f>
        <v>#REF!</v>
      </c>
      <c r="IH120" s="6" t="e">
        <f>IF(IH$2=MIN(Inputs!#REF!,Inputs!#REF!),-(IH117+IH119),0)</f>
        <v>#REF!</v>
      </c>
      <c r="II120" s="6" t="e">
        <f>IF(II$2=MIN(Inputs!#REF!,Inputs!#REF!),-(II117+II119),0)</f>
        <v>#REF!</v>
      </c>
      <c r="IJ120" s="6" t="e">
        <f>IF(IJ$2=MIN(Inputs!#REF!,Inputs!#REF!),-(IJ117+IJ119),0)</f>
        <v>#REF!</v>
      </c>
      <c r="IK120" s="6" t="e">
        <f>IF(IK$2=MIN(Inputs!#REF!,Inputs!#REF!),-(IK117+IK119),0)</f>
        <v>#REF!</v>
      </c>
      <c r="IL120" s="6" t="e">
        <f>IF(IL$2=MIN(Inputs!#REF!,Inputs!#REF!),-(IL117+IL119),0)</f>
        <v>#REF!</v>
      </c>
      <c r="IM120" s="6" t="e">
        <f>IF(IM$2=MIN(Inputs!#REF!,Inputs!#REF!),-(IM117+IM119),0)</f>
        <v>#REF!</v>
      </c>
      <c r="IN120" s="6" t="e">
        <f>IF(IN$2=MIN(Inputs!#REF!,Inputs!#REF!),-(IN117+IN119),0)</f>
        <v>#REF!</v>
      </c>
      <c r="IO120" s="6" t="e">
        <f>IF(IO$2=MIN(Inputs!#REF!,Inputs!#REF!),-(IO117+IO119),0)</f>
        <v>#REF!</v>
      </c>
      <c r="IP120" s="6" t="e">
        <f>IF(IP$2=MIN(Inputs!#REF!,Inputs!#REF!),-(IP117+IP119),0)</f>
        <v>#REF!</v>
      </c>
      <c r="IQ120" s="6" t="e">
        <f>IF(IQ$2=MIN(Inputs!#REF!,Inputs!#REF!),-(IQ117+IQ119),0)</f>
        <v>#REF!</v>
      </c>
      <c r="IR120" s="6" t="e">
        <f>IF(IR$2=MIN(Inputs!#REF!,Inputs!#REF!),-(IR117+IR119),0)</f>
        <v>#REF!</v>
      </c>
      <c r="IS120" s="6" t="e">
        <f>IF(IS$2=MIN(Inputs!#REF!,Inputs!#REF!),-(IS117+IS119),0)</f>
        <v>#REF!</v>
      </c>
      <c r="IT120" s="6" t="e">
        <f>IF(IT$2=MIN(Inputs!#REF!,Inputs!#REF!),-(IT117+IT119),0)</f>
        <v>#REF!</v>
      </c>
      <c r="IU120" s="6" t="e">
        <f>IF(IU$2=MIN(Inputs!#REF!,Inputs!#REF!),-(IU117+IU119),0)</f>
        <v>#REF!</v>
      </c>
      <c r="IV120" s="6" t="e">
        <f>IF(IV$2=MIN(Inputs!#REF!,Inputs!#REF!),-(IV117+IV119),0)</f>
        <v>#REF!</v>
      </c>
      <c r="IW120" s="6" t="e">
        <f>IF(IW$2=MIN(Inputs!#REF!,Inputs!#REF!),-(IW117+IW119),0)</f>
        <v>#REF!</v>
      </c>
      <c r="IX120" s="6" t="e">
        <f>IF(IX$2=MIN(Inputs!#REF!,Inputs!#REF!),-(IX117+IX119),0)</f>
        <v>#REF!</v>
      </c>
      <c r="IY120" s="6" t="e">
        <f>IF(IY$2=MIN(Inputs!#REF!,Inputs!#REF!),-(IY117+IY119),0)</f>
        <v>#REF!</v>
      </c>
      <c r="IZ120" s="6" t="e">
        <f>IF(IZ$2=MIN(Inputs!#REF!,Inputs!#REF!),-(IZ117+IZ119),0)</f>
        <v>#REF!</v>
      </c>
      <c r="JA120" s="6" t="e">
        <f>IF(JA$2=MIN(Inputs!#REF!,Inputs!#REF!),-(JA117+JA119),0)</f>
        <v>#REF!</v>
      </c>
      <c r="JB120" s="6" t="e">
        <f>IF(JB$2=MIN(Inputs!#REF!,Inputs!#REF!),-(JB117+JB119),0)</f>
        <v>#REF!</v>
      </c>
      <c r="JC120" s="6" t="e">
        <f>IF(JC$2=MIN(Inputs!#REF!,Inputs!#REF!),-(JC117+JC119),0)</f>
        <v>#REF!</v>
      </c>
      <c r="JD120" s="6" t="e">
        <f>IF(JD$2=MIN(Inputs!#REF!,Inputs!#REF!),-(JD117+JD119),0)</f>
        <v>#REF!</v>
      </c>
      <c r="JE120" s="6" t="e">
        <f>IF(JE$2=MIN(Inputs!#REF!,Inputs!#REF!),-(JE117+JE119),0)</f>
        <v>#REF!</v>
      </c>
      <c r="JF120" s="6" t="e">
        <f>IF(JF$2=MIN(Inputs!#REF!,Inputs!#REF!),-(JF117+JF119),0)</f>
        <v>#REF!</v>
      </c>
      <c r="JG120" s="6" t="e">
        <f>IF(JG$2=MIN(Inputs!#REF!,Inputs!#REF!),-(JG117+JG119),0)</f>
        <v>#REF!</v>
      </c>
      <c r="JH120" s="6" t="e">
        <f>IF(JH$2=MIN(Inputs!#REF!,Inputs!#REF!),-(JH117+JH119),0)</f>
        <v>#REF!</v>
      </c>
      <c r="JI120" s="6" t="e">
        <f>IF(JI$2=MIN(Inputs!#REF!,Inputs!#REF!),-(JI117+JI119),0)</f>
        <v>#REF!</v>
      </c>
      <c r="JJ120" s="6" t="e">
        <f>IF(JJ$2=MIN(Inputs!#REF!,Inputs!#REF!),-(JJ117+JJ119),0)</f>
        <v>#REF!</v>
      </c>
      <c r="JK120" s="6" t="e">
        <f>IF(JK$2=MIN(Inputs!#REF!,Inputs!#REF!),-(JK117+JK119),0)</f>
        <v>#REF!</v>
      </c>
      <c r="JL120" s="6" t="e">
        <f>IF(JL$2=MIN(Inputs!#REF!,Inputs!#REF!),-(JL117+JL119),0)</f>
        <v>#REF!</v>
      </c>
      <c r="JM120" s="6" t="e">
        <f>IF(JM$2=MIN(Inputs!#REF!,Inputs!#REF!),-(JM117+JM119),0)</f>
        <v>#REF!</v>
      </c>
      <c r="JN120" s="6" t="e">
        <f>IF(JN$2=MIN(Inputs!#REF!,Inputs!#REF!),-(JN117+JN119),0)</f>
        <v>#REF!</v>
      </c>
      <c r="JO120" s="6" t="e">
        <f>IF(JO$2=MIN(Inputs!#REF!,Inputs!#REF!),-(JO117+JO119),0)</f>
        <v>#REF!</v>
      </c>
      <c r="JP120" s="6" t="e">
        <f>IF(JP$2=MIN(Inputs!#REF!,Inputs!#REF!),-(JP117+JP119),0)</f>
        <v>#REF!</v>
      </c>
      <c r="JQ120" s="6" t="e">
        <f>IF(JQ$2=MIN(Inputs!#REF!,Inputs!#REF!),-(JQ117+JQ119),0)</f>
        <v>#REF!</v>
      </c>
      <c r="JR120" s="6" t="e">
        <f>IF(JR$2=MIN(Inputs!#REF!,Inputs!#REF!),-(JR117+JR119),0)</f>
        <v>#REF!</v>
      </c>
      <c r="JS120" s="6" t="e">
        <f>IF(JS$2=MIN(Inputs!#REF!,Inputs!#REF!),-(JS117+JS119),0)</f>
        <v>#REF!</v>
      </c>
      <c r="JT120" s="6" t="e">
        <f>IF(JT$2=MIN(Inputs!#REF!,Inputs!#REF!),-(JT117+JT119),0)</f>
        <v>#REF!</v>
      </c>
      <c r="JU120" s="6" t="e">
        <f>IF(JU$2=MIN(Inputs!#REF!,Inputs!#REF!),-(JU117+JU119),0)</f>
        <v>#REF!</v>
      </c>
      <c r="JV120" s="6" t="e">
        <f>IF(JV$2=MIN(Inputs!#REF!,Inputs!#REF!),-(JV117+JV119),0)</f>
        <v>#REF!</v>
      </c>
      <c r="JW120" s="6" t="e">
        <f>IF(JW$2=MIN(Inputs!#REF!,Inputs!#REF!),-(JW117+JW119),0)</f>
        <v>#REF!</v>
      </c>
      <c r="JX120" s="6" t="e">
        <f>IF(JX$2=MIN(Inputs!#REF!,Inputs!#REF!),-(JX117+JX119),0)</f>
        <v>#REF!</v>
      </c>
      <c r="JY120" s="6" t="e">
        <f>IF(JY$2=MIN(Inputs!#REF!,Inputs!#REF!),-(JY117+JY119),0)</f>
        <v>#REF!</v>
      </c>
      <c r="JZ120" s="6" t="e">
        <f>IF(JZ$2=MIN(Inputs!#REF!,Inputs!#REF!),-(JZ117+JZ119),0)</f>
        <v>#REF!</v>
      </c>
      <c r="KA120" s="6" t="e">
        <f>IF(KA$2=MIN(Inputs!#REF!,Inputs!#REF!),-(KA117+KA119),0)</f>
        <v>#REF!</v>
      </c>
      <c r="KB120" s="6" t="e">
        <f>IF(KB$2=MIN(Inputs!#REF!,Inputs!#REF!),-(KB117+KB119),0)</f>
        <v>#REF!</v>
      </c>
      <c r="KC120" s="6" t="e">
        <f>IF(KC$2=MIN(Inputs!#REF!,Inputs!#REF!),-(KC117+KC119),0)</f>
        <v>#REF!</v>
      </c>
      <c r="KD120" s="6" t="e">
        <f>IF(KD$2=MIN(Inputs!#REF!,Inputs!#REF!),-(KD117+KD119),0)</f>
        <v>#REF!</v>
      </c>
      <c r="KE120" s="6" t="e">
        <f>IF(KE$2=MIN(Inputs!#REF!,Inputs!#REF!),-(KE117+KE119),0)</f>
        <v>#REF!</v>
      </c>
      <c r="KF120" s="6" t="e">
        <f>IF(KF$2=MIN(Inputs!#REF!,Inputs!#REF!),-(KF117+KF119),0)</f>
        <v>#REF!</v>
      </c>
      <c r="KG120" s="6" t="e">
        <f>IF(KG$2=MIN(Inputs!#REF!,Inputs!#REF!),-(KG117+KG119),0)</f>
        <v>#REF!</v>
      </c>
      <c r="KH120" s="6" t="e">
        <f>IF(KH$2=MIN(Inputs!#REF!,Inputs!#REF!),-(KH117+KH119),0)</f>
        <v>#REF!</v>
      </c>
      <c r="KI120" s="6" t="e">
        <f>IF(KI$2=MIN(Inputs!#REF!,Inputs!#REF!),-(KI117+KI119),0)</f>
        <v>#REF!</v>
      </c>
      <c r="KJ120" s="6" t="e">
        <f>IF(KJ$2=MIN(Inputs!#REF!,Inputs!#REF!),-(KJ117+KJ119),0)</f>
        <v>#REF!</v>
      </c>
      <c r="KK120" s="6" t="e">
        <f>IF(KK$2=MIN(Inputs!#REF!,Inputs!#REF!),-(KK117+KK119),0)</f>
        <v>#REF!</v>
      </c>
      <c r="KL120" s="6" t="e">
        <f>IF(KL$2=MIN(Inputs!#REF!,Inputs!#REF!),-(KL117+KL119),0)</f>
        <v>#REF!</v>
      </c>
      <c r="KM120" s="6" t="e">
        <f>IF(KM$2=MIN(Inputs!#REF!,Inputs!#REF!),-(KM117+KM119),0)</f>
        <v>#REF!</v>
      </c>
      <c r="KN120" s="6" t="e">
        <f>IF(KN$2=MIN(Inputs!#REF!,Inputs!#REF!),-(KN117+KN119),0)</f>
        <v>#REF!</v>
      </c>
      <c r="KO120" s="6" t="e">
        <f>IF(KO$2=MIN(Inputs!#REF!,Inputs!#REF!),-(KO117+KO119),0)</f>
        <v>#REF!</v>
      </c>
      <c r="KP120" s="6" t="e">
        <f>IF(KP$2=MIN(Inputs!#REF!,Inputs!#REF!),-(KP117+KP119),0)</f>
        <v>#REF!</v>
      </c>
      <c r="KQ120" s="6" t="e">
        <f>IF(KQ$2=MIN(Inputs!#REF!,Inputs!#REF!),-(KQ117+KQ119),0)</f>
        <v>#REF!</v>
      </c>
      <c r="KR120" s="6" t="e">
        <f>IF(KR$2=MIN(Inputs!#REF!,Inputs!#REF!),-(KR117+KR119),0)</f>
        <v>#REF!</v>
      </c>
      <c r="KS120" s="6" t="e">
        <f>IF(KS$2=MIN(Inputs!#REF!,Inputs!#REF!),-(KS117+KS119),0)</f>
        <v>#REF!</v>
      </c>
    </row>
    <row r="121" spans="2:305" s="6" customFormat="1" outlineLevel="1">
      <c r="B121" s="32" t="s">
        <v>29</v>
      </c>
      <c r="C121" s="32"/>
      <c r="D121"/>
      <c r="E121" s="36" t="e">
        <f>SUM(E117:E120)</f>
        <v>#REF!</v>
      </c>
      <c r="F121" s="36" t="e">
        <f t="shared" ref="F121:BQ121" si="430">SUM(F117:F120)</f>
        <v>#REF!</v>
      </c>
      <c r="G121" s="36" t="e">
        <f t="shared" si="430"/>
        <v>#REF!</v>
      </c>
      <c r="H121" s="36" t="e">
        <f t="shared" si="430"/>
        <v>#REF!</v>
      </c>
      <c r="I121" s="36" t="e">
        <f t="shared" si="430"/>
        <v>#REF!</v>
      </c>
      <c r="J121" s="36" t="e">
        <f t="shared" si="430"/>
        <v>#REF!</v>
      </c>
      <c r="K121" s="36" t="e">
        <f t="shared" si="430"/>
        <v>#REF!</v>
      </c>
      <c r="L121" s="36" t="e">
        <f t="shared" si="430"/>
        <v>#REF!</v>
      </c>
      <c r="M121" s="36" t="e">
        <f t="shared" si="430"/>
        <v>#REF!</v>
      </c>
      <c r="N121" s="36" t="e">
        <f t="shared" si="430"/>
        <v>#REF!</v>
      </c>
      <c r="O121" s="36" t="e">
        <f t="shared" si="430"/>
        <v>#REF!</v>
      </c>
      <c r="P121" s="36" t="e">
        <f t="shared" si="430"/>
        <v>#REF!</v>
      </c>
      <c r="Q121" s="36" t="e">
        <f t="shared" si="430"/>
        <v>#REF!</v>
      </c>
      <c r="R121" s="36" t="e">
        <f t="shared" si="430"/>
        <v>#REF!</v>
      </c>
      <c r="S121" s="36" t="e">
        <f t="shared" si="430"/>
        <v>#REF!</v>
      </c>
      <c r="T121" s="36" t="e">
        <f t="shared" si="430"/>
        <v>#REF!</v>
      </c>
      <c r="U121" s="36" t="e">
        <f t="shared" si="430"/>
        <v>#REF!</v>
      </c>
      <c r="V121" s="36" t="e">
        <f t="shared" si="430"/>
        <v>#REF!</v>
      </c>
      <c r="W121" s="36" t="e">
        <f t="shared" si="430"/>
        <v>#REF!</v>
      </c>
      <c r="X121" s="36" t="e">
        <f t="shared" si="430"/>
        <v>#REF!</v>
      </c>
      <c r="Y121" s="36" t="e">
        <f t="shared" si="430"/>
        <v>#REF!</v>
      </c>
      <c r="Z121" s="36" t="e">
        <f t="shared" si="430"/>
        <v>#REF!</v>
      </c>
      <c r="AA121" s="36" t="e">
        <f t="shared" si="430"/>
        <v>#REF!</v>
      </c>
      <c r="AB121" s="36" t="e">
        <f t="shared" si="430"/>
        <v>#REF!</v>
      </c>
      <c r="AC121" s="36" t="e">
        <f t="shared" si="430"/>
        <v>#REF!</v>
      </c>
      <c r="AD121" s="36" t="e">
        <f t="shared" si="430"/>
        <v>#REF!</v>
      </c>
      <c r="AE121" s="36" t="e">
        <f t="shared" si="430"/>
        <v>#REF!</v>
      </c>
      <c r="AF121" s="36" t="e">
        <f t="shared" si="430"/>
        <v>#REF!</v>
      </c>
      <c r="AG121" s="36" t="e">
        <f t="shared" si="430"/>
        <v>#REF!</v>
      </c>
      <c r="AH121" s="36" t="e">
        <f t="shared" si="430"/>
        <v>#REF!</v>
      </c>
      <c r="AI121" s="36" t="e">
        <f t="shared" si="430"/>
        <v>#REF!</v>
      </c>
      <c r="AJ121" s="36" t="e">
        <f t="shared" si="430"/>
        <v>#REF!</v>
      </c>
      <c r="AK121" s="36" t="e">
        <f t="shared" si="430"/>
        <v>#REF!</v>
      </c>
      <c r="AL121" s="36" t="e">
        <f t="shared" si="430"/>
        <v>#REF!</v>
      </c>
      <c r="AM121" s="36" t="e">
        <f t="shared" si="430"/>
        <v>#REF!</v>
      </c>
      <c r="AN121" s="36" t="e">
        <f t="shared" si="430"/>
        <v>#REF!</v>
      </c>
      <c r="AO121" s="36" t="e">
        <f t="shared" si="430"/>
        <v>#REF!</v>
      </c>
      <c r="AP121" s="36" t="e">
        <f t="shared" si="430"/>
        <v>#REF!</v>
      </c>
      <c r="AQ121" s="36" t="e">
        <f t="shared" si="430"/>
        <v>#REF!</v>
      </c>
      <c r="AR121" s="36" t="e">
        <f t="shared" si="430"/>
        <v>#REF!</v>
      </c>
      <c r="AS121" s="36" t="e">
        <f t="shared" si="430"/>
        <v>#REF!</v>
      </c>
      <c r="AT121" s="36" t="e">
        <f t="shared" si="430"/>
        <v>#REF!</v>
      </c>
      <c r="AU121" s="36" t="e">
        <f t="shared" si="430"/>
        <v>#REF!</v>
      </c>
      <c r="AV121" s="36" t="e">
        <f t="shared" si="430"/>
        <v>#REF!</v>
      </c>
      <c r="AW121" s="36" t="e">
        <f t="shared" si="430"/>
        <v>#REF!</v>
      </c>
      <c r="AX121" s="36" t="e">
        <f t="shared" si="430"/>
        <v>#REF!</v>
      </c>
      <c r="AY121" s="36" t="e">
        <f t="shared" si="430"/>
        <v>#REF!</v>
      </c>
      <c r="AZ121" s="36" t="e">
        <f t="shared" si="430"/>
        <v>#REF!</v>
      </c>
      <c r="BA121" s="36" t="e">
        <f t="shared" si="430"/>
        <v>#REF!</v>
      </c>
      <c r="BB121" s="36" t="e">
        <f t="shared" si="430"/>
        <v>#REF!</v>
      </c>
      <c r="BC121" s="36" t="e">
        <f t="shared" si="430"/>
        <v>#REF!</v>
      </c>
      <c r="BD121" s="36" t="e">
        <f t="shared" si="430"/>
        <v>#REF!</v>
      </c>
      <c r="BE121" s="36" t="e">
        <f t="shared" si="430"/>
        <v>#REF!</v>
      </c>
      <c r="BF121" s="36" t="e">
        <f t="shared" si="430"/>
        <v>#REF!</v>
      </c>
      <c r="BG121" s="36" t="e">
        <f t="shared" si="430"/>
        <v>#REF!</v>
      </c>
      <c r="BH121" s="36" t="e">
        <f t="shared" si="430"/>
        <v>#REF!</v>
      </c>
      <c r="BI121" s="36" t="e">
        <f t="shared" si="430"/>
        <v>#REF!</v>
      </c>
      <c r="BJ121" s="36" t="e">
        <f t="shared" si="430"/>
        <v>#REF!</v>
      </c>
      <c r="BK121" s="36" t="e">
        <f t="shared" si="430"/>
        <v>#REF!</v>
      </c>
      <c r="BL121" s="36" t="e">
        <f t="shared" si="430"/>
        <v>#REF!</v>
      </c>
      <c r="BM121" s="36" t="e">
        <f t="shared" si="430"/>
        <v>#REF!</v>
      </c>
      <c r="BN121" s="36" t="e">
        <f t="shared" si="430"/>
        <v>#REF!</v>
      </c>
      <c r="BO121" s="36" t="e">
        <f t="shared" si="430"/>
        <v>#REF!</v>
      </c>
      <c r="BP121" s="36" t="e">
        <f t="shared" si="430"/>
        <v>#REF!</v>
      </c>
      <c r="BQ121" s="36" t="e">
        <f t="shared" si="430"/>
        <v>#REF!</v>
      </c>
      <c r="BR121" s="36" t="e">
        <f t="shared" ref="BR121:EC121" si="431">SUM(BR117:BR120)</f>
        <v>#REF!</v>
      </c>
      <c r="BS121" s="36" t="e">
        <f t="shared" si="431"/>
        <v>#REF!</v>
      </c>
      <c r="BT121" s="36" t="e">
        <f t="shared" si="431"/>
        <v>#REF!</v>
      </c>
      <c r="BU121" s="36" t="e">
        <f t="shared" si="431"/>
        <v>#REF!</v>
      </c>
      <c r="BV121" s="36" t="e">
        <f t="shared" si="431"/>
        <v>#REF!</v>
      </c>
      <c r="BW121" s="36" t="e">
        <f t="shared" si="431"/>
        <v>#REF!</v>
      </c>
      <c r="BX121" s="36" t="e">
        <f t="shared" si="431"/>
        <v>#REF!</v>
      </c>
      <c r="BY121" s="36" t="e">
        <f t="shared" si="431"/>
        <v>#REF!</v>
      </c>
      <c r="BZ121" s="36" t="e">
        <f t="shared" si="431"/>
        <v>#REF!</v>
      </c>
      <c r="CA121" s="36" t="e">
        <f t="shared" si="431"/>
        <v>#REF!</v>
      </c>
      <c r="CB121" s="36" t="e">
        <f t="shared" si="431"/>
        <v>#REF!</v>
      </c>
      <c r="CC121" s="36" t="e">
        <f t="shared" si="431"/>
        <v>#REF!</v>
      </c>
      <c r="CD121" s="36" t="e">
        <f t="shared" si="431"/>
        <v>#REF!</v>
      </c>
      <c r="CE121" s="36" t="e">
        <f t="shared" si="431"/>
        <v>#REF!</v>
      </c>
      <c r="CF121" s="36" t="e">
        <f t="shared" si="431"/>
        <v>#REF!</v>
      </c>
      <c r="CG121" s="36" t="e">
        <f t="shared" si="431"/>
        <v>#REF!</v>
      </c>
      <c r="CH121" s="36" t="e">
        <f t="shared" si="431"/>
        <v>#REF!</v>
      </c>
      <c r="CI121" s="36" t="e">
        <f t="shared" si="431"/>
        <v>#REF!</v>
      </c>
      <c r="CJ121" s="36" t="e">
        <f t="shared" si="431"/>
        <v>#REF!</v>
      </c>
      <c r="CK121" s="36" t="e">
        <f t="shared" si="431"/>
        <v>#REF!</v>
      </c>
      <c r="CL121" s="36" t="e">
        <f t="shared" si="431"/>
        <v>#REF!</v>
      </c>
      <c r="CM121" s="36" t="e">
        <f t="shared" si="431"/>
        <v>#REF!</v>
      </c>
      <c r="CN121" s="36" t="e">
        <f t="shared" si="431"/>
        <v>#REF!</v>
      </c>
      <c r="CO121" s="36" t="e">
        <f t="shared" si="431"/>
        <v>#REF!</v>
      </c>
      <c r="CP121" s="36" t="e">
        <f t="shared" si="431"/>
        <v>#REF!</v>
      </c>
      <c r="CQ121" s="36" t="e">
        <f t="shared" si="431"/>
        <v>#REF!</v>
      </c>
      <c r="CR121" s="36" t="e">
        <f t="shared" si="431"/>
        <v>#REF!</v>
      </c>
      <c r="CS121" s="36" t="e">
        <f t="shared" si="431"/>
        <v>#REF!</v>
      </c>
      <c r="CT121" s="36" t="e">
        <f t="shared" si="431"/>
        <v>#REF!</v>
      </c>
      <c r="CU121" s="36" t="e">
        <f t="shared" si="431"/>
        <v>#REF!</v>
      </c>
      <c r="CV121" s="36" t="e">
        <f t="shared" si="431"/>
        <v>#REF!</v>
      </c>
      <c r="CW121" s="36" t="e">
        <f t="shared" si="431"/>
        <v>#REF!</v>
      </c>
      <c r="CX121" s="36" t="e">
        <f t="shared" si="431"/>
        <v>#REF!</v>
      </c>
      <c r="CY121" s="36" t="e">
        <f t="shared" si="431"/>
        <v>#REF!</v>
      </c>
      <c r="CZ121" s="36" t="e">
        <f t="shared" si="431"/>
        <v>#REF!</v>
      </c>
      <c r="DA121" s="36" t="e">
        <f t="shared" si="431"/>
        <v>#REF!</v>
      </c>
      <c r="DB121" s="36" t="e">
        <f t="shared" si="431"/>
        <v>#REF!</v>
      </c>
      <c r="DC121" s="36" t="e">
        <f t="shared" si="431"/>
        <v>#REF!</v>
      </c>
      <c r="DD121" s="36" t="e">
        <f t="shared" si="431"/>
        <v>#REF!</v>
      </c>
      <c r="DE121" s="36" t="e">
        <f t="shared" si="431"/>
        <v>#REF!</v>
      </c>
      <c r="DF121" s="36" t="e">
        <f t="shared" si="431"/>
        <v>#REF!</v>
      </c>
      <c r="DG121" s="36" t="e">
        <f t="shared" si="431"/>
        <v>#REF!</v>
      </c>
      <c r="DH121" s="36" t="e">
        <f t="shared" si="431"/>
        <v>#REF!</v>
      </c>
      <c r="DI121" s="36" t="e">
        <f t="shared" si="431"/>
        <v>#REF!</v>
      </c>
      <c r="DJ121" s="36" t="e">
        <f t="shared" si="431"/>
        <v>#REF!</v>
      </c>
      <c r="DK121" s="36" t="e">
        <f t="shared" si="431"/>
        <v>#REF!</v>
      </c>
      <c r="DL121" s="36" t="e">
        <f t="shared" si="431"/>
        <v>#REF!</v>
      </c>
      <c r="DM121" s="36" t="e">
        <f t="shared" si="431"/>
        <v>#REF!</v>
      </c>
      <c r="DN121" s="36" t="e">
        <f t="shared" si="431"/>
        <v>#REF!</v>
      </c>
      <c r="DO121" s="36" t="e">
        <f t="shared" si="431"/>
        <v>#REF!</v>
      </c>
      <c r="DP121" s="36" t="e">
        <f t="shared" si="431"/>
        <v>#REF!</v>
      </c>
      <c r="DQ121" s="36" t="e">
        <f t="shared" si="431"/>
        <v>#REF!</v>
      </c>
      <c r="DR121" s="36" t="e">
        <f t="shared" si="431"/>
        <v>#REF!</v>
      </c>
      <c r="DS121" s="36" t="e">
        <f t="shared" si="431"/>
        <v>#REF!</v>
      </c>
      <c r="DT121" s="36" t="e">
        <f t="shared" si="431"/>
        <v>#REF!</v>
      </c>
      <c r="DU121" s="36" t="e">
        <f t="shared" si="431"/>
        <v>#REF!</v>
      </c>
      <c r="DV121" s="36" t="e">
        <f t="shared" si="431"/>
        <v>#REF!</v>
      </c>
      <c r="DW121" s="36" t="e">
        <f t="shared" si="431"/>
        <v>#REF!</v>
      </c>
      <c r="DX121" s="36" t="e">
        <f t="shared" si="431"/>
        <v>#REF!</v>
      </c>
      <c r="DY121" s="36" t="e">
        <f t="shared" si="431"/>
        <v>#REF!</v>
      </c>
      <c r="DZ121" s="36" t="e">
        <f t="shared" si="431"/>
        <v>#REF!</v>
      </c>
      <c r="EA121" s="36" t="e">
        <f t="shared" si="431"/>
        <v>#REF!</v>
      </c>
      <c r="EB121" s="36" t="e">
        <f t="shared" si="431"/>
        <v>#REF!</v>
      </c>
      <c r="EC121" s="36" t="e">
        <f t="shared" si="431"/>
        <v>#REF!</v>
      </c>
      <c r="ED121" s="36" t="e">
        <f t="shared" ref="ED121:GO121" si="432">SUM(ED117:ED120)</f>
        <v>#REF!</v>
      </c>
      <c r="EE121" s="36" t="e">
        <f t="shared" si="432"/>
        <v>#REF!</v>
      </c>
      <c r="EF121" s="36" t="e">
        <f t="shared" si="432"/>
        <v>#REF!</v>
      </c>
      <c r="EG121" s="36" t="e">
        <f t="shared" si="432"/>
        <v>#REF!</v>
      </c>
      <c r="EH121" s="36" t="e">
        <f t="shared" si="432"/>
        <v>#REF!</v>
      </c>
      <c r="EI121" s="36" t="e">
        <f t="shared" si="432"/>
        <v>#REF!</v>
      </c>
      <c r="EJ121" s="36" t="e">
        <f t="shared" si="432"/>
        <v>#REF!</v>
      </c>
      <c r="EK121" s="36" t="e">
        <f t="shared" si="432"/>
        <v>#REF!</v>
      </c>
      <c r="EL121" s="36" t="e">
        <f t="shared" si="432"/>
        <v>#REF!</v>
      </c>
      <c r="EM121" s="36" t="e">
        <f t="shared" si="432"/>
        <v>#REF!</v>
      </c>
      <c r="EN121" s="36" t="e">
        <f t="shared" si="432"/>
        <v>#REF!</v>
      </c>
      <c r="EO121" s="36" t="e">
        <f t="shared" si="432"/>
        <v>#REF!</v>
      </c>
      <c r="EP121" s="36" t="e">
        <f t="shared" si="432"/>
        <v>#REF!</v>
      </c>
      <c r="EQ121" s="36" t="e">
        <f t="shared" si="432"/>
        <v>#REF!</v>
      </c>
      <c r="ER121" s="36" t="e">
        <f t="shared" si="432"/>
        <v>#REF!</v>
      </c>
      <c r="ES121" s="36" t="e">
        <f t="shared" si="432"/>
        <v>#REF!</v>
      </c>
      <c r="ET121" s="36" t="e">
        <f t="shared" si="432"/>
        <v>#REF!</v>
      </c>
      <c r="EU121" s="36" t="e">
        <f t="shared" si="432"/>
        <v>#REF!</v>
      </c>
      <c r="EV121" s="36" t="e">
        <f t="shared" si="432"/>
        <v>#REF!</v>
      </c>
      <c r="EW121" s="36" t="e">
        <f t="shared" si="432"/>
        <v>#REF!</v>
      </c>
      <c r="EX121" s="36" t="e">
        <f t="shared" si="432"/>
        <v>#REF!</v>
      </c>
      <c r="EY121" s="36" t="e">
        <f t="shared" si="432"/>
        <v>#REF!</v>
      </c>
      <c r="EZ121" s="36" t="e">
        <f t="shared" si="432"/>
        <v>#REF!</v>
      </c>
      <c r="FA121" s="36" t="e">
        <f t="shared" si="432"/>
        <v>#REF!</v>
      </c>
      <c r="FB121" s="36" t="e">
        <f t="shared" si="432"/>
        <v>#REF!</v>
      </c>
      <c r="FC121" s="36" t="e">
        <f t="shared" si="432"/>
        <v>#REF!</v>
      </c>
      <c r="FD121" s="36" t="e">
        <f t="shared" si="432"/>
        <v>#REF!</v>
      </c>
      <c r="FE121" s="36" t="e">
        <f t="shared" si="432"/>
        <v>#REF!</v>
      </c>
      <c r="FF121" s="36" t="e">
        <f t="shared" si="432"/>
        <v>#REF!</v>
      </c>
      <c r="FG121" s="36" t="e">
        <f t="shared" si="432"/>
        <v>#REF!</v>
      </c>
      <c r="FH121" s="36" t="e">
        <f t="shared" si="432"/>
        <v>#REF!</v>
      </c>
      <c r="FI121" s="36" t="e">
        <f t="shared" si="432"/>
        <v>#REF!</v>
      </c>
      <c r="FJ121" s="36" t="e">
        <f t="shared" si="432"/>
        <v>#REF!</v>
      </c>
      <c r="FK121" s="36" t="e">
        <f t="shared" si="432"/>
        <v>#REF!</v>
      </c>
      <c r="FL121" s="36" t="e">
        <f t="shared" si="432"/>
        <v>#REF!</v>
      </c>
      <c r="FM121" s="36" t="e">
        <f t="shared" si="432"/>
        <v>#REF!</v>
      </c>
      <c r="FN121" s="36" t="e">
        <f t="shared" si="432"/>
        <v>#REF!</v>
      </c>
      <c r="FO121" s="36" t="e">
        <f t="shared" si="432"/>
        <v>#REF!</v>
      </c>
      <c r="FP121" s="36" t="e">
        <f t="shared" si="432"/>
        <v>#REF!</v>
      </c>
      <c r="FQ121" s="36" t="e">
        <f t="shared" si="432"/>
        <v>#REF!</v>
      </c>
      <c r="FR121" s="36" t="e">
        <f t="shared" si="432"/>
        <v>#REF!</v>
      </c>
      <c r="FS121" s="36" t="e">
        <f t="shared" si="432"/>
        <v>#REF!</v>
      </c>
      <c r="FT121" s="36" t="e">
        <f t="shared" si="432"/>
        <v>#REF!</v>
      </c>
      <c r="FU121" s="36" t="e">
        <f t="shared" si="432"/>
        <v>#REF!</v>
      </c>
      <c r="FV121" s="36" t="e">
        <f t="shared" si="432"/>
        <v>#REF!</v>
      </c>
      <c r="FW121" s="36" t="e">
        <f t="shared" si="432"/>
        <v>#REF!</v>
      </c>
      <c r="FX121" s="36" t="e">
        <f t="shared" si="432"/>
        <v>#REF!</v>
      </c>
      <c r="FY121" s="36" t="e">
        <f t="shared" si="432"/>
        <v>#REF!</v>
      </c>
      <c r="FZ121" s="36" t="e">
        <f t="shared" si="432"/>
        <v>#REF!</v>
      </c>
      <c r="GA121" s="36" t="e">
        <f t="shared" si="432"/>
        <v>#REF!</v>
      </c>
      <c r="GB121" s="36" t="e">
        <f t="shared" si="432"/>
        <v>#REF!</v>
      </c>
      <c r="GC121" s="36" t="e">
        <f t="shared" si="432"/>
        <v>#REF!</v>
      </c>
      <c r="GD121" s="36" t="e">
        <f t="shared" si="432"/>
        <v>#REF!</v>
      </c>
      <c r="GE121" s="36" t="e">
        <f t="shared" si="432"/>
        <v>#REF!</v>
      </c>
      <c r="GF121" s="36" t="e">
        <f t="shared" si="432"/>
        <v>#REF!</v>
      </c>
      <c r="GG121" s="36" t="e">
        <f t="shared" si="432"/>
        <v>#REF!</v>
      </c>
      <c r="GH121" s="36" t="e">
        <f t="shared" si="432"/>
        <v>#REF!</v>
      </c>
      <c r="GI121" s="36" t="e">
        <f t="shared" si="432"/>
        <v>#REF!</v>
      </c>
      <c r="GJ121" s="36" t="e">
        <f t="shared" si="432"/>
        <v>#REF!</v>
      </c>
      <c r="GK121" s="36" t="e">
        <f t="shared" si="432"/>
        <v>#REF!</v>
      </c>
      <c r="GL121" s="36" t="e">
        <f t="shared" si="432"/>
        <v>#REF!</v>
      </c>
      <c r="GM121" s="36" t="e">
        <f t="shared" si="432"/>
        <v>#REF!</v>
      </c>
      <c r="GN121" s="36" t="e">
        <f t="shared" si="432"/>
        <v>#REF!</v>
      </c>
      <c r="GO121" s="36" t="e">
        <f t="shared" si="432"/>
        <v>#REF!</v>
      </c>
      <c r="GP121" s="36" t="e">
        <f t="shared" ref="GP121:JA121" si="433">SUM(GP117:GP120)</f>
        <v>#REF!</v>
      </c>
      <c r="GQ121" s="36" t="e">
        <f t="shared" si="433"/>
        <v>#REF!</v>
      </c>
      <c r="GR121" s="36" t="e">
        <f t="shared" si="433"/>
        <v>#REF!</v>
      </c>
      <c r="GS121" s="36" t="e">
        <f t="shared" si="433"/>
        <v>#REF!</v>
      </c>
      <c r="GT121" s="36" t="e">
        <f t="shared" si="433"/>
        <v>#REF!</v>
      </c>
      <c r="GU121" s="36" t="e">
        <f t="shared" si="433"/>
        <v>#REF!</v>
      </c>
      <c r="GV121" s="36" t="e">
        <f t="shared" si="433"/>
        <v>#REF!</v>
      </c>
      <c r="GW121" s="36" t="e">
        <f t="shared" si="433"/>
        <v>#REF!</v>
      </c>
      <c r="GX121" s="36" t="e">
        <f t="shared" si="433"/>
        <v>#REF!</v>
      </c>
      <c r="GY121" s="36" t="e">
        <f t="shared" si="433"/>
        <v>#REF!</v>
      </c>
      <c r="GZ121" s="36" t="e">
        <f t="shared" si="433"/>
        <v>#REF!</v>
      </c>
      <c r="HA121" s="36" t="e">
        <f t="shared" si="433"/>
        <v>#REF!</v>
      </c>
      <c r="HB121" s="36" t="e">
        <f t="shared" si="433"/>
        <v>#REF!</v>
      </c>
      <c r="HC121" s="36" t="e">
        <f t="shared" si="433"/>
        <v>#REF!</v>
      </c>
      <c r="HD121" s="36" t="e">
        <f t="shared" si="433"/>
        <v>#REF!</v>
      </c>
      <c r="HE121" s="36" t="e">
        <f t="shared" si="433"/>
        <v>#REF!</v>
      </c>
      <c r="HF121" s="36" t="e">
        <f t="shared" si="433"/>
        <v>#REF!</v>
      </c>
      <c r="HG121" s="36" t="e">
        <f t="shared" si="433"/>
        <v>#REF!</v>
      </c>
      <c r="HH121" s="36" t="e">
        <f t="shared" si="433"/>
        <v>#REF!</v>
      </c>
      <c r="HI121" s="36" t="e">
        <f t="shared" si="433"/>
        <v>#REF!</v>
      </c>
      <c r="HJ121" s="36" t="e">
        <f t="shared" si="433"/>
        <v>#REF!</v>
      </c>
      <c r="HK121" s="36" t="e">
        <f t="shared" si="433"/>
        <v>#REF!</v>
      </c>
      <c r="HL121" s="36" t="e">
        <f t="shared" si="433"/>
        <v>#REF!</v>
      </c>
      <c r="HM121" s="36" t="e">
        <f t="shared" si="433"/>
        <v>#REF!</v>
      </c>
      <c r="HN121" s="36" t="e">
        <f t="shared" si="433"/>
        <v>#REF!</v>
      </c>
      <c r="HO121" s="36" t="e">
        <f t="shared" si="433"/>
        <v>#REF!</v>
      </c>
      <c r="HP121" s="36" t="e">
        <f t="shared" si="433"/>
        <v>#REF!</v>
      </c>
      <c r="HQ121" s="36" t="e">
        <f t="shared" si="433"/>
        <v>#REF!</v>
      </c>
      <c r="HR121" s="36" t="e">
        <f t="shared" si="433"/>
        <v>#REF!</v>
      </c>
      <c r="HS121" s="36" t="e">
        <f t="shared" si="433"/>
        <v>#REF!</v>
      </c>
      <c r="HT121" s="36" t="e">
        <f t="shared" si="433"/>
        <v>#REF!</v>
      </c>
      <c r="HU121" s="36" t="e">
        <f t="shared" si="433"/>
        <v>#REF!</v>
      </c>
      <c r="HV121" s="36" t="e">
        <f t="shared" si="433"/>
        <v>#REF!</v>
      </c>
      <c r="HW121" s="36" t="e">
        <f t="shared" si="433"/>
        <v>#REF!</v>
      </c>
      <c r="HX121" s="36" t="e">
        <f t="shared" si="433"/>
        <v>#REF!</v>
      </c>
      <c r="HY121" s="36" t="e">
        <f t="shared" si="433"/>
        <v>#REF!</v>
      </c>
      <c r="HZ121" s="36" t="e">
        <f t="shared" si="433"/>
        <v>#REF!</v>
      </c>
      <c r="IA121" s="36" t="e">
        <f t="shared" si="433"/>
        <v>#REF!</v>
      </c>
      <c r="IB121" s="36" t="e">
        <f t="shared" si="433"/>
        <v>#REF!</v>
      </c>
      <c r="IC121" s="36" t="e">
        <f t="shared" si="433"/>
        <v>#REF!</v>
      </c>
      <c r="ID121" s="36" t="e">
        <f t="shared" si="433"/>
        <v>#REF!</v>
      </c>
      <c r="IE121" s="36" t="e">
        <f t="shared" si="433"/>
        <v>#REF!</v>
      </c>
      <c r="IF121" s="36" t="e">
        <f t="shared" si="433"/>
        <v>#REF!</v>
      </c>
      <c r="IG121" s="36" t="e">
        <f t="shared" si="433"/>
        <v>#REF!</v>
      </c>
      <c r="IH121" s="36" t="e">
        <f t="shared" si="433"/>
        <v>#REF!</v>
      </c>
      <c r="II121" s="36" t="e">
        <f t="shared" si="433"/>
        <v>#REF!</v>
      </c>
      <c r="IJ121" s="36" t="e">
        <f t="shared" si="433"/>
        <v>#REF!</v>
      </c>
      <c r="IK121" s="36" t="e">
        <f t="shared" si="433"/>
        <v>#REF!</v>
      </c>
      <c r="IL121" s="36" t="e">
        <f t="shared" si="433"/>
        <v>#REF!</v>
      </c>
      <c r="IM121" s="36" t="e">
        <f t="shared" si="433"/>
        <v>#REF!</v>
      </c>
      <c r="IN121" s="36" t="e">
        <f t="shared" si="433"/>
        <v>#REF!</v>
      </c>
      <c r="IO121" s="36" t="e">
        <f t="shared" si="433"/>
        <v>#REF!</v>
      </c>
      <c r="IP121" s="36" t="e">
        <f t="shared" si="433"/>
        <v>#REF!</v>
      </c>
      <c r="IQ121" s="36" t="e">
        <f t="shared" si="433"/>
        <v>#REF!</v>
      </c>
      <c r="IR121" s="36" t="e">
        <f t="shared" si="433"/>
        <v>#REF!</v>
      </c>
      <c r="IS121" s="36" t="e">
        <f t="shared" si="433"/>
        <v>#REF!</v>
      </c>
      <c r="IT121" s="36" t="e">
        <f t="shared" si="433"/>
        <v>#REF!</v>
      </c>
      <c r="IU121" s="36" t="e">
        <f t="shared" si="433"/>
        <v>#REF!</v>
      </c>
      <c r="IV121" s="36" t="e">
        <f t="shared" si="433"/>
        <v>#REF!</v>
      </c>
      <c r="IW121" s="36" t="e">
        <f t="shared" si="433"/>
        <v>#REF!</v>
      </c>
      <c r="IX121" s="36" t="e">
        <f t="shared" si="433"/>
        <v>#REF!</v>
      </c>
      <c r="IY121" s="36" t="e">
        <f t="shared" si="433"/>
        <v>#REF!</v>
      </c>
      <c r="IZ121" s="36" t="e">
        <f t="shared" si="433"/>
        <v>#REF!</v>
      </c>
      <c r="JA121" s="36" t="e">
        <f t="shared" si="433"/>
        <v>#REF!</v>
      </c>
      <c r="JB121" s="36" t="e">
        <f t="shared" ref="JB121:KS121" si="434">SUM(JB117:JB120)</f>
        <v>#REF!</v>
      </c>
      <c r="JC121" s="36" t="e">
        <f t="shared" si="434"/>
        <v>#REF!</v>
      </c>
      <c r="JD121" s="36" t="e">
        <f t="shared" si="434"/>
        <v>#REF!</v>
      </c>
      <c r="JE121" s="36" t="e">
        <f t="shared" si="434"/>
        <v>#REF!</v>
      </c>
      <c r="JF121" s="36" t="e">
        <f t="shared" si="434"/>
        <v>#REF!</v>
      </c>
      <c r="JG121" s="36" t="e">
        <f t="shared" si="434"/>
        <v>#REF!</v>
      </c>
      <c r="JH121" s="36" t="e">
        <f t="shared" si="434"/>
        <v>#REF!</v>
      </c>
      <c r="JI121" s="36" t="e">
        <f t="shared" si="434"/>
        <v>#REF!</v>
      </c>
      <c r="JJ121" s="36" t="e">
        <f t="shared" si="434"/>
        <v>#REF!</v>
      </c>
      <c r="JK121" s="36" t="e">
        <f t="shared" si="434"/>
        <v>#REF!</v>
      </c>
      <c r="JL121" s="36" t="e">
        <f t="shared" si="434"/>
        <v>#REF!</v>
      </c>
      <c r="JM121" s="36" t="e">
        <f t="shared" si="434"/>
        <v>#REF!</v>
      </c>
      <c r="JN121" s="36" t="e">
        <f t="shared" si="434"/>
        <v>#REF!</v>
      </c>
      <c r="JO121" s="36" t="e">
        <f t="shared" si="434"/>
        <v>#REF!</v>
      </c>
      <c r="JP121" s="36" t="e">
        <f t="shared" si="434"/>
        <v>#REF!</v>
      </c>
      <c r="JQ121" s="36" t="e">
        <f t="shared" si="434"/>
        <v>#REF!</v>
      </c>
      <c r="JR121" s="36" t="e">
        <f t="shared" si="434"/>
        <v>#REF!</v>
      </c>
      <c r="JS121" s="36" t="e">
        <f t="shared" si="434"/>
        <v>#REF!</v>
      </c>
      <c r="JT121" s="36" t="e">
        <f t="shared" si="434"/>
        <v>#REF!</v>
      </c>
      <c r="JU121" s="36" t="e">
        <f t="shared" si="434"/>
        <v>#REF!</v>
      </c>
      <c r="JV121" s="36" t="e">
        <f t="shared" si="434"/>
        <v>#REF!</v>
      </c>
      <c r="JW121" s="36" t="e">
        <f t="shared" si="434"/>
        <v>#REF!</v>
      </c>
      <c r="JX121" s="36" t="e">
        <f t="shared" si="434"/>
        <v>#REF!</v>
      </c>
      <c r="JY121" s="36" t="e">
        <f t="shared" si="434"/>
        <v>#REF!</v>
      </c>
      <c r="JZ121" s="36" t="e">
        <f t="shared" si="434"/>
        <v>#REF!</v>
      </c>
      <c r="KA121" s="36" t="e">
        <f t="shared" si="434"/>
        <v>#REF!</v>
      </c>
      <c r="KB121" s="36" t="e">
        <f t="shared" si="434"/>
        <v>#REF!</v>
      </c>
      <c r="KC121" s="36" t="e">
        <f t="shared" si="434"/>
        <v>#REF!</v>
      </c>
      <c r="KD121" s="36" t="e">
        <f t="shared" si="434"/>
        <v>#REF!</v>
      </c>
      <c r="KE121" s="36" t="e">
        <f t="shared" si="434"/>
        <v>#REF!</v>
      </c>
      <c r="KF121" s="36" t="e">
        <f t="shared" si="434"/>
        <v>#REF!</v>
      </c>
      <c r="KG121" s="36" t="e">
        <f t="shared" si="434"/>
        <v>#REF!</v>
      </c>
      <c r="KH121" s="36" t="e">
        <f t="shared" si="434"/>
        <v>#REF!</v>
      </c>
      <c r="KI121" s="36" t="e">
        <f t="shared" si="434"/>
        <v>#REF!</v>
      </c>
      <c r="KJ121" s="36" t="e">
        <f t="shared" si="434"/>
        <v>#REF!</v>
      </c>
      <c r="KK121" s="36" t="e">
        <f t="shared" si="434"/>
        <v>#REF!</v>
      </c>
      <c r="KL121" s="36" t="e">
        <f t="shared" si="434"/>
        <v>#REF!</v>
      </c>
      <c r="KM121" s="36" t="e">
        <f t="shared" si="434"/>
        <v>#REF!</v>
      </c>
      <c r="KN121" s="36" t="e">
        <f t="shared" si="434"/>
        <v>#REF!</v>
      </c>
      <c r="KO121" s="36" t="e">
        <f t="shared" si="434"/>
        <v>#REF!</v>
      </c>
      <c r="KP121" s="36" t="e">
        <f t="shared" si="434"/>
        <v>#REF!</v>
      </c>
      <c r="KQ121" s="36" t="e">
        <f t="shared" si="434"/>
        <v>#REF!</v>
      </c>
      <c r="KR121" s="36" t="e">
        <f t="shared" si="434"/>
        <v>#REF!</v>
      </c>
      <c r="KS121" s="36" t="e">
        <f t="shared" si="434"/>
        <v>#REF!</v>
      </c>
    </row>
    <row r="122" spans="2:305" s="6" customFormat="1" outlineLevel="1">
      <c r="B122" t="s">
        <v>44</v>
      </c>
      <c r="C122"/>
      <c r="D122"/>
      <c r="E122" s="6" t="e">
        <f>-D121*(Inputs!#REF!+IF(E$2&gt;=Inputs!#REF!,Inputs!#REF!,0))/12</f>
        <v>#REF!</v>
      </c>
      <c r="F122" s="6" t="e">
        <f>-E121*(Inputs!#REF!+IF(F$2&gt;=Inputs!#REF!,Inputs!#REF!,0))/12</f>
        <v>#REF!</v>
      </c>
      <c r="G122" s="6" t="e">
        <f>-F121*(Inputs!#REF!+IF(G$2&gt;=Inputs!#REF!,Inputs!#REF!,0))/12</f>
        <v>#REF!</v>
      </c>
      <c r="H122" s="6" t="e">
        <f>-G121*(Inputs!#REF!+IF(H$2&gt;=Inputs!#REF!,Inputs!#REF!,0))/12</f>
        <v>#REF!</v>
      </c>
      <c r="I122" s="6" t="e">
        <f>-H121*(Inputs!#REF!+IF(I$2&gt;=Inputs!#REF!,Inputs!#REF!,0))/12</f>
        <v>#REF!</v>
      </c>
      <c r="J122" s="6" t="e">
        <f>-I121*(Inputs!#REF!+IF(J$2&gt;=Inputs!#REF!,Inputs!#REF!,0))/12</f>
        <v>#REF!</v>
      </c>
      <c r="K122" s="6" t="e">
        <f>-J121*(Inputs!#REF!+IF(K$2&gt;=Inputs!#REF!,Inputs!#REF!,0))/12</f>
        <v>#REF!</v>
      </c>
      <c r="L122" s="6" t="e">
        <f>-K121*(Inputs!#REF!+IF(L$2&gt;=Inputs!#REF!,Inputs!#REF!,0))/12</f>
        <v>#REF!</v>
      </c>
      <c r="M122" s="6" t="e">
        <f>-L121*(Inputs!#REF!+IF(M$2&gt;=Inputs!#REF!,Inputs!#REF!,0))/12</f>
        <v>#REF!</v>
      </c>
      <c r="N122" s="6" t="e">
        <f>-M121*(Inputs!#REF!+IF(N$2&gt;=Inputs!#REF!,Inputs!#REF!,0))/12</f>
        <v>#REF!</v>
      </c>
      <c r="O122" s="6" t="e">
        <f>-N121*(Inputs!#REF!+IF(O$2&gt;=Inputs!#REF!,Inputs!#REF!,0))/12</f>
        <v>#REF!</v>
      </c>
      <c r="P122" s="6" t="e">
        <f>-O121*(Inputs!#REF!+IF(P$2&gt;=Inputs!#REF!,Inputs!#REF!,0))/12</f>
        <v>#REF!</v>
      </c>
      <c r="Q122" s="6" t="e">
        <f>-P121*(Inputs!#REF!+IF(Q$2&gt;=Inputs!#REF!,Inputs!#REF!,0))/12</f>
        <v>#REF!</v>
      </c>
      <c r="R122" s="6" t="e">
        <f>-Q121*(Inputs!#REF!+IF(R$2&gt;=Inputs!#REF!,Inputs!#REF!,0))/12</f>
        <v>#REF!</v>
      </c>
      <c r="S122" s="6" t="e">
        <f>-R121*(Inputs!#REF!+IF(S$2&gt;=Inputs!#REF!,Inputs!#REF!,0))/12</f>
        <v>#REF!</v>
      </c>
      <c r="T122" s="6" t="e">
        <f>-S121*(Inputs!#REF!+IF(T$2&gt;=Inputs!#REF!,Inputs!#REF!,0))/12</f>
        <v>#REF!</v>
      </c>
      <c r="U122" s="6" t="e">
        <f>-T121*(Inputs!#REF!+IF(U$2&gt;=Inputs!#REF!,Inputs!#REF!,0))/12</f>
        <v>#REF!</v>
      </c>
      <c r="V122" s="6" t="e">
        <f>-U121*(Inputs!#REF!+IF(V$2&gt;=Inputs!#REF!,Inputs!#REF!,0))/12</f>
        <v>#REF!</v>
      </c>
      <c r="W122" s="6" t="e">
        <f>-V121*(Inputs!#REF!+IF(W$2&gt;=Inputs!#REF!,Inputs!#REF!,0))/12</f>
        <v>#REF!</v>
      </c>
      <c r="X122" s="6" t="e">
        <f>-W121*(Inputs!#REF!+IF(X$2&gt;=Inputs!#REF!,Inputs!#REF!,0))/12</f>
        <v>#REF!</v>
      </c>
      <c r="Y122" s="6" t="e">
        <f>-X121*(Inputs!#REF!+IF(Y$2&gt;=Inputs!#REF!,Inputs!#REF!,0))/12</f>
        <v>#REF!</v>
      </c>
      <c r="Z122" s="6" t="e">
        <f>-Y121*(Inputs!#REF!+IF(Z$2&gt;=Inputs!#REF!,Inputs!#REF!,0))/12</f>
        <v>#REF!</v>
      </c>
      <c r="AA122" s="6" t="e">
        <f>-Z121*(Inputs!#REF!+IF(AA$2&gt;=Inputs!#REF!,Inputs!#REF!,0))/12</f>
        <v>#REF!</v>
      </c>
      <c r="AB122" s="6" t="e">
        <f>-AA121*(Inputs!#REF!+IF(AB$2&gt;=Inputs!#REF!,Inputs!#REF!,0))/12</f>
        <v>#REF!</v>
      </c>
      <c r="AC122" s="6" t="e">
        <f>-AB121*(Inputs!#REF!+IF(AC$2&gt;=Inputs!#REF!,Inputs!#REF!,0))/12</f>
        <v>#REF!</v>
      </c>
      <c r="AD122" s="6" t="e">
        <f>-AC121*(Inputs!#REF!+IF(AD$2&gt;=Inputs!#REF!,Inputs!#REF!,0))/12</f>
        <v>#REF!</v>
      </c>
      <c r="AE122" s="6" t="e">
        <f>-AD121*(Inputs!#REF!+IF(AE$2&gt;=Inputs!#REF!,Inputs!#REF!,0))/12</f>
        <v>#REF!</v>
      </c>
      <c r="AF122" s="6" t="e">
        <f>-AE121*(Inputs!#REF!+IF(AF$2&gt;=Inputs!#REF!,Inputs!#REF!,0))/12</f>
        <v>#REF!</v>
      </c>
      <c r="AG122" s="6" t="e">
        <f>-AF121*(Inputs!#REF!+IF(AG$2&gt;=Inputs!#REF!,Inputs!#REF!,0))/12</f>
        <v>#REF!</v>
      </c>
      <c r="AH122" s="6" t="e">
        <f>-AG121*(Inputs!#REF!+IF(AH$2&gt;=Inputs!#REF!,Inputs!#REF!,0))/12</f>
        <v>#REF!</v>
      </c>
      <c r="AI122" s="6" t="e">
        <f>-AH121*(Inputs!#REF!+IF(AI$2&gt;=Inputs!#REF!,Inputs!#REF!,0))/12</f>
        <v>#REF!</v>
      </c>
      <c r="AJ122" s="6" t="e">
        <f>-AI121*(Inputs!#REF!+IF(AJ$2&gt;=Inputs!#REF!,Inputs!#REF!,0))/12</f>
        <v>#REF!</v>
      </c>
      <c r="AK122" s="6" t="e">
        <f>-AJ121*(Inputs!#REF!+IF(AK$2&gt;=Inputs!#REF!,Inputs!#REF!,0))/12</f>
        <v>#REF!</v>
      </c>
      <c r="AL122" s="6" t="e">
        <f>-AK121*(Inputs!#REF!+IF(AL$2&gt;=Inputs!#REF!,Inputs!#REF!,0))/12</f>
        <v>#REF!</v>
      </c>
      <c r="AM122" s="6" t="e">
        <f>-AL121*(Inputs!#REF!+IF(AM$2&gt;=Inputs!#REF!,Inputs!#REF!,0))/12</f>
        <v>#REF!</v>
      </c>
      <c r="AN122" s="6" t="e">
        <f>-AM121*(Inputs!#REF!+IF(AN$2&gt;=Inputs!#REF!,Inputs!#REF!,0))/12</f>
        <v>#REF!</v>
      </c>
      <c r="AO122" s="6" t="e">
        <f>-AN121*(Inputs!#REF!+IF(AO$2&gt;=Inputs!#REF!,Inputs!#REF!,0))/12</f>
        <v>#REF!</v>
      </c>
      <c r="AP122" s="6" t="e">
        <f>-AO121*(Inputs!#REF!+IF(AP$2&gt;=Inputs!#REF!,Inputs!#REF!,0))/12</f>
        <v>#REF!</v>
      </c>
      <c r="AQ122" s="6" t="e">
        <f>-AP121*(Inputs!#REF!+IF(AQ$2&gt;=Inputs!#REF!,Inputs!#REF!,0))/12</f>
        <v>#REF!</v>
      </c>
      <c r="AR122" s="6" t="e">
        <f>-AQ121*(Inputs!#REF!+IF(AR$2&gt;=Inputs!#REF!,Inputs!#REF!,0))/12</f>
        <v>#REF!</v>
      </c>
      <c r="AS122" s="6" t="e">
        <f>-AR121*(Inputs!#REF!+IF(AS$2&gt;=Inputs!#REF!,Inputs!#REF!,0))/12</f>
        <v>#REF!</v>
      </c>
      <c r="AT122" s="6" t="e">
        <f>-AS121*(Inputs!#REF!+IF(AT$2&gt;=Inputs!#REF!,Inputs!#REF!,0))/12</f>
        <v>#REF!</v>
      </c>
      <c r="AU122" s="6" t="e">
        <f>-AT121*(Inputs!#REF!+IF(AU$2&gt;=Inputs!#REF!,Inputs!#REF!,0))/12</f>
        <v>#REF!</v>
      </c>
      <c r="AV122" s="6" t="e">
        <f>-AU121*(Inputs!#REF!+IF(AV$2&gt;=Inputs!#REF!,Inputs!#REF!,0))/12</f>
        <v>#REF!</v>
      </c>
      <c r="AW122" s="6" t="e">
        <f>-AV121*(Inputs!#REF!+IF(AW$2&gt;=Inputs!#REF!,Inputs!#REF!,0))/12</f>
        <v>#REF!</v>
      </c>
      <c r="AX122" s="6" t="e">
        <f>-AW121*(Inputs!#REF!+IF(AX$2&gt;=Inputs!#REF!,Inputs!#REF!,0))/12</f>
        <v>#REF!</v>
      </c>
      <c r="AY122" s="6" t="e">
        <f>-AX121*(Inputs!#REF!+IF(AY$2&gt;=Inputs!#REF!,Inputs!#REF!,0))/12</f>
        <v>#REF!</v>
      </c>
      <c r="AZ122" s="6" t="e">
        <f>-AY121*(Inputs!#REF!+IF(AZ$2&gt;=Inputs!#REF!,Inputs!#REF!,0))/12</f>
        <v>#REF!</v>
      </c>
      <c r="BA122" s="6" t="e">
        <f>-AZ121*(Inputs!#REF!+IF(BA$2&gt;=Inputs!#REF!,Inputs!#REF!,0))/12</f>
        <v>#REF!</v>
      </c>
      <c r="BB122" s="6" t="e">
        <f>-BA121*(Inputs!#REF!+IF(BB$2&gt;=Inputs!#REF!,Inputs!#REF!,0))/12</f>
        <v>#REF!</v>
      </c>
      <c r="BC122" s="6" t="e">
        <f>-BB121*(Inputs!#REF!+IF(BC$2&gt;=Inputs!#REF!,Inputs!#REF!,0))/12</f>
        <v>#REF!</v>
      </c>
      <c r="BD122" s="6" t="e">
        <f>-BC121*(Inputs!#REF!+IF(BD$2&gt;=Inputs!#REF!,Inputs!#REF!,0))/12</f>
        <v>#REF!</v>
      </c>
      <c r="BE122" s="6" t="e">
        <f>-BD121*(Inputs!#REF!+IF(BE$2&gt;=Inputs!#REF!,Inputs!#REF!,0))/12</f>
        <v>#REF!</v>
      </c>
      <c r="BF122" s="6" t="e">
        <f>-BE121*(Inputs!#REF!+IF(BF$2&gt;=Inputs!#REF!,Inputs!#REF!,0))/12</f>
        <v>#REF!</v>
      </c>
      <c r="BG122" s="6" t="e">
        <f>-BF121*(Inputs!#REF!+IF(BG$2&gt;=Inputs!#REF!,Inputs!#REF!,0))/12</f>
        <v>#REF!</v>
      </c>
      <c r="BH122" s="6" t="e">
        <f>-BG121*(Inputs!#REF!+IF(BH$2&gt;=Inputs!#REF!,Inputs!#REF!,0))/12</f>
        <v>#REF!</v>
      </c>
      <c r="BI122" s="6" t="e">
        <f>-BH121*(Inputs!#REF!+IF(BI$2&gt;=Inputs!#REF!,Inputs!#REF!,0))/12</f>
        <v>#REF!</v>
      </c>
      <c r="BJ122" s="6" t="e">
        <f>-BI121*(Inputs!#REF!+IF(BJ$2&gt;=Inputs!#REF!,Inputs!#REF!,0))/12</f>
        <v>#REF!</v>
      </c>
      <c r="BK122" s="6" t="e">
        <f>-BJ121*(Inputs!#REF!+IF(BK$2&gt;=Inputs!#REF!,Inputs!#REF!,0))/12</f>
        <v>#REF!</v>
      </c>
      <c r="BL122" s="6" t="e">
        <f>-BK121*(Inputs!#REF!+IF(BL$2&gt;=Inputs!#REF!,Inputs!#REF!,0))/12</f>
        <v>#REF!</v>
      </c>
      <c r="BM122" s="6" t="e">
        <f>-BL121*(Inputs!#REF!+IF(BM$2&gt;=Inputs!#REF!,Inputs!#REF!,0))/12</f>
        <v>#REF!</v>
      </c>
      <c r="BN122" s="6" t="e">
        <f>-BM121*(Inputs!#REF!+IF(BN$2&gt;=Inputs!#REF!,Inputs!#REF!,0))/12</f>
        <v>#REF!</v>
      </c>
      <c r="BO122" s="6" t="e">
        <f>-BN121*(Inputs!#REF!+IF(BO$2&gt;=Inputs!#REF!,Inputs!#REF!,0))/12</f>
        <v>#REF!</v>
      </c>
      <c r="BP122" s="6" t="e">
        <f>-BO121*(Inputs!#REF!+IF(BP$2&gt;=Inputs!#REF!,Inputs!#REF!,0))/12</f>
        <v>#REF!</v>
      </c>
      <c r="BQ122" s="6" t="e">
        <f>-BP121*(Inputs!#REF!+IF(BQ$2&gt;=Inputs!#REF!,Inputs!#REF!,0))/12</f>
        <v>#REF!</v>
      </c>
      <c r="BR122" s="6" t="e">
        <f>-BQ121*(Inputs!#REF!+IF(BR$2&gt;=Inputs!#REF!,Inputs!#REF!,0))/12</f>
        <v>#REF!</v>
      </c>
      <c r="BS122" s="6" t="e">
        <f>-BR121*(Inputs!#REF!+IF(BS$2&gt;=Inputs!#REF!,Inputs!#REF!,0))/12</f>
        <v>#REF!</v>
      </c>
      <c r="BT122" s="6" t="e">
        <f>-BS121*(Inputs!#REF!+IF(BT$2&gt;=Inputs!#REF!,Inputs!#REF!,0))/12</f>
        <v>#REF!</v>
      </c>
      <c r="BU122" s="6" t="e">
        <f>-BT121*(Inputs!#REF!+IF(BU$2&gt;=Inputs!#REF!,Inputs!#REF!,0))/12</f>
        <v>#REF!</v>
      </c>
      <c r="BV122" s="6" t="e">
        <f>-BU121*(Inputs!#REF!+IF(BV$2&gt;=Inputs!#REF!,Inputs!#REF!,0))/12</f>
        <v>#REF!</v>
      </c>
      <c r="BW122" s="6" t="e">
        <f>-BV121*(Inputs!#REF!+IF(BW$2&gt;=Inputs!#REF!,Inputs!#REF!,0))/12</f>
        <v>#REF!</v>
      </c>
      <c r="BX122" s="6" t="e">
        <f>-BW121*(Inputs!#REF!+IF(BX$2&gt;=Inputs!#REF!,Inputs!#REF!,0))/12</f>
        <v>#REF!</v>
      </c>
      <c r="BY122" s="6" t="e">
        <f>-BX121*(Inputs!#REF!+IF(BY$2&gt;=Inputs!#REF!,Inputs!#REF!,0))/12</f>
        <v>#REF!</v>
      </c>
      <c r="BZ122" s="6" t="e">
        <f>-BY121*(Inputs!#REF!+IF(BZ$2&gt;=Inputs!#REF!,Inputs!#REF!,0))/12</f>
        <v>#REF!</v>
      </c>
      <c r="CA122" s="6" t="e">
        <f>-BZ121*(Inputs!#REF!+IF(CA$2&gt;=Inputs!#REF!,Inputs!#REF!,0))/12</f>
        <v>#REF!</v>
      </c>
      <c r="CB122" s="6" t="e">
        <f>-CA121*(Inputs!#REF!+IF(CB$2&gt;=Inputs!#REF!,Inputs!#REF!,0))/12</f>
        <v>#REF!</v>
      </c>
      <c r="CC122" s="6" t="e">
        <f>-CB121*(Inputs!#REF!+IF(CC$2&gt;=Inputs!#REF!,Inputs!#REF!,0))/12</f>
        <v>#REF!</v>
      </c>
      <c r="CD122" s="6" t="e">
        <f>-CC121*(Inputs!#REF!+IF(CD$2&gt;=Inputs!#REF!,Inputs!#REF!,0))/12</f>
        <v>#REF!</v>
      </c>
      <c r="CE122" s="6" t="e">
        <f>-CD121*(Inputs!#REF!+IF(CE$2&gt;=Inputs!#REF!,Inputs!#REF!,0))/12</f>
        <v>#REF!</v>
      </c>
      <c r="CF122" s="6" t="e">
        <f>-CE121*(Inputs!#REF!+IF(CF$2&gt;=Inputs!#REF!,Inputs!#REF!,0))/12</f>
        <v>#REF!</v>
      </c>
      <c r="CG122" s="6" t="e">
        <f>-CF121*(Inputs!#REF!+IF(CG$2&gt;=Inputs!#REF!,Inputs!#REF!,0))/12</f>
        <v>#REF!</v>
      </c>
      <c r="CH122" s="6" t="e">
        <f>-CG121*(Inputs!#REF!+IF(CH$2&gt;=Inputs!#REF!,Inputs!#REF!,0))/12</f>
        <v>#REF!</v>
      </c>
      <c r="CI122" s="6" t="e">
        <f>-CH121*(Inputs!#REF!+IF(CI$2&gt;=Inputs!#REF!,Inputs!#REF!,0))/12</f>
        <v>#REF!</v>
      </c>
      <c r="CJ122" s="6" t="e">
        <f>-CI121*(Inputs!#REF!+IF(CJ$2&gt;=Inputs!#REF!,Inputs!#REF!,0))/12</f>
        <v>#REF!</v>
      </c>
      <c r="CK122" s="6" t="e">
        <f>-CJ121*(Inputs!#REF!+IF(CK$2&gt;=Inputs!#REF!,Inputs!#REF!,0))/12</f>
        <v>#REF!</v>
      </c>
      <c r="CL122" s="6" t="e">
        <f>-CK121*(Inputs!#REF!+IF(CL$2&gt;=Inputs!#REF!,Inputs!#REF!,0))/12</f>
        <v>#REF!</v>
      </c>
      <c r="CM122" s="6" t="e">
        <f>-CL121*(Inputs!#REF!+IF(CM$2&gt;=Inputs!#REF!,Inputs!#REF!,0))/12</f>
        <v>#REF!</v>
      </c>
      <c r="CN122" s="6" t="e">
        <f>-CM121*(Inputs!#REF!+IF(CN$2&gt;=Inputs!#REF!,Inputs!#REF!,0))/12</f>
        <v>#REF!</v>
      </c>
      <c r="CO122" s="6" t="e">
        <f>-CN121*(Inputs!#REF!+IF(CO$2&gt;=Inputs!#REF!,Inputs!#REF!,0))/12</f>
        <v>#REF!</v>
      </c>
      <c r="CP122" s="6" t="e">
        <f>-CO121*(Inputs!#REF!+IF(CP$2&gt;=Inputs!#REF!,Inputs!#REF!,0))/12</f>
        <v>#REF!</v>
      </c>
      <c r="CQ122" s="6" t="e">
        <f>-CP121*(Inputs!#REF!+IF(CQ$2&gt;=Inputs!#REF!,Inputs!#REF!,0))/12</f>
        <v>#REF!</v>
      </c>
      <c r="CR122" s="6" t="e">
        <f>-CQ121*(Inputs!#REF!+IF(CR$2&gt;=Inputs!#REF!,Inputs!#REF!,0))/12</f>
        <v>#REF!</v>
      </c>
      <c r="CS122" s="6" t="e">
        <f>-CR121*(Inputs!#REF!+IF(CS$2&gt;=Inputs!#REF!,Inputs!#REF!,0))/12</f>
        <v>#REF!</v>
      </c>
      <c r="CT122" s="6" t="e">
        <f>-CS121*(Inputs!#REF!+IF(CT$2&gt;=Inputs!#REF!,Inputs!#REF!,0))/12</f>
        <v>#REF!</v>
      </c>
      <c r="CU122" s="6" t="e">
        <f>-CT121*(Inputs!#REF!+IF(CU$2&gt;=Inputs!#REF!,Inputs!#REF!,0))/12</f>
        <v>#REF!</v>
      </c>
      <c r="CV122" s="6" t="e">
        <f>-CU121*(Inputs!#REF!+IF(CV$2&gt;=Inputs!#REF!,Inputs!#REF!,0))/12</f>
        <v>#REF!</v>
      </c>
      <c r="CW122" s="6" t="e">
        <f>-CV121*(Inputs!#REF!+IF(CW$2&gt;=Inputs!#REF!,Inputs!#REF!,0))/12</f>
        <v>#REF!</v>
      </c>
      <c r="CX122" s="6" t="e">
        <f>-CW121*(Inputs!#REF!+IF(CX$2&gt;=Inputs!#REF!,Inputs!#REF!,0))/12</f>
        <v>#REF!</v>
      </c>
      <c r="CY122" s="6" t="e">
        <f>-CX121*(Inputs!#REF!+IF(CY$2&gt;=Inputs!#REF!,Inputs!#REF!,0))/12</f>
        <v>#REF!</v>
      </c>
      <c r="CZ122" s="6" t="e">
        <f>-CY121*(Inputs!#REF!+IF(CZ$2&gt;=Inputs!#REF!,Inputs!#REF!,0))/12</f>
        <v>#REF!</v>
      </c>
      <c r="DA122" s="6" t="e">
        <f>-CZ121*(Inputs!#REF!+IF(DA$2&gt;=Inputs!#REF!,Inputs!#REF!,0))/12</f>
        <v>#REF!</v>
      </c>
      <c r="DB122" s="6" t="e">
        <f>-DA121*(Inputs!#REF!+IF(DB$2&gt;=Inputs!#REF!,Inputs!#REF!,0))/12</f>
        <v>#REF!</v>
      </c>
      <c r="DC122" s="6" t="e">
        <f>-DB121*(Inputs!#REF!+IF(DC$2&gt;=Inputs!#REF!,Inputs!#REF!,0))/12</f>
        <v>#REF!</v>
      </c>
      <c r="DD122" s="6" t="e">
        <f>-DC121*(Inputs!#REF!+IF(DD$2&gt;=Inputs!#REF!,Inputs!#REF!,0))/12</f>
        <v>#REF!</v>
      </c>
      <c r="DE122" s="6" t="e">
        <f>-DD121*(Inputs!#REF!+IF(DE$2&gt;=Inputs!#REF!,Inputs!#REF!,0))/12</f>
        <v>#REF!</v>
      </c>
      <c r="DF122" s="6" t="e">
        <f>-DE121*(Inputs!#REF!+IF(DF$2&gt;=Inputs!#REF!,Inputs!#REF!,0))/12</f>
        <v>#REF!</v>
      </c>
      <c r="DG122" s="6" t="e">
        <f>-DF121*(Inputs!#REF!+IF(DG$2&gt;=Inputs!#REF!,Inputs!#REF!,0))/12</f>
        <v>#REF!</v>
      </c>
      <c r="DH122" s="6" t="e">
        <f>-DG121*(Inputs!#REF!+IF(DH$2&gt;=Inputs!#REF!,Inputs!#REF!,0))/12</f>
        <v>#REF!</v>
      </c>
      <c r="DI122" s="6" t="e">
        <f>-DH121*(Inputs!#REF!+IF(DI$2&gt;=Inputs!#REF!,Inputs!#REF!,0))/12</f>
        <v>#REF!</v>
      </c>
      <c r="DJ122" s="6" t="e">
        <f>-DI121*(Inputs!#REF!+IF(DJ$2&gt;=Inputs!#REF!,Inputs!#REF!,0))/12</f>
        <v>#REF!</v>
      </c>
      <c r="DK122" s="6" t="e">
        <f>-DJ121*(Inputs!#REF!+IF(DK$2&gt;=Inputs!#REF!,Inputs!#REF!,0))/12</f>
        <v>#REF!</v>
      </c>
      <c r="DL122" s="6" t="e">
        <f>-DK121*(Inputs!#REF!+IF(DL$2&gt;=Inputs!#REF!,Inputs!#REF!,0))/12</f>
        <v>#REF!</v>
      </c>
      <c r="DM122" s="6" t="e">
        <f>-DL121*(Inputs!#REF!+IF(DM$2&gt;=Inputs!#REF!,Inputs!#REF!,0))/12</f>
        <v>#REF!</v>
      </c>
      <c r="DN122" s="6" t="e">
        <f>-DM121*(Inputs!#REF!+IF(DN$2&gt;=Inputs!#REF!,Inputs!#REF!,0))/12</f>
        <v>#REF!</v>
      </c>
      <c r="DO122" s="6" t="e">
        <f>-DN121*(Inputs!#REF!+IF(DO$2&gt;=Inputs!#REF!,Inputs!#REF!,0))/12</f>
        <v>#REF!</v>
      </c>
      <c r="DP122" s="6" t="e">
        <f>-DO121*(Inputs!#REF!+IF(DP$2&gt;=Inputs!#REF!,Inputs!#REF!,0))/12</f>
        <v>#REF!</v>
      </c>
      <c r="DQ122" s="6" t="e">
        <f>-DP121*(Inputs!#REF!+IF(DQ$2&gt;=Inputs!#REF!,Inputs!#REF!,0))/12</f>
        <v>#REF!</v>
      </c>
      <c r="DR122" s="6" t="e">
        <f>-DQ121*(Inputs!#REF!+IF(DR$2&gt;=Inputs!#REF!,Inputs!#REF!,0))/12</f>
        <v>#REF!</v>
      </c>
      <c r="DS122" s="6" t="e">
        <f>-DR121*(Inputs!#REF!+IF(DS$2&gt;=Inputs!#REF!,Inputs!#REF!,0))/12</f>
        <v>#REF!</v>
      </c>
      <c r="DT122" s="6" t="e">
        <f>-DS121*(Inputs!#REF!+IF(DT$2&gt;=Inputs!#REF!,Inputs!#REF!,0))/12</f>
        <v>#REF!</v>
      </c>
      <c r="DU122" s="6" t="e">
        <f>-DT121*(Inputs!#REF!+IF(DU$2&gt;=Inputs!#REF!,Inputs!#REF!,0))/12</f>
        <v>#REF!</v>
      </c>
      <c r="DV122" s="6" t="e">
        <f>-DU121*(Inputs!#REF!+IF(DV$2&gt;=Inputs!#REF!,Inputs!#REF!,0))/12</f>
        <v>#REF!</v>
      </c>
      <c r="DW122" s="6" t="e">
        <f>-DV121*(Inputs!#REF!+IF(DW$2&gt;=Inputs!#REF!,Inputs!#REF!,0))/12</f>
        <v>#REF!</v>
      </c>
      <c r="DX122" s="6" t="e">
        <f>-DW121*(Inputs!#REF!+IF(DX$2&gt;=Inputs!#REF!,Inputs!#REF!,0))/12</f>
        <v>#REF!</v>
      </c>
      <c r="DY122" s="6" t="e">
        <f>-DX121*(Inputs!#REF!+IF(DY$2&gt;=Inputs!#REF!,Inputs!#REF!,0))/12</f>
        <v>#REF!</v>
      </c>
      <c r="DZ122" s="6" t="e">
        <f>-DY121*(Inputs!#REF!+IF(DZ$2&gt;=Inputs!#REF!,Inputs!#REF!,0))/12</f>
        <v>#REF!</v>
      </c>
      <c r="EA122" s="6" t="e">
        <f>-DZ121*(Inputs!#REF!+IF(EA$2&gt;=Inputs!#REF!,Inputs!#REF!,0))/12</f>
        <v>#REF!</v>
      </c>
      <c r="EB122" s="6" t="e">
        <f>-EA121*(Inputs!#REF!+IF(EB$2&gt;=Inputs!#REF!,Inputs!#REF!,0))/12</f>
        <v>#REF!</v>
      </c>
      <c r="EC122" s="6" t="e">
        <f>-EB121*(Inputs!#REF!+IF(EC$2&gt;=Inputs!#REF!,Inputs!#REF!,0))/12</f>
        <v>#REF!</v>
      </c>
      <c r="ED122" s="6" t="e">
        <f>-EC121*(Inputs!#REF!+IF(ED$2&gt;=Inputs!#REF!,Inputs!#REF!,0))/12</f>
        <v>#REF!</v>
      </c>
      <c r="EE122" s="6" t="e">
        <f>-ED121*(Inputs!#REF!+IF(EE$2&gt;=Inputs!#REF!,Inputs!#REF!,0))/12</f>
        <v>#REF!</v>
      </c>
      <c r="EF122" s="6" t="e">
        <f>-EE121*(Inputs!#REF!+IF(EF$2&gt;=Inputs!#REF!,Inputs!#REF!,0))/12</f>
        <v>#REF!</v>
      </c>
      <c r="EG122" s="6" t="e">
        <f>-EF121*(Inputs!#REF!+IF(EG$2&gt;=Inputs!#REF!,Inputs!#REF!,0))/12</f>
        <v>#REF!</v>
      </c>
      <c r="EH122" s="6" t="e">
        <f>-EG121*(Inputs!#REF!+IF(EH$2&gt;=Inputs!#REF!,Inputs!#REF!,0))/12</f>
        <v>#REF!</v>
      </c>
      <c r="EI122" s="6" t="e">
        <f>-EH121*(Inputs!#REF!+IF(EI$2&gt;=Inputs!#REF!,Inputs!#REF!,0))/12</f>
        <v>#REF!</v>
      </c>
      <c r="EJ122" s="6" t="e">
        <f>-EI121*(Inputs!#REF!+IF(EJ$2&gt;=Inputs!#REF!,Inputs!#REF!,0))/12</f>
        <v>#REF!</v>
      </c>
      <c r="EK122" s="6" t="e">
        <f>-EJ121*(Inputs!#REF!+IF(EK$2&gt;=Inputs!#REF!,Inputs!#REF!,0))/12</f>
        <v>#REF!</v>
      </c>
      <c r="EL122" s="6" t="e">
        <f>-EK121*(Inputs!#REF!+IF(EL$2&gt;=Inputs!#REF!,Inputs!#REF!,0))/12</f>
        <v>#REF!</v>
      </c>
      <c r="EM122" s="6" t="e">
        <f>-EL121*(Inputs!#REF!+IF(EM$2&gt;=Inputs!#REF!,Inputs!#REF!,0))/12</f>
        <v>#REF!</v>
      </c>
      <c r="EN122" s="6" t="e">
        <f>-EM121*(Inputs!#REF!+IF(EN$2&gt;=Inputs!#REF!,Inputs!#REF!,0))/12</f>
        <v>#REF!</v>
      </c>
      <c r="EO122" s="6" t="e">
        <f>-EN121*(Inputs!#REF!+IF(EO$2&gt;=Inputs!#REF!,Inputs!#REF!,0))/12</f>
        <v>#REF!</v>
      </c>
      <c r="EP122" s="6" t="e">
        <f>-EO121*(Inputs!#REF!+IF(EP$2&gt;=Inputs!#REF!,Inputs!#REF!,0))/12</f>
        <v>#REF!</v>
      </c>
      <c r="EQ122" s="6" t="e">
        <f>-EP121*(Inputs!#REF!+IF(EQ$2&gt;=Inputs!#REF!,Inputs!#REF!,0))/12</f>
        <v>#REF!</v>
      </c>
      <c r="ER122" s="6" t="e">
        <f>-EQ121*(Inputs!#REF!+IF(ER$2&gt;=Inputs!#REF!,Inputs!#REF!,0))/12</f>
        <v>#REF!</v>
      </c>
      <c r="ES122" s="6" t="e">
        <f>-ER121*(Inputs!#REF!+IF(ES$2&gt;=Inputs!#REF!,Inputs!#REF!,0))/12</f>
        <v>#REF!</v>
      </c>
      <c r="ET122" s="6" t="e">
        <f>-ES121*(Inputs!#REF!+IF(ET$2&gt;=Inputs!#REF!,Inputs!#REF!,0))/12</f>
        <v>#REF!</v>
      </c>
      <c r="EU122" s="6" t="e">
        <f>-ET121*(Inputs!#REF!+IF(EU$2&gt;=Inputs!#REF!,Inputs!#REF!,0))/12</f>
        <v>#REF!</v>
      </c>
      <c r="EV122" s="6" t="e">
        <f>-EU121*(Inputs!#REF!+IF(EV$2&gt;=Inputs!#REF!,Inputs!#REF!,0))/12</f>
        <v>#REF!</v>
      </c>
      <c r="EW122" s="6" t="e">
        <f>-EV121*(Inputs!#REF!+IF(EW$2&gt;=Inputs!#REF!,Inputs!#REF!,0))/12</f>
        <v>#REF!</v>
      </c>
      <c r="EX122" s="6" t="e">
        <f>-EW121*(Inputs!#REF!+IF(EX$2&gt;=Inputs!#REF!,Inputs!#REF!,0))/12</f>
        <v>#REF!</v>
      </c>
      <c r="EY122" s="6" t="e">
        <f>-EX121*(Inputs!#REF!+IF(EY$2&gt;=Inputs!#REF!,Inputs!#REF!,0))/12</f>
        <v>#REF!</v>
      </c>
      <c r="EZ122" s="6" t="e">
        <f>-EY121*(Inputs!#REF!+IF(EZ$2&gt;=Inputs!#REF!,Inputs!#REF!,0))/12</f>
        <v>#REF!</v>
      </c>
      <c r="FA122" s="6" t="e">
        <f>-EZ121*(Inputs!#REF!+IF(FA$2&gt;=Inputs!#REF!,Inputs!#REF!,0))/12</f>
        <v>#REF!</v>
      </c>
      <c r="FB122" s="6" t="e">
        <f>-FA121*(Inputs!#REF!+IF(FB$2&gt;=Inputs!#REF!,Inputs!#REF!,0))/12</f>
        <v>#REF!</v>
      </c>
      <c r="FC122" s="6" t="e">
        <f>-FB121*(Inputs!#REF!+IF(FC$2&gt;=Inputs!#REF!,Inputs!#REF!,0))/12</f>
        <v>#REF!</v>
      </c>
      <c r="FD122" s="6" t="e">
        <f>-FC121*(Inputs!#REF!+IF(FD$2&gt;=Inputs!#REF!,Inputs!#REF!,0))/12</f>
        <v>#REF!</v>
      </c>
      <c r="FE122" s="6" t="e">
        <f>-FD121*(Inputs!#REF!+IF(FE$2&gt;=Inputs!#REF!,Inputs!#REF!,0))/12</f>
        <v>#REF!</v>
      </c>
      <c r="FF122" s="6" t="e">
        <f>-FE121*(Inputs!#REF!+IF(FF$2&gt;=Inputs!#REF!,Inputs!#REF!,0))/12</f>
        <v>#REF!</v>
      </c>
      <c r="FG122" s="6" t="e">
        <f>-FF121*(Inputs!#REF!+IF(FG$2&gt;=Inputs!#REF!,Inputs!#REF!,0))/12</f>
        <v>#REF!</v>
      </c>
      <c r="FH122" s="6" t="e">
        <f>-FG121*(Inputs!#REF!+IF(FH$2&gt;=Inputs!#REF!,Inputs!#REF!,0))/12</f>
        <v>#REF!</v>
      </c>
      <c r="FI122" s="6" t="e">
        <f>-FH121*(Inputs!#REF!+IF(FI$2&gt;=Inputs!#REF!,Inputs!#REF!,0))/12</f>
        <v>#REF!</v>
      </c>
      <c r="FJ122" s="6" t="e">
        <f>-FI121*(Inputs!#REF!+IF(FJ$2&gt;=Inputs!#REF!,Inputs!#REF!,0))/12</f>
        <v>#REF!</v>
      </c>
      <c r="FK122" s="6" t="e">
        <f>-FJ121*(Inputs!#REF!+IF(FK$2&gt;=Inputs!#REF!,Inputs!#REF!,0))/12</f>
        <v>#REF!</v>
      </c>
      <c r="FL122" s="6" t="e">
        <f>-FK121*(Inputs!#REF!+IF(FL$2&gt;=Inputs!#REF!,Inputs!#REF!,0))/12</f>
        <v>#REF!</v>
      </c>
      <c r="FM122" s="6" t="e">
        <f>-FL121*(Inputs!#REF!+IF(FM$2&gt;=Inputs!#REF!,Inputs!#REF!,0))/12</f>
        <v>#REF!</v>
      </c>
      <c r="FN122" s="6" t="e">
        <f>-FM121*(Inputs!#REF!+IF(FN$2&gt;=Inputs!#REF!,Inputs!#REF!,0))/12</f>
        <v>#REF!</v>
      </c>
      <c r="FO122" s="6" t="e">
        <f>-FN121*(Inputs!#REF!+IF(FO$2&gt;=Inputs!#REF!,Inputs!#REF!,0))/12</f>
        <v>#REF!</v>
      </c>
      <c r="FP122" s="6" t="e">
        <f>-FO121*(Inputs!#REF!+IF(FP$2&gt;=Inputs!#REF!,Inputs!#REF!,0))/12</f>
        <v>#REF!</v>
      </c>
      <c r="FQ122" s="6" t="e">
        <f>-FP121*(Inputs!#REF!+IF(FQ$2&gt;=Inputs!#REF!,Inputs!#REF!,0))/12</f>
        <v>#REF!</v>
      </c>
      <c r="FR122" s="6" t="e">
        <f>-FQ121*(Inputs!#REF!+IF(FR$2&gt;=Inputs!#REF!,Inputs!#REF!,0))/12</f>
        <v>#REF!</v>
      </c>
      <c r="FS122" s="6" t="e">
        <f>-FR121*(Inputs!#REF!+IF(FS$2&gt;=Inputs!#REF!,Inputs!#REF!,0))/12</f>
        <v>#REF!</v>
      </c>
      <c r="FT122" s="6" t="e">
        <f>-FS121*(Inputs!#REF!+IF(FT$2&gt;=Inputs!#REF!,Inputs!#REF!,0))/12</f>
        <v>#REF!</v>
      </c>
      <c r="FU122" s="6" t="e">
        <f>-FT121*(Inputs!#REF!+IF(FU$2&gt;=Inputs!#REF!,Inputs!#REF!,0))/12</f>
        <v>#REF!</v>
      </c>
      <c r="FV122" s="6" t="e">
        <f>-FU121*(Inputs!#REF!+IF(FV$2&gt;=Inputs!#REF!,Inputs!#REF!,0))/12</f>
        <v>#REF!</v>
      </c>
      <c r="FW122" s="6" t="e">
        <f>-FV121*(Inputs!#REF!+IF(FW$2&gt;=Inputs!#REF!,Inputs!#REF!,0))/12</f>
        <v>#REF!</v>
      </c>
      <c r="FX122" s="6" t="e">
        <f>-FW121*(Inputs!#REF!+IF(FX$2&gt;=Inputs!#REF!,Inputs!#REF!,0))/12</f>
        <v>#REF!</v>
      </c>
      <c r="FY122" s="6" t="e">
        <f>-FX121*(Inputs!#REF!+IF(FY$2&gt;=Inputs!#REF!,Inputs!#REF!,0))/12</f>
        <v>#REF!</v>
      </c>
      <c r="FZ122" s="6" t="e">
        <f>-FY121*(Inputs!#REF!+IF(FZ$2&gt;=Inputs!#REF!,Inputs!#REF!,0))/12</f>
        <v>#REF!</v>
      </c>
      <c r="GA122" s="6" t="e">
        <f>-FZ121*(Inputs!#REF!+IF(GA$2&gt;=Inputs!#REF!,Inputs!#REF!,0))/12</f>
        <v>#REF!</v>
      </c>
      <c r="GB122" s="6" t="e">
        <f>-GA121*(Inputs!#REF!+IF(GB$2&gt;=Inputs!#REF!,Inputs!#REF!,0))/12</f>
        <v>#REF!</v>
      </c>
      <c r="GC122" s="6" t="e">
        <f>-GB121*(Inputs!#REF!+IF(GC$2&gt;=Inputs!#REF!,Inputs!#REF!,0))/12</f>
        <v>#REF!</v>
      </c>
      <c r="GD122" s="6" t="e">
        <f>-GC121*(Inputs!#REF!+IF(GD$2&gt;=Inputs!#REF!,Inputs!#REF!,0))/12</f>
        <v>#REF!</v>
      </c>
      <c r="GE122" s="6" t="e">
        <f>-GD121*(Inputs!#REF!+IF(GE$2&gt;=Inputs!#REF!,Inputs!#REF!,0))/12</f>
        <v>#REF!</v>
      </c>
      <c r="GF122" s="6" t="e">
        <f>-GE121*(Inputs!#REF!+IF(GF$2&gt;=Inputs!#REF!,Inputs!#REF!,0))/12</f>
        <v>#REF!</v>
      </c>
      <c r="GG122" s="6" t="e">
        <f>-GF121*(Inputs!#REF!+IF(GG$2&gt;=Inputs!#REF!,Inputs!#REF!,0))/12</f>
        <v>#REF!</v>
      </c>
      <c r="GH122" s="6" t="e">
        <f>-GG121*(Inputs!#REF!+IF(GH$2&gt;=Inputs!#REF!,Inputs!#REF!,0))/12</f>
        <v>#REF!</v>
      </c>
      <c r="GI122" s="6" t="e">
        <f>-GH121*(Inputs!#REF!+IF(GI$2&gt;=Inputs!#REF!,Inputs!#REF!,0))/12</f>
        <v>#REF!</v>
      </c>
      <c r="GJ122" s="6" t="e">
        <f>-GI121*(Inputs!#REF!+IF(GJ$2&gt;=Inputs!#REF!,Inputs!#REF!,0))/12</f>
        <v>#REF!</v>
      </c>
      <c r="GK122" s="6" t="e">
        <f>-GJ121*(Inputs!#REF!+IF(GK$2&gt;=Inputs!#REF!,Inputs!#REF!,0))/12</f>
        <v>#REF!</v>
      </c>
      <c r="GL122" s="6" t="e">
        <f>-GK121*(Inputs!#REF!+IF(GL$2&gt;=Inputs!#REF!,Inputs!#REF!,0))/12</f>
        <v>#REF!</v>
      </c>
      <c r="GM122" s="6" t="e">
        <f>-GL121*(Inputs!#REF!+IF(GM$2&gt;=Inputs!#REF!,Inputs!#REF!,0))/12</f>
        <v>#REF!</v>
      </c>
      <c r="GN122" s="6" t="e">
        <f>-GM121*(Inputs!#REF!+IF(GN$2&gt;=Inputs!#REF!,Inputs!#REF!,0))/12</f>
        <v>#REF!</v>
      </c>
      <c r="GO122" s="6" t="e">
        <f>-GN121*(Inputs!#REF!+IF(GO$2&gt;=Inputs!#REF!,Inputs!#REF!,0))/12</f>
        <v>#REF!</v>
      </c>
      <c r="GP122" s="6" t="e">
        <f>-GO121*(Inputs!#REF!+IF(GP$2&gt;=Inputs!#REF!,Inputs!#REF!,0))/12</f>
        <v>#REF!</v>
      </c>
      <c r="GQ122" s="6" t="e">
        <f>-GP121*(Inputs!#REF!+IF(GQ$2&gt;=Inputs!#REF!,Inputs!#REF!,0))/12</f>
        <v>#REF!</v>
      </c>
      <c r="GR122" s="6" t="e">
        <f>-GQ121*(Inputs!#REF!+IF(GR$2&gt;=Inputs!#REF!,Inputs!#REF!,0))/12</f>
        <v>#REF!</v>
      </c>
      <c r="GS122" s="6" t="e">
        <f>-GR121*(Inputs!#REF!+IF(GS$2&gt;=Inputs!#REF!,Inputs!#REF!,0))/12</f>
        <v>#REF!</v>
      </c>
      <c r="GT122" s="6" t="e">
        <f>-GS121*(Inputs!#REF!+IF(GT$2&gt;=Inputs!#REF!,Inputs!#REF!,0))/12</f>
        <v>#REF!</v>
      </c>
      <c r="GU122" s="6" t="e">
        <f>-GT121*(Inputs!#REF!+IF(GU$2&gt;=Inputs!#REF!,Inputs!#REF!,0))/12</f>
        <v>#REF!</v>
      </c>
      <c r="GV122" s="6" t="e">
        <f>-GU121*(Inputs!#REF!+IF(GV$2&gt;=Inputs!#REF!,Inputs!#REF!,0))/12</f>
        <v>#REF!</v>
      </c>
      <c r="GW122" s="6" t="e">
        <f>-GV121*(Inputs!#REF!+IF(GW$2&gt;=Inputs!#REF!,Inputs!#REF!,0))/12</f>
        <v>#REF!</v>
      </c>
      <c r="GX122" s="6" t="e">
        <f>-GW121*(Inputs!#REF!+IF(GX$2&gt;=Inputs!#REF!,Inputs!#REF!,0))/12</f>
        <v>#REF!</v>
      </c>
      <c r="GY122" s="6" t="e">
        <f>-GX121*(Inputs!#REF!+IF(GY$2&gt;=Inputs!#REF!,Inputs!#REF!,0))/12</f>
        <v>#REF!</v>
      </c>
      <c r="GZ122" s="6" t="e">
        <f>-GY121*(Inputs!#REF!+IF(GZ$2&gt;=Inputs!#REF!,Inputs!#REF!,0))/12</f>
        <v>#REF!</v>
      </c>
      <c r="HA122" s="6" t="e">
        <f>-GZ121*(Inputs!#REF!+IF(HA$2&gt;=Inputs!#REF!,Inputs!#REF!,0))/12</f>
        <v>#REF!</v>
      </c>
      <c r="HB122" s="6" t="e">
        <f>-HA121*(Inputs!#REF!+IF(HB$2&gt;=Inputs!#REF!,Inputs!#REF!,0))/12</f>
        <v>#REF!</v>
      </c>
      <c r="HC122" s="6" t="e">
        <f>-HB121*(Inputs!#REF!+IF(HC$2&gt;=Inputs!#REF!,Inputs!#REF!,0))/12</f>
        <v>#REF!</v>
      </c>
      <c r="HD122" s="6" t="e">
        <f>-HC121*(Inputs!#REF!+IF(HD$2&gt;=Inputs!#REF!,Inputs!#REF!,0))/12</f>
        <v>#REF!</v>
      </c>
      <c r="HE122" s="6" t="e">
        <f>-HD121*(Inputs!#REF!+IF(HE$2&gt;=Inputs!#REF!,Inputs!#REF!,0))/12</f>
        <v>#REF!</v>
      </c>
      <c r="HF122" s="6" t="e">
        <f>-HE121*(Inputs!#REF!+IF(HF$2&gt;=Inputs!#REF!,Inputs!#REF!,0))/12</f>
        <v>#REF!</v>
      </c>
      <c r="HG122" s="6" t="e">
        <f>-HF121*(Inputs!#REF!+IF(HG$2&gt;=Inputs!#REF!,Inputs!#REF!,0))/12</f>
        <v>#REF!</v>
      </c>
      <c r="HH122" s="6" t="e">
        <f>-HG121*(Inputs!#REF!+IF(HH$2&gt;=Inputs!#REF!,Inputs!#REF!,0))/12</f>
        <v>#REF!</v>
      </c>
      <c r="HI122" s="6" t="e">
        <f>-HH121*(Inputs!#REF!+IF(HI$2&gt;=Inputs!#REF!,Inputs!#REF!,0))/12</f>
        <v>#REF!</v>
      </c>
      <c r="HJ122" s="6" t="e">
        <f>-HI121*(Inputs!#REF!+IF(HJ$2&gt;=Inputs!#REF!,Inputs!#REF!,0))/12</f>
        <v>#REF!</v>
      </c>
      <c r="HK122" s="6" t="e">
        <f>-HJ121*(Inputs!#REF!+IF(HK$2&gt;=Inputs!#REF!,Inputs!#REF!,0))/12</f>
        <v>#REF!</v>
      </c>
      <c r="HL122" s="6" t="e">
        <f>-HK121*(Inputs!#REF!+IF(HL$2&gt;=Inputs!#REF!,Inputs!#REF!,0))/12</f>
        <v>#REF!</v>
      </c>
      <c r="HM122" s="6" t="e">
        <f>-HL121*(Inputs!#REF!+IF(HM$2&gt;=Inputs!#REF!,Inputs!#REF!,0))/12</f>
        <v>#REF!</v>
      </c>
      <c r="HN122" s="6" t="e">
        <f>-HM121*(Inputs!#REF!+IF(HN$2&gt;=Inputs!#REF!,Inputs!#REF!,0))/12</f>
        <v>#REF!</v>
      </c>
      <c r="HO122" s="6" t="e">
        <f>-HN121*(Inputs!#REF!+IF(HO$2&gt;=Inputs!#REF!,Inputs!#REF!,0))/12</f>
        <v>#REF!</v>
      </c>
      <c r="HP122" s="6" t="e">
        <f>-HO121*(Inputs!#REF!+IF(HP$2&gt;=Inputs!#REF!,Inputs!#REF!,0))/12</f>
        <v>#REF!</v>
      </c>
      <c r="HQ122" s="6" t="e">
        <f>-HP121*(Inputs!#REF!+IF(HQ$2&gt;=Inputs!#REF!,Inputs!#REF!,0))/12</f>
        <v>#REF!</v>
      </c>
      <c r="HR122" s="6" t="e">
        <f>-HQ121*(Inputs!#REF!+IF(HR$2&gt;=Inputs!#REF!,Inputs!#REF!,0))/12</f>
        <v>#REF!</v>
      </c>
      <c r="HS122" s="6" t="e">
        <f>-HR121*(Inputs!#REF!+IF(HS$2&gt;=Inputs!#REF!,Inputs!#REF!,0))/12</f>
        <v>#REF!</v>
      </c>
      <c r="HT122" s="6" t="e">
        <f>-HS121*(Inputs!#REF!+IF(HT$2&gt;=Inputs!#REF!,Inputs!#REF!,0))/12</f>
        <v>#REF!</v>
      </c>
      <c r="HU122" s="6" t="e">
        <f>-HT121*(Inputs!#REF!+IF(HU$2&gt;=Inputs!#REF!,Inputs!#REF!,0))/12</f>
        <v>#REF!</v>
      </c>
      <c r="HV122" s="6" t="e">
        <f>-HU121*(Inputs!#REF!+IF(HV$2&gt;=Inputs!#REF!,Inputs!#REF!,0))/12</f>
        <v>#REF!</v>
      </c>
      <c r="HW122" s="6" t="e">
        <f>-HV121*(Inputs!#REF!+IF(HW$2&gt;=Inputs!#REF!,Inputs!#REF!,0))/12</f>
        <v>#REF!</v>
      </c>
      <c r="HX122" s="6" t="e">
        <f>-HW121*(Inputs!#REF!+IF(HX$2&gt;=Inputs!#REF!,Inputs!#REF!,0))/12</f>
        <v>#REF!</v>
      </c>
      <c r="HY122" s="6" t="e">
        <f>-HX121*(Inputs!#REF!+IF(HY$2&gt;=Inputs!#REF!,Inputs!#REF!,0))/12</f>
        <v>#REF!</v>
      </c>
      <c r="HZ122" s="6" t="e">
        <f>-HY121*(Inputs!#REF!+IF(HZ$2&gt;=Inputs!#REF!,Inputs!#REF!,0))/12</f>
        <v>#REF!</v>
      </c>
      <c r="IA122" s="6" t="e">
        <f>-HZ121*(Inputs!#REF!+IF(IA$2&gt;=Inputs!#REF!,Inputs!#REF!,0))/12</f>
        <v>#REF!</v>
      </c>
      <c r="IB122" s="6" t="e">
        <f>-IA121*(Inputs!#REF!+IF(IB$2&gt;=Inputs!#REF!,Inputs!#REF!,0))/12</f>
        <v>#REF!</v>
      </c>
      <c r="IC122" s="6" t="e">
        <f>-IB121*(Inputs!#REF!+IF(IC$2&gt;=Inputs!#REF!,Inputs!#REF!,0))/12</f>
        <v>#REF!</v>
      </c>
      <c r="ID122" s="6" t="e">
        <f>-IC121*(Inputs!#REF!+IF(ID$2&gt;=Inputs!#REF!,Inputs!#REF!,0))/12</f>
        <v>#REF!</v>
      </c>
      <c r="IE122" s="6" t="e">
        <f>-ID121*(Inputs!#REF!+IF(IE$2&gt;=Inputs!#REF!,Inputs!#REF!,0))/12</f>
        <v>#REF!</v>
      </c>
      <c r="IF122" s="6" t="e">
        <f>-IE121*(Inputs!#REF!+IF(IF$2&gt;=Inputs!#REF!,Inputs!#REF!,0))/12</f>
        <v>#REF!</v>
      </c>
      <c r="IG122" s="6" t="e">
        <f>-IF121*(Inputs!#REF!+IF(IG$2&gt;=Inputs!#REF!,Inputs!#REF!,0))/12</f>
        <v>#REF!</v>
      </c>
      <c r="IH122" s="6" t="e">
        <f>-IG121*(Inputs!#REF!+IF(IH$2&gt;=Inputs!#REF!,Inputs!#REF!,0))/12</f>
        <v>#REF!</v>
      </c>
      <c r="II122" s="6" t="e">
        <f>-IH121*(Inputs!#REF!+IF(II$2&gt;=Inputs!#REF!,Inputs!#REF!,0))/12</f>
        <v>#REF!</v>
      </c>
      <c r="IJ122" s="6" t="e">
        <f>-II121*(Inputs!#REF!+IF(IJ$2&gt;=Inputs!#REF!,Inputs!#REF!,0))/12</f>
        <v>#REF!</v>
      </c>
      <c r="IK122" s="6" t="e">
        <f>-IJ121*(Inputs!#REF!+IF(IK$2&gt;=Inputs!#REF!,Inputs!#REF!,0))/12</f>
        <v>#REF!</v>
      </c>
      <c r="IL122" s="6" t="e">
        <f>-IK121*(Inputs!#REF!+IF(IL$2&gt;=Inputs!#REF!,Inputs!#REF!,0))/12</f>
        <v>#REF!</v>
      </c>
      <c r="IM122" s="6" t="e">
        <f>-IL121*(Inputs!#REF!+IF(IM$2&gt;=Inputs!#REF!,Inputs!#REF!,0))/12</f>
        <v>#REF!</v>
      </c>
      <c r="IN122" s="6" t="e">
        <f>-IM121*(Inputs!#REF!+IF(IN$2&gt;=Inputs!#REF!,Inputs!#REF!,0))/12</f>
        <v>#REF!</v>
      </c>
      <c r="IO122" s="6" t="e">
        <f>-IN121*(Inputs!#REF!+IF(IO$2&gt;=Inputs!#REF!,Inputs!#REF!,0))/12</f>
        <v>#REF!</v>
      </c>
      <c r="IP122" s="6" t="e">
        <f>-IO121*(Inputs!#REF!+IF(IP$2&gt;=Inputs!#REF!,Inputs!#REF!,0))/12</f>
        <v>#REF!</v>
      </c>
      <c r="IQ122" s="6" t="e">
        <f>-IP121*(Inputs!#REF!+IF(IQ$2&gt;=Inputs!#REF!,Inputs!#REF!,0))/12</f>
        <v>#REF!</v>
      </c>
      <c r="IR122" s="6" t="e">
        <f>-IQ121*(Inputs!#REF!+IF(IR$2&gt;=Inputs!#REF!,Inputs!#REF!,0))/12</f>
        <v>#REF!</v>
      </c>
      <c r="IS122" s="6" t="e">
        <f>-IR121*(Inputs!#REF!+IF(IS$2&gt;=Inputs!#REF!,Inputs!#REF!,0))/12</f>
        <v>#REF!</v>
      </c>
      <c r="IT122" s="6" t="e">
        <f>-IS121*(Inputs!#REF!+IF(IT$2&gt;=Inputs!#REF!,Inputs!#REF!,0))/12</f>
        <v>#REF!</v>
      </c>
      <c r="IU122" s="6" t="e">
        <f>-IT121*(Inputs!#REF!+IF(IU$2&gt;=Inputs!#REF!,Inputs!#REF!,0))/12</f>
        <v>#REF!</v>
      </c>
      <c r="IV122" s="6" t="e">
        <f>-IU121*(Inputs!#REF!+IF(IV$2&gt;=Inputs!#REF!,Inputs!#REF!,0))/12</f>
        <v>#REF!</v>
      </c>
      <c r="IW122" s="6" t="e">
        <f>-IV121*(Inputs!#REF!+IF(IW$2&gt;=Inputs!#REF!,Inputs!#REF!,0))/12</f>
        <v>#REF!</v>
      </c>
      <c r="IX122" s="6" t="e">
        <f>-IW121*(Inputs!#REF!+IF(IX$2&gt;=Inputs!#REF!,Inputs!#REF!,0))/12</f>
        <v>#REF!</v>
      </c>
      <c r="IY122" s="6" t="e">
        <f>-IX121*(Inputs!#REF!+IF(IY$2&gt;=Inputs!#REF!,Inputs!#REF!,0))/12</f>
        <v>#REF!</v>
      </c>
      <c r="IZ122" s="6" t="e">
        <f>-IY121*(Inputs!#REF!+IF(IZ$2&gt;=Inputs!#REF!,Inputs!#REF!,0))/12</f>
        <v>#REF!</v>
      </c>
      <c r="JA122" s="6" t="e">
        <f>-IZ121*(Inputs!#REF!+IF(JA$2&gt;=Inputs!#REF!,Inputs!#REF!,0))/12</f>
        <v>#REF!</v>
      </c>
      <c r="JB122" s="6" t="e">
        <f>-JA121*(Inputs!#REF!+IF(JB$2&gt;=Inputs!#REF!,Inputs!#REF!,0))/12</f>
        <v>#REF!</v>
      </c>
      <c r="JC122" s="6" t="e">
        <f>-JB121*(Inputs!#REF!+IF(JC$2&gt;=Inputs!#REF!,Inputs!#REF!,0))/12</f>
        <v>#REF!</v>
      </c>
      <c r="JD122" s="6" t="e">
        <f>-JC121*(Inputs!#REF!+IF(JD$2&gt;=Inputs!#REF!,Inputs!#REF!,0))/12</f>
        <v>#REF!</v>
      </c>
      <c r="JE122" s="6" t="e">
        <f>-JD121*(Inputs!#REF!+IF(JE$2&gt;=Inputs!#REF!,Inputs!#REF!,0))/12</f>
        <v>#REF!</v>
      </c>
      <c r="JF122" s="6" t="e">
        <f>-JE121*(Inputs!#REF!+IF(JF$2&gt;=Inputs!#REF!,Inputs!#REF!,0))/12</f>
        <v>#REF!</v>
      </c>
      <c r="JG122" s="6" t="e">
        <f>-JF121*(Inputs!#REF!+IF(JG$2&gt;=Inputs!#REF!,Inputs!#REF!,0))/12</f>
        <v>#REF!</v>
      </c>
      <c r="JH122" s="6" t="e">
        <f>-JG121*(Inputs!#REF!+IF(JH$2&gt;=Inputs!#REF!,Inputs!#REF!,0))/12</f>
        <v>#REF!</v>
      </c>
      <c r="JI122" s="6" t="e">
        <f>-JH121*(Inputs!#REF!+IF(JI$2&gt;=Inputs!#REF!,Inputs!#REF!,0))/12</f>
        <v>#REF!</v>
      </c>
      <c r="JJ122" s="6" t="e">
        <f>-JI121*(Inputs!#REF!+IF(JJ$2&gt;=Inputs!#REF!,Inputs!#REF!,0))/12</f>
        <v>#REF!</v>
      </c>
      <c r="JK122" s="6" t="e">
        <f>-JJ121*(Inputs!#REF!+IF(JK$2&gt;=Inputs!#REF!,Inputs!#REF!,0))/12</f>
        <v>#REF!</v>
      </c>
      <c r="JL122" s="6" t="e">
        <f>-JK121*(Inputs!#REF!+IF(JL$2&gt;=Inputs!#REF!,Inputs!#REF!,0))/12</f>
        <v>#REF!</v>
      </c>
      <c r="JM122" s="6" t="e">
        <f>-JL121*(Inputs!#REF!+IF(JM$2&gt;=Inputs!#REF!,Inputs!#REF!,0))/12</f>
        <v>#REF!</v>
      </c>
      <c r="JN122" s="6" t="e">
        <f>-JM121*(Inputs!#REF!+IF(JN$2&gt;=Inputs!#REF!,Inputs!#REF!,0))/12</f>
        <v>#REF!</v>
      </c>
      <c r="JO122" s="6" t="e">
        <f>-JN121*(Inputs!#REF!+IF(JO$2&gt;=Inputs!#REF!,Inputs!#REF!,0))/12</f>
        <v>#REF!</v>
      </c>
      <c r="JP122" s="6" t="e">
        <f>-JO121*(Inputs!#REF!+IF(JP$2&gt;=Inputs!#REF!,Inputs!#REF!,0))/12</f>
        <v>#REF!</v>
      </c>
      <c r="JQ122" s="6" t="e">
        <f>-JP121*(Inputs!#REF!+IF(JQ$2&gt;=Inputs!#REF!,Inputs!#REF!,0))/12</f>
        <v>#REF!</v>
      </c>
      <c r="JR122" s="6" t="e">
        <f>-JQ121*(Inputs!#REF!+IF(JR$2&gt;=Inputs!#REF!,Inputs!#REF!,0))/12</f>
        <v>#REF!</v>
      </c>
      <c r="JS122" s="6" t="e">
        <f>-JR121*(Inputs!#REF!+IF(JS$2&gt;=Inputs!#REF!,Inputs!#REF!,0))/12</f>
        <v>#REF!</v>
      </c>
      <c r="JT122" s="6" t="e">
        <f>-JS121*(Inputs!#REF!+IF(JT$2&gt;=Inputs!#REF!,Inputs!#REF!,0))/12</f>
        <v>#REF!</v>
      </c>
      <c r="JU122" s="6" t="e">
        <f>-JT121*(Inputs!#REF!+IF(JU$2&gt;=Inputs!#REF!,Inputs!#REF!,0))/12</f>
        <v>#REF!</v>
      </c>
      <c r="JV122" s="6" t="e">
        <f>-JU121*(Inputs!#REF!+IF(JV$2&gt;=Inputs!#REF!,Inputs!#REF!,0))/12</f>
        <v>#REF!</v>
      </c>
      <c r="JW122" s="6" t="e">
        <f>-JV121*(Inputs!#REF!+IF(JW$2&gt;=Inputs!#REF!,Inputs!#REF!,0))/12</f>
        <v>#REF!</v>
      </c>
      <c r="JX122" s="6" t="e">
        <f>-JW121*(Inputs!#REF!+IF(JX$2&gt;=Inputs!#REF!,Inputs!#REF!,0))/12</f>
        <v>#REF!</v>
      </c>
      <c r="JY122" s="6" t="e">
        <f>-JX121*(Inputs!#REF!+IF(JY$2&gt;=Inputs!#REF!,Inputs!#REF!,0))/12</f>
        <v>#REF!</v>
      </c>
      <c r="JZ122" s="6" t="e">
        <f>-JY121*(Inputs!#REF!+IF(JZ$2&gt;=Inputs!#REF!,Inputs!#REF!,0))/12</f>
        <v>#REF!</v>
      </c>
      <c r="KA122" s="6" t="e">
        <f>-JZ121*(Inputs!#REF!+IF(KA$2&gt;=Inputs!#REF!,Inputs!#REF!,0))/12</f>
        <v>#REF!</v>
      </c>
      <c r="KB122" s="6" t="e">
        <f>-KA121*(Inputs!#REF!+IF(KB$2&gt;=Inputs!#REF!,Inputs!#REF!,0))/12</f>
        <v>#REF!</v>
      </c>
      <c r="KC122" s="6" t="e">
        <f>-KB121*(Inputs!#REF!+IF(KC$2&gt;=Inputs!#REF!,Inputs!#REF!,0))/12</f>
        <v>#REF!</v>
      </c>
      <c r="KD122" s="6" t="e">
        <f>-KC121*(Inputs!#REF!+IF(KD$2&gt;=Inputs!#REF!,Inputs!#REF!,0))/12</f>
        <v>#REF!</v>
      </c>
      <c r="KE122" s="6" t="e">
        <f>-KD121*(Inputs!#REF!+IF(KE$2&gt;=Inputs!#REF!,Inputs!#REF!,0))/12</f>
        <v>#REF!</v>
      </c>
      <c r="KF122" s="6" t="e">
        <f>-KE121*(Inputs!#REF!+IF(KF$2&gt;=Inputs!#REF!,Inputs!#REF!,0))/12</f>
        <v>#REF!</v>
      </c>
      <c r="KG122" s="6" t="e">
        <f>-KF121*(Inputs!#REF!+IF(KG$2&gt;=Inputs!#REF!,Inputs!#REF!,0))/12</f>
        <v>#REF!</v>
      </c>
      <c r="KH122" s="6" t="e">
        <f>-KG121*(Inputs!#REF!+IF(KH$2&gt;=Inputs!#REF!,Inputs!#REF!,0))/12</f>
        <v>#REF!</v>
      </c>
      <c r="KI122" s="6" t="e">
        <f>-KH121*(Inputs!#REF!+IF(KI$2&gt;=Inputs!#REF!,Inputs!#REF!,0))/12</f>
        <v>#REF!</v>
      </c>
      <c r="KJ122" s="6" t="e">
        <f>-KI121*(Inputs!#REF!+IF(KJ$2&gt;=Inputs!#REF!,Inputs!#REF!,0))/12</f>
        <v>#REF!</v>
      </c>
      <c r="KK122" s="6" t="e">
        <f>-KJ121*(Inputs!#REF!+IF(KK$2&gt;=Inputs!#REF!,Inputs!#REF!,0))/12</f>
        <v>#REF!</v>
      </c>
      <c r="KL122" s="6" t="e">
        <f>-KK121*(Inputs!#REF!+IF(KL$2&gt;=Inputs!#REF!,Inputs!#REF!,0))/12</f>
        <v>#REF!</v>
      </c>
      <c r="KM122" s="6" t="e">
        <f>-KL121*(Inputs!#REF!+IF(KM$2&gt;=Inputs!#REF!,Inputs!#REF!,0))/12</f>
        <v>#REF!</v>
      </c>
      <c r="KN122" s="6" t="e">
        <f>-KM121*(Inputs!#REF!+IF(KN$2&gt;=Inputs!#REF!,Inputs!#REF!,0))/12</f>
        <v>#REF!</v>
      </c>
      <c r="KO122" s="6" t="e">
        <f>-KN121*(Inputs!#REF!+IF(KO$2&gt;=Inputs!#REF!,Inputs!#REF!,0))/12</f>
        <v>#REF!</v>
      </c>
      <c r="KP122" s="6" t="e">
        <f>-KO121*(Inputs!#REF!+IF(KP$2&gt;=Inputs!#REF!,Inputs!#REF!,0))/12</f>
        <v>#REF!</v>
      </c>
      <c r="KQ122" s="6" t="e">
        <f>-KP121*(Inputs!#REF!+IF(KQ$2&gt;=Inputs!#REF!,Inputs!#REF!,0))/12</f>
        <v>#REF!</v>
      </c>
      <c r="KR122" s="6" t="e">
        <f>-KQ121*(Inputs!#REF!+IF(KR$2&gt;=Inputs!#REF!,Inputs!#REF!,0))/12</f>
        <v>#REF!</v>
      </c>
      <c r="KS122" s="6" t="e">
        <f>-KR121*(Inputs!#REF!+IF(KS$2&gt;=Inputs!#REF!,Inputs!#REF!,0))/12</f>
        <v>#REF!</v>
      </c>
    </row>
    <row r="123" spans="2:305" s="6" customFormat="1" outlineLevel="1">
      <c r="B123"/>
      <c r="C123"/>
      <c r="D123"/>
    </row>
    <row r="124" spans="2:305" outlineLevel="1"/>
    <row r="125" spans="2:305" outlineLevel="1">
      <c r="B125" s="4" t="s">
        <v>45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</row>
    <row r="126" spans="2:305" s="6" customFormat="1" outlineLevel="1">
      <c r="B126" s="10" t="s">
        <v>0</v>
      </c>
      <c r="C126"/>
      <c r="D126"/>
      <c r="E126" s="6" t="e">
        <f>IF(OR(E2&gt;Inputs!#REF!,E2&lt;=Inputs!#REF!),0,Inputs!#REF!)</f>
        <v>#REF!</v>
      </c>
      <c r="F126" s="6" t="e">
        <f>IF(OR(F2&gt;Inputs!#REF!,F2&lt;=Inputs!#REF!),0,Inputs!#REF!)</f>
        <v>#REF!</v>
      </c>
      <c r="G126" s="6" t="e">
        <f>IF(OR(G2&gt;Inputs!#REF!,G2&lt;=Inputs!#REF!),0,Inputs!#REF!)</f>
        <v>#REF!</v>
      </c>
      <c r="H126" s="6" t="e">
        <f>IF(OR(H2&gt;Inputs!#REF!,H2&lt;=Inputs!#REF!),0,Inputs!#REF!)</f>
        <v>#REF!</v>
      </c>
      <c r="I126" s="6" t="e">
        <f>IF(OR(I2&gt;Inputs!#REF!,I2&lt;=Inputs!#REF!),0,Inputs!#REF!)</f>
        <v>#REF!</v>
      </c>
      <c r="J126" s="6" t="e">
        <f>IF(OR(J2&gt;Inputs!#REF!,J2&lt;=Inputs!#REF!),0,Inputs!#REF!)</f>
        <v>#REF!</v>
      </c>
      <c r="K126" s="6" t="e">
        <f>IF(OR(K2&gt;Inputs!#REF!,K2&lt;=Inputs!#REF!),0,Inputs!#REF!)</f>
        <v>#REF!</v>
      </c>
      <c r="L126" s="6" t="e">
        <f>IF(OR(L2&gt;Inputs!#REF!,L2&lt;=Inputs!#REF!),0,Inputs!#REF!)</f>
        <v>#REF!</v>
      </c>
      <c r="M126" s="6" t="e">
        <f>IF(OR(M2&gt;Inputs!#REF!,M2&lt;=Inputs!#REF!),0,Inputs!#REF!)</f>
        <v>#REF!</v>
      </c>
      <c r="N126" s="6" t="e">
        <f>IF(OR(N2&gt;Inputs!#REF!,N2&lt;=Inputs!#REF!),0,Inputs!#REF!)</f>
        <v>#REF!</v>
      </c>
      <c r="O126" s="6" t="e">
        <f>IF(OR(O2&gt;Inputs!#REF!,O2&lt;=Inputs!#REF!),0,Inputs!#REF!)</f>
        <v>#REF!</v>
      </c>
      <c r="P126" s="6" t="e">
        <f>IF(OR(P2&gt;Inputs!#REF!,P2&lt;=Inputs!#REF!),0,Inputs!#REF!)</f>
        <v>#REF!</v>
      </c>
      <c r="Q126" s="6" t="e">
        <f>IF(OR(Q2&gt;Inputs!#REF!,Q2&lt;=Inputs!#REF!),0,Inputs!#REF!)</f>
        <v>#REF!</v>
      </c>
      <c r="R126" s="6" t="e">
        <f>IF(OR(R2&gt;Inputs!#REF!,R2&lt;=Inputs!#REF!),0,Inputs!#REF!)</f>
        <v>#REF!</v>
      </c>
      <c r="S126" s="6" t="e">
        <f>IF(OR(S2&gt;Inputs!#REF!,S2&lt;=Inputs!#REF!),0,Inputs!#REF!)</f>
        <v>#REF!</v>
      </c>
      <c r="T126" s="6" t="e">
        <f>IF(OR(T2&gt;Inputs!#REF!,T2&lt;=Inputs!#REF!),0,Inputs!#REF!)</f>
        <v>#REF!</v>
      </c>
      <c r="U126" s="6" t="e">
        <f>IF(OR(U2&gt;Inputs!#REF!,U2&lt;=Inputs!#REF!),0,Inputs!#REF!)</f>
        <v>#REF!</v>
      </c>
      <c r="V126" s="6" t="e">
        <f>IF(OR(V2&gt;Inputs!#REF!,V2&lt;=Inputs!#REF!),0,Inputs!#REF!)</f>
        <v>#REF!</v>
      </c>
      <c r="W126" s="6" t="e">
        <f>IF(OR(W2&gt;Inputs!#REF!,W2&lt;=Inputs!#REF!),0,Inputs!#REF!)</f>
        <v>#REF!</v>
      </c>
      <c r="X126" s="6" t="e">
        <f>IF(OR(X2&gt;Inputs!#REF!,X2&lt;=Inputs!#REF!),0,Inputs!#REF!)</f>
        <v>#REF!</v>
      </c>
      <c r="Y126" s="6" t="e">
        <f>IF(OR(Y2&gt;Inputs!#REF!,Y2&lt;=Inputs!#REF!),0,Inputs!#REF!)</f>
        <v>#REF!</v>
      </c>
      <c r="Z126" s="6" t="e">
        <f>IF(OR(Z2&gt;Inputs!#REF!,Z2&lt;=Inputs!#REF!),0,Inputs!#REF!)</f>
        <v>#REF!</v>
      </c>
      <c r="AA126" s="6" t="e">
        <f>IF(OR(AA2&gt;Inputs!#REF!,AA2&lt;=Inputs!#REF!),0,Inputs!#REF!)</f>
        <v>#REF!</v>
      </c>
      <c r="AB126" s="6" t="e">
        <f>IF(OR(AB2&gt;Inputs!#REF!,AB2&lt;=Inputs!#REF!),0,Inputs!#REF!)</f>
        <v>#REF!</v>
      </c>
      <c r="AC126" s="6" t="e">
        <f>IF(OR(AC2&gt;Inputs!#REF!,AC2&lt;=Inputs!#REF!),0,Inputs!#REF!)</f>
        <v>#REF!</v>
      </c>
      <c r="AD126" s="6" t="e">
        <f>IF(OR(AD2&gt;Inputs!#REF!,AD2&lt;=Inputs!#REF!),0,Inputs!#REF!)</f>
        <v>#REF!</v>
      </c>
      <c r="AE126" s="6" t="e">
        <f>IF(OR(AE2&gt;Inputs!#REF!,AE2&lt;=Inputs!#REF!),0,Inputs!#REF!)</f>
        <v>#REF!</v>
      </c>
      <c r="AF126" s="6" t="e">
        <f>IF(OR(AF2&gt;Inputs!#REF!,AF2&lt;=Inputs!#REF!),0,Inputs!#REF!)</f>
        <v>#REF!</v>
      </c>
      <c r="AG126" s="6" t="e">
        <f>IF(OR(AG2&gt;Inputs!#REF!,AG2&lt;=Inputs!#REF!),0,Inputs!#REF!)</f>
        <v>#REF!</v>
      </c>
      <c r="AH126" s="6" t="e">
        <f>IF(OR(AH2&gt;Inputs!#REF!,AH2&lt;=Inputs!#REF!),0,Inputs!#REF!)</f>
        <v>#REF!</v>
      </c>
      <c r="AI126" s="6" t="e">
        <f>IF(OR(AI2&gt;Inputs!#REF!,AI2&lt;=Inputs!#REF!),0,Inputs!#REF!)</f>
        <v>#REF!</v>
      </c>
      <c r="AJ126" s="6" t="e">
        <f>IF(OR(AJ2&gt;Inputs!#REF!,AJ2&lt;=Inputs!#REF!),0,Inputs!#REF!)</f>
        <v>#REF!</v>
      </c>
      <c r="AK126" s="6" t="e">
        <f>IF(OR(AK2&gt;Inputs!#REF!,AK2&lt;=Inputs!#REF!),0,Inputs!#REF!)</f>
        <v>#REF!</v>
      </c>
      <c r="AL126" s="6" t="e">
        <f>IF(OR(AL2&gt;Inputs!#REF!,AL2&lt;=Inputs!#REF!),0,Inputs!#REF!)</f>
        <v>#REF!</v>
      </c>
      <c r="AM126" s="6" t="e">
        <f>IF(OR(AM2&gt;Inputs!#REF!,AM2&lt;=Inputs!#REF!),0,Inputs!#REF!)</f>
        <v>#REF!</v>
      </c>
      <c r="AN126" s="6" t="e">
        <f>IF(OR(AN2&gt;Inputs!#REF!,AN2&lt;=Inputs!#REF!),0,Inputs!#REF!)</f>
        <v>#REF!</v>
      </c>
      <c r="AO126" s="6" t="e">
        <f>IF(OR(AO2&gt;Inputs!#REF!,AO2&lt;=Inputs!#REF!),0,Inputs!#REF!)</f>
        <v>#REF!</v>
      </c>
      <c r="AP126" s="6" t="e">
        <f>IF(OR(AP2&gt;Inputs!#REF!,AP2&lt;=Inputs!#REF!),0,Inputs!#REF!)</f>
        <v>#REF!</v>
      </c>
      <c r="AQ126" s="6" t="e">
        <f>IF(OR(AQ2&gt;Inputs!#REF!,AQ2&lt;=Inputs!#REF!),0,Inputs!#REF!)</f>
        <v>#REF!</v>
      </c>
      <c r="AR126" s="6" t="e">
        <f>IF(OR(AR2&gt;Inputs!#REF!,AR2&lt;=Inputs!#REF!),0,Inputs!#REF!)</f>
        <v>#REF!</v>
      </c>
      <c r="AS126" s="6" t="e">
        <f>IF(OR(AS2&gt;Inputs!#REF!,AS2&lt;=Inputs!#REF!),0,Inputs!#REF!)</f>
        <v>#REF!</v>
      </c>
      <c r="AT126" s="6" t="e">
        <f>IF(OR(AT2&gt;Inputs!#REF!,AT2&lt;=Inputs!#REF!),0,Inputs!#REF!)</f>
        <v>#REF!</v>
      </c>
      <c r="AU126" s="6" t="e">
        <f>IF(OR(AU2&gt;Inputs!#REF!,AU2&lt;=Inputs!#REF!),0,Inputs!#REF!)</f>
        <v>#REF!</v>
      </c>
      <c r="AV126" s="6" t="e">
        <f>IF(OR(AV2&gt;Inputs!#REF!,AV2&lt;=Inputs!#REF!),0,Inputs!#REF!)</f>
        <v>#REF!</v>
      </c>
      <c r="AW126" s="6" t="e">
        <f>IF(OR(AW2&gt;Inputs!#REF!,AW2&lt;=Inputs!#REF!),0,Inputs!#REF!)</f>
        <v>#REF!</v>
      </c>
      <c r="AX126" s="6" t="e">
        <f>IF(OR(AX2&gt;Inputs!#REF!,AX2&lt;=Inputs!#REF!),0,Inputs!#REF!)</f>
        <v>#REF!</v>
      </c>
      <c r="AY126" s="6" t="e">
        <f>IF(OR(AY2&gt;Inputs!#REF!,AY2&lt;=Inputs!#REF!),0,Inputs!#REF!)</f>
        <v>#REF!</v>
      </c>
      <c r="AZ126" s="6" t="e">
        <f>IF(OR(AZ2&gt;Inputs!#REF!,AZ2&lt;=Inputs!#REF!),0,Inputs!#REF!)</f>
        <v>#REF!</v>
      </c>
      <c r="BA126" s="6" t="e">
        <f>IF(OR(BA2&gt;Inputs!#REF!,BA2&lt;=Inputs!#REF!),0,Inputs!#REF!)</f>
        <v>#REF!</v>
      </c>
      <c r="BB126" s="6" t="e">
        <f>IF(OR(BB2&gt;Inputs!#REF!,BB2&lt;=Inputs!#REF!),0,Inputs!#REF!)</f>
        <v>#REF!</v>
      </c>
      <c r="BC126" s="6" t="e">
        <f>IF(OR(BC2&gt;Inputs!#REF!,BC2&lt;=Inputs!#REF!),0,Inputs!#REF!)</f>
        <v>#REF!</v>
      </c>
      <c r="BD126" s="6" t="e">
        <f>IF(OR(BD2&gt;Inputs!#REF!,BD2&lt;=Inputs!#REF!),0,Inputs!#REF!)</f>
        <v>#REF!</v>
      </c>
      <c r="BE126" s="6" t="e">
        <f>IF(OR(BE2&gt;Inputs!#REF!,BE2&lt;=Inputs!#REF!),0,Inputs!#REF!)</f>
        <v>#REF!</v>
      </c>
      <c r="BF126" s="6" t="e">
        <f>IF(OR(BF2&gt;Inputs!#REF!,BF2&lt;=Inputs!#REF!),0,Inputs!#REF!)</f>
        <v>#REF!</v>
      </c>
      <c r="BG126" s="6" t="e">
        <f>IF(OR(BG2&gt;Inputs!#REF!,BG2&lt;=Inputs!#REF!),0,Inputs!#REF!)</f>
        <v>#REF!</v>
      </c>
      <c r="BH126" s="6" t="e">
        <f>IF(OR(BH2&gt;Inputs!#REF!,BH2&lt;=Inputs!#REF!),0,Inputs!#REF!)</f>
        <v>#REF!</v>
      </c>
      <c r="BI126" s="6" t="e">
        <f>IF(OR(BI2&gt;Inputs!#REF!,BI2&lt;=Inputs!#REF!),0,Inputs!#REF!)</f>
        <v>#REF!</v>
      </c>
      <c r="BJ126" s="6" t="e">
        <f>IF(OR(BJ2&gt;Inputs!#REF!,BJ2&lt;=Inputs!#REF!),0,Inputs!#REF!)</f>
        <v>#REF!</v>
      </c>
      <c r="BK126" s="6" t="e">
        <f>IF(OR(BK2&gt;Inputs!#REF!,BK2&lt;=Inputs!#REF!),0,Inputs!#REF!)</f>
        <v>#REF!</v>
      </c>
      <c r="BL126" s="6" t="e">
        <f>IF(OR(BL2&gt;Inputs!#REF!,BL2&lt;=Inputs!#REF!),0,Inputs!#REF!)</f>
        <v>#REF!</v>
      </c>
      <c r="BM126" s="6" t="e">
        <f>IF(OR(BM2&gt;Inputs!#REF!,BM2&lt;=Inputs!#REF!),0,Inputs!#REF!)</f>
        <v>#REF!</v>
      </c>
      <c r="BN126" s="6" t="e">
        <f>IF(OR(BN2&gt;Inputs!#REF!,BN2&lt;=Inputs!#REF!),0,Inputs!#REF!)</f>
        <v>#REF!</v>
      </c>
      <c r="BO126" s="6" t="e">
        <f>IF(OR(BO2&gt;Inputs!#REF!,BO2&lt;=Inputs!#REF!),0,Inputs!#REF!)</f>
        <v>#REF!</v>
      </c>
      <c r="BP126" s="6" t="e">
        <f>IF(OR(BP2&gt;Inputs!#REF!,BP2&lt;=Inputs!#REF!),0,Inputs!#REF!)</f>
        <v>#REF!</v>
      </c>
      <c r="BQ126" s="6" t="e">
        <f>IF(OR(BQ2&gt;Inputs!#REF!,BQ2&lt;=Inputs!#REF!),0,Inputs!#REF!)</f>
        <v>#REF!</v>
      </c>
      <c r="BR126" s="6" t="e">
        <f>IF(OR(BR2&gt;Inputs!#REF!,BR2&lt;=Inputs!#REF!),0,Inputs!#REF!)</f>
        <v>#REF!</v>
      </c>
      <c r="BS126" s="6" t="e">
        <f>IF(OR(BS2&gt;Inputs!#REF!,BS2&lt;=Inputs!#REF!),0,Inputs!#REF!)</f>
        <v>#REF!</v>
      </c>
      <c r="BT126" s="6" t="e">
        <f>IF(OR(BT2&gt;Inputs!#REF!,BT2&lt;=Inputs!#REF!),0,Inputs!#REF!)</f>
        <v>#REF!</v>
      </c>
      <c r="BU126" s="6" t="e">
        <f>IF(OR(BU2&gt;Inputs!#REF!,BU2&lt;=Inputs!#REF!),0,Inputs!#REF!)</f>
        <v>#REF!</v>
      </c>
      <c r="BV126" s="6" t="e">
        <f>IF(OR(BV2&gt;Inputs!#REF!,BV2&lt;=Inputs!#REF!),0,Inputs!#REF!)</f>
        <v>#REF!</v>
      </c>
      <c r="BW126" s="6" t="e">
        <f>IF(OR(BW2&gt;Inputs!#REF!,BW2&lt;=Inputs!#REF!),0,Inputs!#REF!)</f>
        <v>#REF!</v>
      </c>
      <c r="BX126" s="6" t="e">
        <f>IF(OR(BX2&gt;Inputs!#REF!,BX2&lt;=Inputs!#REF!),0,Inputs!#REF!)</f>
        <v>#REF!</v>
      </c>
      <c r="BY126" s="6" t="e">
        <f>IF(OR(BY2&gt;Inputs!#REF!,BY2&lt;=Inputs!#REF!),0,Inputs!#REF!)</f>
        <v>#REF!</v>
      </c>
      <c r="BZ126" s="6" t="e">
        <f>IF(OR(BZ2&gt;Inputs!#REF!,BZ2&lt;=Inputs!#REF!),0,Inputs!#REF!)</f>
        <v>#REF!</v>
      </c>
      <c r="CA126" s="6" t="e">
        <f>IF(OR(CA2&gt;Inputs!#REF!,CA2&lt;=Inputs!#REF!),0,Inputs!#REF!)</f>
        <v>#REF!</v>
      </c>
      <c r="CB126" s="6" t="e">
        <f>IF(OR(CB2&gt;Inputs!#REF!,CB2&lt;=Inputs!#REF!),0,Inputs!#REF!)</f>
        <v>#REF!</v>
      </c>
      <c r="CC126" s="6" t="e">
        <f>IF(OR(CC2&gt;Inputs!#REF!,CC2&lt;=Inputs!#REF!),0,Inputs!#REF!)</f>
        <v>#REF!</v>
      </c>
      <c r="CD126" s="6" t="e">
        <f>IF(OR(CD2&gt;Inputs!#REF!,CD2&lt;=Inputs!#REF!),0,Inputs!#REF!)</f>
        <v>#REF!</v>
      </c>
      <c r="CE126" s="6" t="e">
        <f>IF(OR(CE2&gt;Inputs!#REF!,CE2&lt;=Inputs!#REF!),0,Inputs!#REF!)</f>
        <v>#REF!</v>
      </c>
      <c r="CF126" s="6" t="e">
        <f>IF(OR(CF2&gt;Inputs!#REF!,CF2&lt;=Inputs!#REF!),0,Inputs!#REF!)</f>
        <v>#REF!</v>
      </c>
      <c r="CG126" s="6" t="e">
        <f>IF(OR(CG2&gt;Inputs!#REF!,CG2&lt;=Inputs!#REF!),0,Inputs!#REF!)</f>
        <v>#REF!</v>
      </c>
      <c r="CH126" s="6" t="e">
        <f>IF(OR(CH2&gt;Inputs!#REF!,CH2&lt;=Inputs!#REF!),0,Inputs!#REF!)</f>
        <v>#REF!</v>
      </c>
      <c r="CI126" s="6" t="e">
        <f>IF(OR(CI2&gt;Inputs!#REF!,CI2&lt;=Inputs!#REF!),0,Inputs!#REF!)</f>
        <v>#REF!</v>
      </c>
      <c r="CJ126" s="6" t="e">
        <f>IF(OR(CJ2&gt;Inputs!#REF!,CJ2&lt;=Inputs!#REF!),0,Inputs!#REF!)</f>
        <v>#REF!</v>
      </c>
      <c r="CK126" s="6" t="e">
        <f>IF(OR(CK2&gt;Inputs!#REF!,CK2&lt;=Inputs!#REF!),0,Inputs!#REF!)</f>
        <v>#REF!</v>
      </c>
      <c r="CL126" s="6" t="e">
        <f>IF(OR(CL2&gt;Inputs!#REF!,CL2&lt;=Inputs!#REF!),0,Inputs!#REF!)</f>
        <v>#REF!</v>
      </c>
      <c r="CM126" s="6" t="e">
        <f>IF(OR(CM2&gt;Inputs!#REF!,CM2&lt;=Inputs!#REF!),0,Inputs!#REF!)</f>
        <v>#REF!</v>
      </c>
      <c r="CN126" s="6" t="e">
        <f>IF(OR(CN2&gt;Inputs!#REF!,CN2&lt;=Inputs!#REF!),0,Inputs!#REF!)</f>
        <v>#REF!</v>
      </c>
      <c r="CO126" s="6" t="e">
        <f>IF(OR(CO2&gt;Inputs!#REF!,CO2&lt;=Inputs!#REF!),0,Inputs!#REF!)</f>
        <v>#REF!</v>
      </c>
      <c r="CP126" s="6" t="e">
        <f>IF(OR(CP2&gt;Inputs!#REF!,CP2&lt;=Inputs!#REF!),0,Inputs!#REF!)</f>
        <v>#REF!</v>
      </c>
      <c r="CQ126" s="6" t="e">
        <f>IF(OR(CQ2&gt;Inputs!#REF!,CQ2&lt;=Inputs!#REF!),0,Inputs!#REF!)</f>
        <v>#REF!</v>
      </c>
      <c r="CR126" s="6" t="e">
        <f>IF(OR(CR2&gt;Inputs!#REF!,CR2&lt;=Inputs!#REF!),0,Inputs!#REF!)</f>
        <v>#REF!</v>
      </c>
      <c r="CS126" s="6" t="e">
        <f>IF(OR(CS2&gt;Inputs!#REF!,CS2&lt;=Inputs!#REF!),0,Inputs!#REF!)</f>
        <v>#REF!</v>
      </c>
      <c r="CT126" s="6" t="e">
        <f>IF(OR(CT2&gt;Inputs!#REF!,CT2&lt;=Inputs!#REF!),0,Inputs!#REF!)</f>
        <v>#REF!</v>
      </c>
      <c r="CU126" s="6" t="e">
        <f>IF(OR(CU2&gt;Inputs!#REF!,CU2&lt;=Inputs!#REF!),0,Inputs!#REF!)</f>
        <v>#REF!</v>
      </c>
      <c r="CV126" s="6" t="e">
        <f>IF(OR(CV2&gt;Inputs!#REF!,CV2&lt;=Inputs!#REF!),0,Inputs!#REF!)</f>
        <v>#REF!</v>
      </c>
      <c r="CW126" s="6" t="e">
        <f>IF(OR(CW2&gt;Inputs!#REF!,CW2&lt;=Inputs!#REF!),0,Inputs!#REF!)</f>
        <v>#REF!</v>
      </c>
      <c r="CX126" s="6" t="e">
        <f>IF(OR(CX2&gt;Inputs!#REF!,CX2&lt;=Inputs!#REF!),0,Inputs!#REF!)</f>
        <v>#REF!</v>
      </c>
      <c r="CY126" s="6" t="e">
        <f>IF(OR(CY2&gt;Inputs!#REF!,CY2&lt;=Inputs!#REF!),0,Inputs!#REF!)</f>
        <v>#REF!</v>
      </c>
      <c r="CZ126" s="6" t="e">
        <f>IF(OR(CZ2&gt;Inputs!#REF!,CZ2&lt;=Inputs!#REF!),0,Inputs!#REF!)</f>
        <v>#REF!</v>
      </c>
      <c r="DA126" s="6" t="e">
        <f>IF(OR(DA2&gt;Inputs!#REF!,DA2&lt;=Inputs!#REF!),0,Inputs!#REF!)</f>
        <v>#REF!</v>
      </c>
      <c r="DB126" s="6" t="e">
        <f>IF(OR(DB2&gt;Inputs!#REF!,DB2&lt;=Inputs!#REF!),0,Inputs!#REF!)</f>
        <v>#REF!</v>
      </c>
      <c r="DC126" s="6" t="e">
        <f>IF(OR(DC2&gt;Inputs!#REF!,DC2&lt;=Inputs!#REF!),0,Inputs!#REF!)</f>
        <v>#REF!</v>
      </c>
      <c r="DD126" s="6" t="e">
        <f>IF(OR(DD2&gt;Inputs!#REF!,DD2&lt;=Inputs!#REF!),0,Inputs!#REF!)</f>
        <v>#REF!</v>
      </c>
      <c r="DE126" s="6" t="e">
        <f>IF(OR(DE2&gt;Inputs!#REF!,DE2&lt;=Inputs!#REF!),0,Inputs!#REF!)</f>
        <v>#REF!</v>
      </c>
      <c r="DF126" s="6" t="e">
        <f>IF(OR(DF2&gt;Inputs!#REF!,DF2&lt;=Inputs!#REF!),0,Inputs!#REF!)</f>
        <v>#REF!</v>
      </c>
      <c r="DG126" s="6" t="e">
        <f>IF(OR(DG2&gt;Inputs!#REF!,DG2&lt;=Inputs!#REF!),0,Inputs!#REF!)</f>
        <v>#REF!</v>
      </c>
      <c r="DH126" s="6" t="e">
        <f>IF(OR(DH2&gt;Inputs!#REF!,DH2&lt;=Inputs!#REF!),0,Inputs!#REF!)</f>
        <v>#REF!</v>
      </c>
      <c r="DI126" s="6" t="e">
        <f>IF(OR(DI2&gt;Inputs!#REF!,DI2&lt;=Inputs!#REF!),0,Inputs!#REF!)</f>
        <v>#REF!</v>
      </c>
      <c r="DJ126" s="6" t="e">
        <f>IF(OR(DJ2&gt;Inputs!#REF!,DJ2&lt;=Inputs!#REF!),0,Inputs!#REF!)</f>
        <v>#REF!</v>
      </c>
      <c r="DK126" s="6" t="e">
        <f>IF(OR(DK2&gt;Inputs!#REF!,DK2&lt;=Inputs!#REF!),0,Inputs!#REF!)</f>
        <v>#REF!</v>
      </c>
      <c r="DL126" s="6" t="e">
        <f>IF(OR(DL2&gt;Inputs!#REF!,DL2&lt;=Inputs!#REF!),0,Inputs!#REF!)</f>
        <v>#REF!</v>
      </c>
      <c r="DM126" s="6" t="e">
        <f>IF(OR(DM2&gt;Inputs!#REF!,DM2&lt;=Inputs!#REF!),0,Inputs!#REF!)</f>
        <v>#REF!</v>
      </c>
      <c r="DN126" s="6" t="e">
        <f>IF(OR(DN2&gt;Inputs!#REF!,DN2&lt;=Inputs!#REF!),0,Inputs!#REF!)</f>
        <v>#REF!</v>
      </c>
      <c r="DO126" s="6" t="e">
        <f>IF(OR(DO2&gt;Inputs!#REF!,DO2&lt;=Inputs!#REF!),0,Inputs!#REF!)</f>
        <v>#REF!</v>
      </c>
      <c r="DP126" s="6" t="e">
        <f>IF(OR(DP2&gt;Inputs!#REF!,DP2&lt;=Inputs!#REF!),0,Inputs!#REF!)</f>
        <v>#REF!</v>
      </c>
      <c r="DQ126" s="6" t="e">
        <f>IF(OR(DQ2&gt;Inputs!#REF!,DQ2&lt;=Inputs!#REF!),0,Inputs!#REF!)</f>
        <v>#REF!</v>
      </c>
      <c r="DR126" s="6" t="e">
        <f>IF(OR(DR2&gt;Inputs!#REF!,DR2&lt;=Inputs!#REF!),0,Inputs!#REF!)</f>
        <v>#REF!</v>
      </c>
      <c r="DS126" s="6" t="e">
        <f>IF(OR(DS2&gt;Inputs!#REF!,DS2&lt;=Inputs!#REF!),0,Inputs!#REF!)</f>
        <v>#REF!</v>
      </c>
      <c r="DT126" s="6" t="e">
        <f>IF(OR(DT2&gt;Inputs!#REF!,DT2&lt;=Inputs!#REF!),0,Inputs!#REF!)</f>
        <v>#REF!</v>
      </c>
      <c r="DU126" s="6" t="e">
        <f>IF(OR(DU2&gt;Inputs!#REF!,DU2&lt;=Inputs!#REF!),0,Inputs!#REF!)</f>
        <v>#REF!</v>
      </c>
      <c r="DV126" s="6" t="e">
        <f>IF(OR(DV2&gt;Inputs!#REF!,DV2&lt;=Inputs!#REF!),0,Inputs!#REF!)</f>
        <v>#REF!</v>
      </c>
      <c r="DW126" s="6" t="e">
        <f>IF(OR(DW2&gt;Inputs!#REF!,DW2&lt;=Inputs!#REF!),0,Inputs!#REF!)</f>
        <v>#REF!</v>
      </c>
      <c r="DX126" s="6" t="e">
        <f>IF(OR(DX2&gt;Inputs!#REF!,DX2&lt;=Inputs!#REF!),0,Inputs!#REF!)</f>
        <v>#REF!</v>
      </c>
      <c r="DY126" s="6" t="e">
        <f>IF(OR(DY2&gt;Inputs!#REF!,DY2&lt;=Inputs!#REF!),0,Inputs!#REF!)</f>
        <v>#REF!</v>
      </c>
      <c r="DZ126" s="6" t="e">
        <f>IF(OR(DZ2&gt;Inputs!#REF!,DZ2&lt;=Inputs!#REF!),0,Inputs!#REF!)</f>
        <v>#REF!</v>
      </c>
      <c r="EA126" s="6" t="e">
        <f>IF(OR(EA2&gt;Inputs!#REF!,EA2&lt;=Inputs!#REF!),0,Inputs!#REF!)</f>
        <v>#REF!</v>
      </c>
      <c r="EB126" s="6" t="e">
        <f>IF(OR(EB2&gt;Inputs!#REF!,EB2&lt;=Inputs!#REF!),0,Inputs!#REF!)</f>
        <v>#REF!</v>
      </c>
      <c r="EC126" s="6" t="e">
        <f>IF(OR(EC2&gt;Inputs!#REF!,EC2&lt;=Inputs!#REF!),0,Inputs!#REF!)</f>
        <v>#REF!</v>
      </c>
      <c r="ED126" s="6" t="e">
        <f>IF(OR(ED2&gt;Inputs!#REF!,ED2&lt;=Inputs!#REF!),0,Inputs!#REF!)</f>
        <v>#REF!</v>
      </c>
      <c r="EE126" s="6" t="e">
        <f>IF(OR(EE2&gt;Inputs!#REF!,EE2&lt;=Inputs!#REF!),0,Inputs!#REF!)</f>
        <v>#REF!</v>
      </c>
      <c r="EF126" s="6" t="e">
        <f>IF(OR(EF2&gt;Inputs!#REF!,EF2&lt;=Inputs!#REF!),0,Inputs!#REF!)</f>
        <v>#REF!</v>
      </c>
      <c r="EG126" s="6" t="e">
        <f>IF(OR(EG2&gt;Inputs!#REF!,EG2&lt;=Inputs!#REF!),0,Inputs!#REF!)</f>
        <v>#REF!</v>
      </c>
      <c r="EH126" s="6" t="e">
        <f>IF(OR(EH2&gt;Inputs!#REF!,EH2&lt;=Inputs!#REF!),0,Inputs!#REF!)</f>
        <v>#REF!</v>
      </c>
      <c r="EI126" s="6" t="e">
        <f>IF(OR(EI2&gt;Inputs!#REF!,EI2&lt;=Inputs!#REF!),0,Inputs!#REF!)</f>
        <v>#REF!</v>
      </c>
      <c r="EJ126" s="6" t="e">
        <f>IF(OR(EJ2&gt;Inputs!#REF!,EJ2&lt;=Inputs!#REF!),0,Inputs!#REF!)</f>
        <v>#REF!</v>
      </c>
      <c r="EK126" s="6" t="e">
        <f>IF(OR(EK2&gt;Inputs!#REF!,EK2&lt;=Inputs!#REF!),0,Inputs!#REF!)</f>
        <v>#REF!</v>
      </c>
      <c r="EL126" s="6" t="e">
        <f>IF(OR(EL2&gt;Inputs!#REF!,EL2&lt;=Inputs!#REF!),0,Inputs!#REF!)</f>
        <v>#REF!</v>
      </c>
      <c r="EM126" s="6" t="e">
        <f>IF(OR(EM2&gt;Inputs!#REF!,EM2&lt;=Inputs!#REF!),0,Inputs!#REF!)</f>
        <v>#REF!</v>
      </c>
      <c r="EN126" s="6" t="e">
        <f>IF(OR(EN2&gt;Inputs!#REF!,EN2&lt;=Inputs!#REF!),0,Inputs!#REF!)</f>
        <v>#REF!</v>
      </c>
      <c r="EO126" s="6" t="e">
        <f>IF(OR(EO2&gt;Inputs!#REF!,EO2&lt;=Inputs!#REF!),0,Inputs!#REF!)</f>
        <v>#REF!</v>
      </c>
      <c r="EP126" s="6" t="e">
        <f>IF(OR(EP2&gt;Inputs!#REF!,EP2&lt;=Inputs!#REF!),0,Inputs!#REF!)</f>
        <v>#REF!</v>
      </c>
      <c r="EQ126" s="6" t="e">
        <f>IF(OR(EQ2&gt;Inputs!#REF!,EQ2&lt;=Inputs!#REF!),0,Inputs!#REF!)</f>
        <v>#REF!</v>
      </c>
      <c r="ER126" s="6" t="e">
        <f>IF(OR(ER2&gt;Inputs!#REF!,ER2&lt;=Inputs!#REF!),0,Inputs!#REF!)</f>
        <v>#REF!</v>
      </c>
      <c r="ES126" s="6" t="e">
        <f>IF(OR(ES2&gt;Inputs!#REF!,ES2&lt;=Inputs!#REF!),0,Inputs!#REF!)</f>
        <v>#REF!</v>
      </c>
      <c r="ET126" s="6" t="e">
        <f>IF(OR(ET2&gt;Inputs!#REF!,ET2&lt;=Inputs!#REF!),0,Inputs!#REF!)</f>
        <v>#REF!</v>
      </c>
      <c r="EU126" s="6" t="e">
        <f>IF(OR(EU2&gt;Inputs!#REF!,EU2&lt;=Inputs!#REF!),0,Inputs!#REF!)</f>
        <v>#REF!</v>
      </c>
      <c r="EV126" s="6" t="e">
        <f>IF(OR(EV2&gt;Inputs!#REF!,EV2&lt;=Inputs!#REF!),0,Inputs!#REF!)</f>
        <v>#REF!</v>
      </c>
      <c r="EW126" s="6" t="e">
        <f>IF(OR(EW2&gt;Inputs!#REF!,EW2&lt;=Inputs!#REF!),0,Inputs!#REF!)</f>
        <v>#REF!</v>
      </c>
      <c r="EX126" s="6" t="e">
        <f>IF(OR(EX2&gt;Inputs!#REF!,EX2&lt;=Inputs!#REF!),0,Inputs!#REF!)</f>
        <v>#REF!</v>
      </c>
      <c r="EY126" s="6" t="e">
        <f>IF(OR(EY2&gt;Inputs!#REF!,EY2&lt;=Inputs!#REF!),0,Inputs!#REF!)</f>
        <v>#REF!</v>
      </c>
      <c r="EZ126" s="6" t="e">
        <f>IF(OR(EZ2&gt;Inputs!#REF!,EZ2&lt;=Inputs!#REF!),0,Inputs!#REF!)</f>
        <v>#REF!</v>
      </c>
      <c r="FA126" s="6" t="e">
        <f>IF(OR(FA2&gt;Inputs!#REF!,FA2&lt;=Inputs!#REF!),0,Inputs!#REF!)</f>
        <v>#REF!</v>
      </c>
      <c r="FB126" s="6" t="e">
        <f>IF(OR(FB2&gt;Inputs!#REF!,FB2&lt;=Inputs!#REF!),0,Inputs!#REF!)</f>
        <v>#REF!</v>
      </c>
      <c r="FC126" s="6" t="e">
        <f>IF(OR(FC2&gt;Inputs!#REF!,FC2&lt;=Inputs!#REF!),0,Inputs!#REF!)</f>
        <v>#REF!</v>
      </c>
      <c r="FD126" s="6" t="e">
        <f>IF(OR(FD2&gt;Inputs!#REF!,FD2&lt;=Inputs!#REF!),0,Inputs!#REF!)</f>
        <v>#REF!</v>
      </c>
      <c r="FE126" s="6" t="e">
        <f>IF(OR(FE2&gt;Inputs!#REF!,FE2&lt;=Inputs!#REF!),0,Inputs!#REF!)</f>
        <v>#REF!</v>
      </c>
      <c r="FF126" s="6" t="e">
        <f>IF(OR(FF2&gt;Inputs!#REF!,FF2&lt;=Inputs!#REF!),0,Inputs!#REF!)</f>
        <v>#REF!</v>
      </c>
      <c r="FG126" s="6" t="e">
        <f>IF(OR(FG2&gt;Inputs!#REF!,FG2&lt;=Inputs!#REF!),0,Inputs!#REF!)</f>
        <v>#REF!</v>
      </c>
      <c r="FH126" s="6" t="e">
        <f>IF(OR(FH2&gt;Inputs!#REF!,FH2&lt;=Inputs!#REF!),0,Inputs!#REF!)</f>
        <v>#REF!</v>
      </c>
      <c r="FI126" s="6" t="e">
        <f>IF(OR(FI2&gt;Inputs!#REF!,FI2&lt;=Inputs!#REF!),0,Inputs!#REF!)</f>
        <v>#REF!</v>
      </c>
      <c r="FJ126" s="6" t="e">
        <f>IF(OR(FJ2&gt;Inputs!#REF!,FJ2&lt;=Inputs!#REF!),0,Inputs!#REF!)</f>
        <v>#REF!</v>
      </c>
      <c r="FK126" s="6" t="e">
        <f>IF(OR(FK2&gt;Inputs!#REF!,FK2&lt;=Inputs!#REF!),0,Inputs!#REF!)</f>
        <v>#REF!</v>
      </c>
      <c r="FL126" s="6" t="e">
        <f>IF(OR(FL2&gt;Inputs!#REF!,FL2&lt;=Inputs!#REF!),0,Inputs!#REF!)</f>
        <v>#REF!</v>
      </c>
      <c r="FM126" s="6" t="e">
        <f>IF(OR(FM2&gt;Inputs!#REF!,FM2&lt;=Inputs!#REF!),0,Inputs!#REF!)</f>
        <v>#REF!</v>
      </c>
      <c r="FN126" s="6" t="e">
        <f>IF(OR(FN2&gt;Inputs!#REF!,FN2&lt;=Inputs!#REF!),0,Inputs!#REF!)</f>
        <v>#REF!</v>
      </c>
      <c r="FO126" s="6" t="e">
        <f>IF(OR(FO2&gt;Inputs!#REF!,FO2&lt;=Inputs!#REF!),0,Inputs!#REF!)</f>
        <v>#REF!</v>
      </c>
      <c r="FP126" s="6" t="e">
        <f>IF(OR(FP2&gt;Inputs!#REF!,FP2&lt;=Inputs!#REF!),0,Inputs!#REF!)</f>
        <v>#REF!</v>
      </c>
      <c r="FQ126" s="6" t="e">
        <f>IF(OR(FQ2&gt;Inputs!#REF!,FQ2&lt;=Inputs!#REF!),0,Inputs!#REF!)</f>
        <v>#REF!</v>
      </c>
      <c r="FR126" s="6" t="e">
        <f>IF(OR(FR2&gt;Inputs!#REF!,FR2&lt;=Inputs!#REF!),0,Inputs!#REF!)</f>
        <v>#REF!</v>
      </c>
      <c r="FS126" s="6" t="e">
        <f>IF(OR(FS2&gt;Inputs!#REF!,FS2&lt;=Inputs!#REF!),0,Inputs!#REF!)</f>
        <v>#REF!</v>
      </c>
      <c r="FT126" s="6" t="e">
        <f>IF(OR(FT2&gt;Inputs!#REF!,FT2&lt;=Inputs!#REF!),0,Inputs!#REF!)</f>
        <v>#REF!</v>
      </c>
      <c r="FU126" s="6" t="e">
        <f>IF(OR(FU2&gt;Inputs!#REF!,FU2&lt;=Inputs!#REF!),0,Inputs!#REF!)</f>
        <v>#REF!</v>
      </c>
      <c r="FV126" s="6" t="e">
        <f>IF(OR(FV2&gt;Inputs!#REF!,FV2&lt;=Inputs!#REF!),0,Inputs!#REF!)</f>
        <v>#REF!</v>
      </c>
      <c r="FW126" s="6" t="e">
        <f>IF(OR(FW2&gt;Inputs!#REF!,FW2&lt;=Inputs!#REF!),0,Inputs!#REF!)</f>
        <v>#REF!</v>
      </c>
      <c r="FX126" s="6" t="e">
        <f>IF(OR(FX2&gt;Inputs!#REF!,FX2&lt;=Inputs!#REF!),0,Inputs!#REF!)</f>
        <v>#REF!</v>
      </c>
      <c r="FY126" s="6" t="e">
        <f>IF(OR(FY2&gt;Inputs!#REF!,FY2&lt;=Inputs!#REF!),0,Inputs!#REF!)</f>
        <v>#REF!</v>
      </c>
      <c r="FZ126" s="6" t="e">
        <f>IF(OR(FZ2&gt;Inputs!#REF!,FZ2&lt;=Inputs!#REF!),0,Inputs!#REF!)</f>
        <v>#REF!</v>
      </c>
      <c r="GA126" s="6" t="e">
        <f>IF(OR(GA2&gt;Inputs!#REF!,GA2&lt;=Inputs!#REF!),0,Inputs!#REF!)</f>
        <v>#REF!</v>
      </c>
      <c r="GB126" s="6" t="e">
        <f>IF(OR(GB2&gt;Inputs!#REF!,GB2&lt;=Inputs!#REF!),0,Inputs!#REF!)</f>
        <v>#REF!</v>
      </c>
      <c r="GC126" s="6" t="e">
        <f>IF(OR(GC2&gt;Inputs!#REF!,GC2&lt;=Inputs!#REF!),0,Inputs!#REF!)</f>
        <v>#REF!</v>
      </c>
      <c r="GD126" s="6" t="e">
        <f>IF(OR(GD2&gt;Inputs!#REF!,GD2&lt;=Inputs!#REF!),0,Inputs!#REF!)</f>
        <v>#REF!</v>
      </c>
      <c r="GE126" s="6" t="e">
        <f>IF(OR(GE2&gt;Inputs!#REF!,GE2&lt;=Inputs!#REF!),0,Inputs!#REF!)</f>
        <v>#REF!</v>
      </c>
      <c r="GF126" s="6" t="e">
        <f>IF(OR(GF2&gt;Inputs!#REF!,GF2&lt;=Inputs!#REF!),0,Inputs!#REF!)</f>
        <v>#REF!</v>
      </c>
      <c r="GG126" s="6" t="e">
        <f>IF(OR(GG2&gt;Inputs!#REF!,GG2&lt;=Inputs!#REF!),0,Inputs!#REF!)</f>
        <v>#REF!</v>
      </c>
      <c r="GH126" s="6" t="e">
        <f>IF(OR(GH2&gt;Inputs!#REF!,GH2&lt;=Inputs!#REF!),0,Inputs!#REF!)</f>
        <v>#REF!</v>
      </c>
      <c r="GI126" s="6" t="e">
        <f>IF(OR(GI2&gt;Inputs!#REF!,GI2&lt;=Inputs!#REF!),0,Inputs!#REF!)</f>
        <v>#REF!</v>
      </c>
      <c r="GJ126" s="6" t="e">
        <f>IF(OR(GJ2&gt;Inputs!#REF!,GJ2&lt;=Inputs!#REF!),0,Inputs!#REF!)</f>
        <v>#REF!</v>
      </c>
      <c r="GK126" s="6" t="e">
        <f>IF(OR(GK2&gt;Inputs!#REF!,GK2&lt;=Inputs!#REF!),0,Inputs!#REF!)</f>
        <v>#REF!</v>
      </c>
      <c r="GL126" s="6" t="e">
        <f>IF(OR(GL2&gt;Inputs!#REF!,GL2&lt;=Inputs!#REF!),0,Inputs!#REF!)</f>
        <v>#REF!</v>
      </c>
      <c r="GM126" s="6" t="e">
        <f>IF(OR(GM2&gt;Inputs!#REF!,GM2&lt;=Inputs!#REF!),0,Inputs!#REF!)</f>
        <v>#REF!</v>
      </c>
      <c r="GN126" s="6" t="e">
        <f>IF(OR(GN2&gt;Inputs!#REF!,GN2&lt;=Inputs!#REF!),0,Inputs!#REF!)</f>
        <v>#REF!</v>
      </c>
      <c r="GO126" s="6" t="e">
        <f>IF(OR(GO2&gt;Inputs!#REF!,GO2&lt;=Inputs!#REF!),0,Inputs!#REF!)</f>
        <v>#REF!</v>
      </c>
      <c r="GP126" s="6" t="e">
        <f>IF(OR(GP2&gt;Inputs!#REF!,GP2&lt;=Inputs!#REF!),0,Inputs!#REF!)</f>
        <v>#REF!</v>
      </c>
      <c r="GQ126" s="6" t="e">
        <f>IF(OR(GQ2&gt;Inputs!#REF!,GQ2&lt;=Inputs!#REF!),0,Inputs!#REF!)</f>
        <v>#REF!</v>
      </c>
      <c r="GR126" s="6" t="e">
        <f>IF(OR(GR2&gt;Inputs!#REF!,GR2&lt;=Inputs!#REF!),0,Inputs!#REF!)</f>
        <v>#REF!</v>
      </c>
      <c r="GS126" s="6" t="e">
        <f>IF(OR(GS2&gt;Inputs!#REF!,GS2&lt;=Inputs!#REF!),0,Inputs!#REF!)</f>
        <v>#REF!</v>
      </c>
      <c r="GT126" s="6" t="e">
        <f>IF(OR(GT2&gt;Inputs!#REF!,GT2&lt;=Inputs!#REF!),0,Inputs!#REF!)</f>
        <v>#REF!</v>
      </c>
      <c r="GU126" s="6" t="e">
        <f>IF(OR(GU2&gt;Inputs!#REF!,GU2&lt;=Inputs!#REF!),0,Inputs!#REF!)</f>
        <v>#REF!</v>
      </c>
      <c r="GV126" s="6" t="e">
        <f>IF(OR(GV2&gt;Inputs!#REF!,GV2&lt;=Inputs!#REF!),0,Inputs!#REF!)</f>
        <v>#REF!</v>
      </c>
      <c r="GW126" s="6" t="e">
        <f>IF(OR(GW2&gt;Inputs!#REF!,GW2&lt;=Inputs!#REF!),0,Inputs!#REF!)</f>
        <v>#REF!</v>
      </c>
      <c r="GX126" s="6" t="e">
        <f>IF(OR(GX2&gt;Inputs!#REF!,GX2&lt;=Inputs!#REF!),0,Inputs!#REF!)</f>
        <v>#REF!</v>
      </c>
      <c r="GY126" s="6" t="e">
        <f>IF(OR(GY2&gt;Inputs!#REF!,GY2&lt;=Inputs!#REF!),0,Inputs!#REF!)</f>
        <v>#REF!</v>
      </c>
      <c r="GZ126" s="6" t="e">
        <f>IF(OR(GZ2&gt;Inputs!#REF!,GZ2&lt;=Inputs!#REF!),0,Inputs!#REF!)</f>
        <v>#REF!</v>
      </c>
      <c r="HA126" s="6" t="e">
        <f>IF(OR(HA2&gt;Inputs!#REF!,HA2&lt;=Inputs!#REF!),0,Inputs!#REF!)</f>
        <v>#REF!</v>
      </c>
      <c r="HB126" s="6" t="e">
        <f>IF(OR(HB2&gt;Inputs!#REF!,HB2&lt;=Inputs!#REF!),0,Inputs!#REF!)</f>
        <v>#REF!</v>
      </c>
      <c r="HC126" s="6" t="e">
        <f>IF(OR(HC2&gt;Inputs!#REF!,HC2&lt;=Inputs!#REF!),0,Inputs!#REF!)</f>
        <v>#REF!</v>
      </c>
      <c r="HD126" s="6" t="e">
        <f>IF(OR(HD2&gt;Inputs!#REF!,HD2&lt;=Inputs!#REF!),0,Inputs!#REF!)</f>
        <v>#REF!</v>
      </c>
      <c r="HE126" s="6" t="e">
        <f>IF(OR(HE2&gt;Inputs!#REF!,HE2&lt;=Inputs!#REF!),0,Inputs!#REF!)</f>
        <v>#REF!</v>
      </c>
      <c r="HF126" s="6" t="e">
        <f>IF(OR(HF2&gt;Inputs!#REF!,HF2&lt;=Inputs!#REF!),0,Inputs!#REF!)</f>
        <v>#REF!</v>
      </c>
      <c r="HG126" s="6" t="e">
        <f>IF(OR(HG2&gt;Inputs!#REF!,HG2&lt;=Inputs!#REF!),0,Inputs!#REF!)</f>
        <v>#REF!</v>
      </c>
      <c r="HH126" s="6" t="e">
        <f>IF(OR(HH2&gt;Inputs!#REF!,HH2&lt;=Inputs!#REF!),0,Inputs!#REF!)</f>
        <v>#REF!</v>
      </c>
      <c r="HI126" s="6" t="e">
        <f>IF(OR(HI2&gt;Inputs!#REF!,HI2&lt;=Inputs!#REF!),0,Inputs!#REF!)</f>
        <v>#REF!</v>
      </c>
      <c r="HJ126" s="6" t="e">
        <f>IF(OR(HJ2&gt;Inputs!#REF!,HJ2&lt;=Inputs!#REF!),0,Inputs!#REF!)</f>
        <v>#REF!</v>
      </c>
      <c r="HK126" s="6" t="e">
        <f>IF(OR(HK2&gt;Inputs!#REF!,HK2&lt;=Inputs!#REF!),0,Inputs!#REF!)</f>
        <v>#REF!</v>
      </c>
      <c r="HL126" s="6" t="e">
        <f>IF(OR(HL2&gt;Inputs!#REF!,HL2&lt;=Inputs!#REF!),0,Inputs!#REF!)</f>
        <v>#REF!</v>
      </c>
      <c r="HM126" s="6" t="e">
        <f>IF(OR(HM2&gt;Inputs!#REF!,HM2&lt;=Inputs!#REF!),0,Inputs!#REF!)</f>
        <v>#REF!</v>
      </c>
      <c r="HN126" s="6" t="e">
        <f>IF(OR(HN2&gt;Inputs!#REF!,HN2&lt;=Inputs!#REF!),0,Inputs!#REF!)</f>
        <v>#REF!</v>
      </c>
      <c r="HO126" s="6" t="e">
        <f>IF(OR(HO2&gt;Inputs!#REF!,HO2&lt;=Inputs!#REF!),0,Inputs!#REF!)</f>
        <v>#REF!</v>
      </c>
      <c r="HP126" s="6" t="e">
        <f>IF(OR(HP2&gt;Inputs!#REF!,HP2&lt;=Inputs!#REF!),0,Inputs!#REF!)</f>
        <v>#REF!</v>
      </c>
      <c r="HQ126" s="6" t="e">
        <f>IF(OR(HQ2&gt;Inputs!#REF!,HQ2&lt;=Inputs!#REF!),0,Inputs!#REF!)</f>
        <v>#REF!</v>
      </c>
      <c r="HR126" s="6" t="e">
        <f>IF(OR(HR2&gt;Inputs!#REF!,HR2&lt;=Inputs!#REF!),0,Inputs!#REF!)</f>
        <v>#REF!</v>
      </c>
      <c r="HS126" s="6" t="e">
        <f>IF(OR(HS2&gt;Inputs!#REF!,HS2&lt;=Inputs!#REF!),0,Inputs!#REF!)</f>
        <v>#REF!</v>
      </c>
      <c r="HT126" s="6" t="e">
        <f>IF(OR(HT2&gt;Inputs!#REF!,HT2&lt;=Inputs!#REF!),0,Inputs!#REF!)</f>
        <v>#REF!</v>
      </c>
      <c r="HU126" s="6" t="e">
        <f>IF(OR(HU2&gt;Inputs!#REF!,HU2&lt;=Inputs!#REF!),0,Inputs!#REF!)</f>
        <v>#REF!</v>
      </c>
      <c r="HV126" s="6" t="e">
        <f>IF(OR(HV2&gt;Inputs!#REF!,HV2&lt;=Inputs!#REF!),0,Inputs!#REF!)</f>
        <v>#REF!</v>
      </c>
      <c r="HW126" s="6" t="e">
        <f>IF(OR(HW2&gt;Inputs!#REF!,HW2&lt;=Inputs!#REF!),0,Inputs!#REF!)</f>
        <v>#REF!</v>
      </c>
      <c r="HX126" s="6" t="e">
        <f>IF(OR(HX2&gt;Inputs!#REF!,HX2&lt;=Inputs!#REF!),0,Inputs!#REF!)</f>
        <v>#REF!</v>
      </c>
      <c r="HY126" s="6" t="e">
        <f>IF(OR(HY2&gt;Inputs!#REF!,HY2&lt;=Inputs!#REF!),0,Inputs!#REF!)</f>
        <v>#REF!</v>
      </c>
      <c r="HZ126" s="6" t="e">
        <f>IF(OR(HZ2&gt;Inputs!#REF!,HZ2&lt;=Inputs!#REF!),0,Inputs!#REF!)</f>
        <v>#REF!</v>
      </c>
      <c r="IA126" s="6" t="e">
        <f>IF(OR(IA2&gt;Inputs!#REF!,IA2&lt;=Inputs!#REF!),0,Inputs!#REF!)</f>
        <v>#REF!</v>
      </c>
      <c r="IB126" s="6" t="e">
        <f>IF(OR(IB2&gt;Inputs!#REF!,IB2&lt;=Inputs!#REF!),0,Inputs!#REF!)</f>
        <v>#REF!</v>
      </c>
      <c r="IC126" s="6" t="e">
        <f>IF(OR(IC2&gt;Inputs!#REF!,IC2&lt;=Inputs!#REF!),0,Inputs!#REF!)</f>
        <v>#REF!</v>
      </c>
      <c r="ID126" s="6" t="e">
        <f>IF(OR(ID2&gt;Inputs!#REF!,ID2&lt;=Inputs!#REF!),0,Inputs!#REF!)</f>
        <v>#REF!</v>
      </c>
      <c r="IE126" s="6" t="e">
        <f>IF(OR(IE2&gt;Inputs!#REF!,IE2&lt;=Inputs!#REF!),0,Inputs!#REF!)</f>
        <v>#REF!</v>
      </c>
      <c r="IF126" s="6" t="e">
        <f>IF(OR(IF2&gt;Inputs!#REF!,IF2&lt;=Inputs!#REF!),0,Inputs!#REF!)</f>
        <v>#REF!</v>
      </c>
      <c r="IG126" s="6" t="e">
        <f>IF(OR(IG2&gt;Inputs!#REF!,IG2&lt;=Inputs!#REF!),0,Inputs!#REF!)</f>
        <v>#REF!</v>
      </c>
      <c r="IH126" s="6" t="e">
        <f>IF(OR(IH2&gt;Inputs!#REF!,IH2&lt;=Inputs!#REF!),0,Inputs!#REF!)</f>
        <v>#REF!</v>
      </c>
      <c r="II126" s="6" t="e">
        <f>IF(OR(II2&gt;Inputs!#REF!,II2&lt;=Inputs!#REF!),0,Inputs!#REF!)</f>
        <v>#REF!</v>
      </c>
      <c r="IJ126" s="6" t="e">
        <f>IF(OR(IJ2&gt;Inputs!#REF!,IJ2&lt;=Inputs!#REF!),0,Inputs!#REF!)</f>
        <v>#REF!</v>
      </c>
      <c r="IK126" s="6" t="e">
        <f>IF(OR(IK2&gt;Inputs!#REF!,IK2&lt;=Inputs!#REF!),0,Inputs!#REF!)</f>
        <v>#REF!</v>
      </c>
      <c r="IL126" s="6" t="e">
        <f>IF(OR(IL2&gt;Inputs!#REF!,IL2&lt;=Inputs!#REF!),0,Inputs!#REF!)</f>
        <v>#REF!</v>
      </c>
      <c r="IM126" s="6" t="e">
        <f>IF(OR(IM2&gt;Inputs!#REF!,IM2&lt;=Inputs!#REF!),0,Inputs!#REF!)</f>
        <v>#REF!</v>
      </c>
      <c r="IN126" s="6" t="e">
        <f>IF(OR(IN2&gt;Inputs!#REF!,IN2&lt;=Inputs!#REF!),0,Inputs!#REF!)</f>
        <v>#REF!</v>
      </c>
      <c r="IO126" s="6" t="e">
        <f>IF(OR(IO2&gt;Inputs!#REF!,IO2&lt;=Inputs!#REF!),0,Inputs!#REF!)</f>
        <v>#REF!</v>
      </c>
      <c r="IP126" s="6" t="e">
        <f>IF(OR(IP2&gt;Inputs!#REF!,IP2&lt;=Inputs!#REF!),0,Inputs!#REF!)</f>
        <v>#REF!</v>
      </c>
      <c r="IQ126" s="6" t="e">
        <f>IF(OR(IQ2&gt;Inputs!#REF!,IQ2&lt;=Inputs!#REF!),0,Inputs!#REF!)</f>
        <v>#REF!</v>
      </c>
      <c r="IR126" s="6" t="e">
        <f>IF(OR(IR2&gt;Inputs!#REF!,IR2&lt;=Inputs!#REF!),0,Inputs!#REF!)</f>
        <v>#REF!</v>
      </c>
      <c r="IS126" s="6" t="e">
        <f>IF(OR(IS2&gt;Inputs!#REF!,IS2&lt;=Inputs!#REF!),0,Inputs!#REF!)</f>
        <v>#REF!</v>
      </c>
      <c r="IT126" s="6" t="e">
        <f>IF(OR(IT2&gt;Inputs!#REF!,IT2&lt;=Inputs!#REF!),0,Inputs!#REF!)</f>
        <v>#REF!</v>
      </c>
      <c r="IU126" s="6" t="e">
        <f>IF(OR(IU2&gt;Inputs!#REF!,IU2&lt;=Inputs!#REF!),0,Inputs!#REF!)</f>
        <v>#REF!</v>
      </c>
      <c r="IV126" s="6" t="e">
        <f>IF(OR(IV2&gt;Inputs!#REF!,IV2&lt;=Inputs!#REF!),0,Inputs!#REF!)</f>
        <v>#REF!</v>
      </c>
      <c r="IW126" s="6" t="e">
        <f>IF(OR(IW2&gt;Inputs!#REF!,IW2&lt;=Inputs!#REF!),0,Inputs!#REF!)</f>
        <v>#REF!</v>
      </c>
      <c r="IX126" s="6" t="e">
        <f>IF(OR(IX2&gt;Inputs!#REF!,IX2&lt;=Inputs!#REF!),0,Inputs!#REF!)</f>
        <v>#REF!</v>
      </c>
      <c r="IY126" s="6" t="e">
        <f>IF(OR(IY2&gt;Inputs!#REF!,IY2&lt;=Inputs!#REF!),0,Inputs!#REF!)</f>
        <v>#REF!</v>
      </c>
      <c r="IZ126" s="6" t="e">
        <f>IF(OR(IZ2&gt;Inputs!#REF!,IZ2&lt;=Inputs!#REF!),0,Inputs!#REF!)</f>
        <v>#REF!</v>
      </c>
      <c r="JA126" s="6" t="e">
        <f>IF(OR(JA2&gt;Inputs!#REF!,JA2&lt;=Inputs!#REF!),0,Inputs!#REF!)</f>
        <v>#REF!</v>
      </c>
      <c r="JB126" s="6" t="e">
        <f>IF(OR(JB2&gt;Inputs!#REF!,JB2&lt;=Inputs!#REF!),0,Inputs!#REF!)</f>
        <v>#REF!</v>
      </c>
      <c r="JC126" s="6" t="e">
        <f>IF(OR(JC2&gt;Inputs!#REF!,JC2&lt;=Inputs!#REF!),0,Inputs!#REF!)</f>
        <v>#REF!</v>
      </c>
      <c r="JD126" s="6" t="e">
        <f>IF(OR(JD2&gt;Inputs!#REF!,JD2&lt;=Inputs!#REF!),0,Inputs!#REF!)</f>
        <v>#REF!</v>
      </c>
      <c r="JE126" s="6" t="e">
        <f>IF(OR(JE2&gt;Inputs!#REF!,JE2&lt;=Inputs!#REF!),0,Inputs!#REF!)</f>
        <v>#REF!</v>
      </c>
      <c r="JF126" s="6" t="e">
        <f>IF(OR(JF2&gt;Inputs!#REF!,JF2&lt;=Inputs!#REF!),0,Inputs!#REF!)</f>
        <v>#REF!</v>
      </c>
      <c r="JG126" s="6" t="e">
        <f>IF(OR(JG2&gt;Inputs!#REF!,JG2&lt;=Inputs!#REF!),0,Inputs!#REF!)</f>
        <v>#REF!</v>
      </c>
      <c r="JH126" s="6" t="e">
        <f>IF(OR(JH2&gt;Inputs!#REF!,JH2&lt;=Inputs!#REF!),0,Inputs!#REF!)</f>
        <v>#REF!</v>
      </c>
      <c r="JI126" s="6" t="e">
        <f>IF(OR(JI2&gt;Inputs!#REF!,JI2&lt;=Inputs!#REF!),0,Inputs!#REF!)</f>
        <v>#REF!</v>
      </c>
      <c r="JJ126" s="6" t="e">
        <f>IF(OR(JJ2&gt;Inputs!#REF!,JJ2&lt;=Inputs!#REF!),0,Inputs!#REF!)</f>
        <v>#REF!</v>
      </c>
      <c r="JK126" s="6" t="e">
        <f>IF(OR(JK2&gt;Inputs!#REF!,JK2&lt;=Inputs!#REF!),0,Inputs!#REF!)</f>
        <v>#REF!</v>
      </c>
      <c r="JL126" s="6" t="e">
        <f>IF(OR(JL2&gt;Inputs!#REF!,JL2&lt;=Inputs!#REF!),0,Inputs!#REF!)</f>
        <v>#REF!</v>
      </c>
      <c r="JM126" s="6" t="e">
        <f>IF(OR(JM2&gt;Inputs!#REF!,JM2&lt;=Inputs!#REF!),0,Inputs!#REF!)</f>
        <v>#REF!</v>
      </c>
      <c r="JN126" s="6" t="e">
        <f>IF(OR(JN2&gt;Inputs!#REF!,JN2&lt;=Inputs!#REF!),0,Inputs!#REF!)</f>
        <v>#REF!</v>
      </c>
      <c r="JO126" s="6" t="e">
        <f>IF(OR(JO2&gt;Inputs!#REF!,JO2&lt;=Inputs!#REF!),0,Inputs!#REF!)</f>
        <v>#REF!</v>
      </c>
      <c r="JP126" s="6" t="e">
        <f>IF(OR(JP2&gt;Inputs!#REF!,JP2&lt;=Inputs!#REF!),0,Inputs!#REF!)</f>
        <v>#REF!</v>
      </c>
      <c r="JQ126" s="6" t="e">
        <f>IF(OR(JQ2&gt;Inputs!#REF!,JQ2&lt;=Inputs!#REF!),0,Inputs!#REF!)</f>
        <v>#REF!</v>
      </c>
      <c r="JR126" s="6" t="e">
        <f>IF(OR(JR2&gt;Inputs!#REF!,JR2&lt;=Inputs!#REF!),0,Inputs!#REF!)</f>
        <v>#REF!</v>
      </c>
      <c r="JS126" s="6" t="e">
        <f>IF(OR(JS2&gt;Inputs!#REF!,JS2&lt;=Inputs!#REF!),0,Inputs!#REF!)</f>
        <v>#REF!</v>
      </c>
      <c r="JT126" s="6" t="e">
        <f>IF(OR(JT2&gt;Inputs!#REF!,JT2&lt;=Inputs!#REF!),0,Inputs!#REF!)</f>
        <v>#REF!</v>
      </c>
      <c r="JU126" s="6" t="e">
        <f>IF(OR(JU2&gt;Inputs!#REF!,JU2&lt;=Inputs!#REF!),0,Inputs!#REF!)</f>
        <v>#REF!</v>
      </c>
      <c r="JV126" s="6" t="e">
        <f>IF(OR(JV2&gt;Inputs!#REF!,JV2&lt;=Inputs!#REF!),0,Inputs!#REF!)</f>
        <v>#REF!</v>
      </c>
      <c r="JW126" s="6" t="e">
        <f>IF(OR(JW2&gt;Inputs!#REF!,JW2&lt;=Inputs!#REF!),0,Inputs!#REF!)</f>
        <v>#REF!</v>
      </c>
      <c r="JX126" s="6" t="e">
        <f>IF(OR(JX2&gt;Inputs!#REF!,JX2&lt;=Inputs!#REF!),0,Inputs!#REF!)</f>
        <v>#REF!</v>
      </c>
      <c r="JY126" s="6" t="e">
        <f>IF(OR(JY2&gt;Inputs!#REF!,JY2&lt;=Inputs!#REF!),0,Inputs!#REF!)</f>
        <v>#REF!</v>
      </c>
      <c r="JZ126" s="6" t="e">
        <f>IF(OR(JZ2&gt;Inputs!#REF!,JZ2&lt;=Inputs!#REF!),0,Inputs!#REF!)</f>
        <v>#REF!</v>
      </c>
      <c r="KA126" s="6" t="e">
        <f>IF(OR(KA2&gt;Inputs!#REF!,KA2&lt;=Inputs!#REF!),0,Inputs!#REF!)</f>
        <v>#REF!</v>
      </c>
      <c r="KB126" s="6" t="e">
        <f>IF(OR(KB2&gt;Inputs!#REF!,KB2&lt;=Inputs!#REF!),0,Inputs!#REF!)</f>
        <v>#REF!</v>
      </c>
      <c r="KC126" s="6" t="e">
        <f>IF(OR(KC2&gt;Inputs!#REF!,KC2&lt;=Inputs!#REF!),0,Inputs!#REF!)</f>
        <v>#REF!</v>
      </c>
      <c r="KD126" s="6" t="e">
        <f>IF(OR(KD2&gt;Inputs!#REF!,KD2&lt;=Inputs!#REF!),0,Inputs!#REF!)</f>
        <v>#REF!</v>
      </c>
      <c r="KE126" s="6" t="e">
        <f>IF(OR(KE2&gt;Inputs!#REF!,KE2&lt;=Inputs!#REF!),0,Inputs!#REF!)</f>
        <v>#REF!</v>
      </c>
      <c r="KF126" s="6" t="e">
        <f>IF(OR(KF2&gt;Inputs!#REF!,KF2&lt;=Inputs!#REF!),0,Inputs!#REF!)</f>
        <v>#REF!</v>
      </c>
      <c r="KG126" s="6" t="e">
        <f>IF(OR(KG2&gt;Inputs!#REF!,KG2&lt;=Inputs!#REF!),0,Inputs!#REF!)</f>
        <v>#REF!</v>
      </c>
      <c r="KH126" s="6" t="e">
        <f>IF(OR(KH2&gt;Inputs!#REF!,KH2&lt;=Inputs!#REF!),0,Inputs!#REF!)</f>
        <v>#REF!</v>
      </c>
      <c r="KI126" s="6" t="e">
        <f>IF(OR(KI2&gt;Inputs!#REF!,KI2&lt;=Inputs!#REF!),0,Inputs!#REF!)</f>
        <v>#REF!</v>
      </c>
      <c r="KJ126" s="6" t="e">
        <f>IF(OR(KJ2&gt;Inputs!#REF!,KJ2&lt;=Inputs!#REF!),0,Inputs!#REF!)</f>
        <v>#REF!</v>
      </c>
      <c r="KK126" s="6" t="e">
        <f>IF(OR(KK2&gt;Inputs!#REF!,KK2&lt;=Inputs!#REF!),0,Inputs!#REF!)</f>
        <v>#REF!</v>
      </c>
      <c r="KL126" s="6" t="e">
        <f>IF(OR(KL2&gt;Inputs!#REF!,KL2&lt;=Inputs!#REF!),0,Inputs!#REF!)</f>
        <v>#REF!</v>
      </c>
      <c r="KM126" s="6" t="e">
        <f>IF(OR(KM2&gt;Inputs!#REF!,KM2&lt;=Inputs!#REF!),0,Inputs!#REF!)</f>
        <v>#REF!</v>
      </c>
      <c r="KN126" s="6" t="e">
        <f>IF(OR(KN2&gt;Inputs!#REF!,KN2&lt;=Inputs!#REF!),0,Inputs!#REF!)</f>
        <v>#REF!</v>
      </c>
      <c r="KO126" s="6" t="e">
        <f>IF(OR(KO2&gt;Inputs!#REF!,KO2&lt;=Inputs!#REF!),0,Inputs!#REF!)</f>
        <v>#REF!</v>
      </c>
      <c r="KP126" s="6" t="e">
        <f>IF(OR(KP2&gt;Inputs!#REF!,KP2&lt;=Inputs!#REF!),0,Inputs!#REF!)</f>
        <v>#REF!</v>
      </c>
      <c r="KQ126" s="6" t="e">
        <f>IF(OR(KQ2&gt;Inputs!#REF!,KQ2&lt;=Inputs!#REF!),0,Inputs!#REF!)</f>
        <v>#REF!</v>
      </c>
      <c r="KR126" s="6" t="e">
        <f>IF(OR(KR2&gt;Inputs!#REF!,KR2&lt;=Inputs!#REF!),0,Inputs!#REF!)</f>
        <v>#REF!</v>
      </c>
      <c r="KS126" s="6" t="e">
        <f>IF(OR(KS2&gt;Inputs!#REF!,KS2&lt;=Inputs!#REF!),0,Inputs!#REF!)</f>
        <v>#REF!</v>
      </c>
    </row>
    <row r="127" spans="2:305" s="6" customFormat="1" outlineLevel="1">
      <c r="B127" t="s">
        <v>46</v>
      </c>
      <c r="C127"/>
      <c r="D127"/>
      <c r="E127" s="6" t="e">
        <f>-_xlfn.XLOOKUP(E2,Inputs!#REF!,Inputs!#REF!,0,0)+IF(D128&lt;0,D128,0)</f>
        <v>#REF!</v>
      </c>
      <c r="F127" s="6" t="e">
        <f>-_xlfn.XLOOKUP(F2,Inputs!#REF!,Inputs!#REF!,0,0)+IF(E128&lt;0,E128,0)</f>
        <v>#REF!</v>
      </c>
      <c r="G127" s="6" t="e">
        <f>-_xlfn.XLOOKUP(G2,Inputs!#REF!,Inputs!#REF!,0,0)+IF(F128&lt;0,F128,0)</f>
        <v>#REF!</v>
      </c>
      <c r="H127" s="6" t="e">
        <f>-_xlfn.XLOOKUP(H2,Inputs!#REF!,Inputs!#REF!,0,0)+IF(G128&lt;0,G128,0)</f>
        <v>#REF!</v>
      </c>
      <c r="I127" s="6" t="e">
        <f>-_xlfn.XLOOKUP(I2,Inputs!#REF!,Inputs!#REF!,0,0)+IF(H128&lt;0,H128,0)</f>
        <v>#REF!</v>
      </c>
      <c r="J127" s="6" t="e">
        <f>-_xlfn.XLOOKUP(J2,Inputs!#REF!,Inputs!#REF!,0,0)+IF(I128&lt;0,I128,0)</f>
        <v>#REF!</v>
      </c>
      <c r="K127" s="6" t="e">
        <f>-_xlfn.XLOOKUP(K2,Inputs!#REF!,Inputs!#REF!,0,0)+IF(J128&lt;0,J128,0)</f>
        <v>#REF!</v>
      </c>
      <c r="L127" s="6" t="e">
        <f>-_xlfn.XLOOKUP(L2,Inputs!#REF!,Inputs!#REF!,0,0)+IF(K128&lt;0,K128,0)</f>
        <v>#REF!</v>
      </c>
      <c r="M127" s="6" t="e">
        <f>-_xlfn.XLOOKUP(M2,Inputs!#REF!,Inputs!#REF!,0,0)+IF(L128&lt;0,L128,0)</f>
        <v>#REF!</v>
      </c>
      <c r="N127" s="6" t="e">
        <f>-_xlfn.XLOOKUP(N2,Inputs!#REF!,Inputs!#REF!,0,0)+IF(M128&lt;0,M128,0)</f>
        <v>#REF!</v>
      </c>
      <c r="O127" s="6" t="e">
        <f>-_xlfn.XLOOKUP(O2,Inputs!#REF!,Inputs!#REF!,0,0)+IF(N128&lt;0,N128,0)</f>
        <v>#REF!</v>
      </c>
      <c r="P127" s="6" t="e">
        <f>-_xlfn.XLOOKUP(P2,Inputs!#REF!,Inputs!#REF!,0,0)+IF(O128&lt;0,O128,0)</f>
        <v>#REF!</v>
      </c>
      <c r="Q127" s="6" t="e">
        <f>-_xlfn.XLOOKUP(Q2,Inputs!#REF!,Inputs!#REF!,0,0)+IF(P128&lt;0,P128,0)</f>
        <v>#REF!</v>
      </c>
      <c r="R127" s="6" t="e">
        <f>-_xlfn.XLOOKUP(R2,Inputs!#REF!,Inputs!#REF!,0,0)+IF(Q128&lt;0,Q128,0)</f>
        <v>#REF!</v>
      </c>
      <c r="S127" s="6" t="e">
        <f>-_xlfn.XLOOKUP(S2,Inputs!#REF!,Inputs!#REF!,0,0)+IF(R128&lt;0,R128,0)</f>
        <v>#REF!</v>
      </c>
      <c r="T127" s="6" t="e">
        <f>-_xlfn.XLOOKUP(T2,Inputs!#REF!,Inputs!#REF!,0,0)+IF(S128&lt;0,S128,0)</f>
        <v>#REF!</v>
      </c>
      <c r="U127" s="6" t="e">
        <f>-_xlfn.XLOOKUP(U2,Inputs!#REF!,Inputs!#REF!,0,0)+IF(T128&lt;0,T128,0)</f>
        <v>#REF!</v>
      </c>
      <c r="V127" s="6" t="e">
        <f>-_xlfn.XLOOKUP(V2,Inputs!#REF!,Inputs!#REF!,0,0)+IF(U128&lt;0,U128,0)</f>
        <v>#REF!</v>
      </c>
      <c r="W127" s="6" t="e">
        <f>-_xlfn.XLOOKUP(W2,Inputs!#REF!,Inputs!#REF!,0,0)+IF(V128&lt;0,V128,0)</f>
        <v>#REF!</v>
      </c>
      <c r="X127" s="6" t="e">
        <f>-_xlfn.XLOOKUP(X2,Inputs!#REF!,Inputs!#REF!,0,0)+IF(W128&lt;0,W128,0)</f>
        <v>#REF!</v>
      </c>
      <c r="Y127" s="6" t="e">
        <f>-_xlfn.XLOOKUP(Y2,Inputs!#REF!,Inputs!#REF!,0,0)+IF(X128&lt;0,X128,0)</f>
        <v>#REF!</v>
      </c>
      <c r="Z127" s="6" t="e">
        <f>-_xlfn.XLOOKUP(Z2,Inputs!#REF!,Inputs!#REF!,0,0)+IF(Y128&lt;0,Y128,0)</f>
        <v>#REF!</v>
      </c>
      <c r="AA127" s="6" t="e">
        <f>-_xlfn.XLOOKUP(AA2,Inputs!#REF!,Inputs!#REF!,0,0)+IF(Z128&lt;0,Z128,0)</f>
        <v>#REF!</v>
      </c>
      <c r="AB127" s="6" t="e">
        <f>-_xlfn.XLOOKUP(AB2,Inputs!#REF!,Inputs!#REF!,0,0)+IF(AA128&lt;0,AA128,0)</f>
        <v>#REF!</v>
      </c>
      <c r="AC127" s="6" t="e">
        <f>-_xlfn.XLOOKUP(AC2,Inputs!#REF!,Inputs!#REF!,0,0)+IF(AB128&lt;0,AB128,0)</f>
        <v>#REF!</v>
      </c>
      <c r="AD127" s="6" t="e">
        <f>-_xlfn.XLOOKUP(AD2,Inputs!#REF!,Inputs!#REF!,0,0)+IF(AC128&lt;0,AC128,0)</f>
        <v>#REF!</v>
      </c>
      <c r="AE127" s="6" t="e">
        <f>-_xlfn.XLOOKUP(AE2,Inputs!#REF!,Inputs!#REF!,0,0)+IF(AD128&lt;0,AD128,0)</f>
        <v>#REF!</v>
      </c>
      <c r="AF127" s="6" t="e">
        <f>-_xlfn.XLOOKUP(AF2,Inputs!#REF!,Inputs!#REF!,0,0)+IF(AE128&lt;0,AE128,0)</f>
        <v>#REF!</v>
      </c>
      <c r="AG127" s="6" t="e">
        <f>-_xlfn.XLOOKUP(AG2,Inputs!#REF!,Inputs!#REF!,0,0)+IF(AF128&lt;0,AF128,0)</f>
        <v>#REF!</v>
      </c>
      <c r="AH127" s="6" t="e">
        <f>-_xlfn.XLOOKUP(AH2,Inputs!#REF!,Inputs!#REF!,0,0)+IF(AG128&lt;0,AG128,0)</f>
        <v>#REF!</v>
      </c>
      <c r="AI127" s="6" t="e">
        <f>-_xlfn.XLOOKUP(AI2,Inputs!#REF!,Inputs!#REF!,0,0)+IF(AH128&lt;0,AH128,0)</f>
        <v>#REF!</v>
      </c>
      <c r="AJ127" s="6" t="e">
        <f>-_xlfn.XLOOKUP(AJ2,Inputs!#REF!,Inputs!#REF!,0,0)+IF(AI128&lt;0,AI128,0)</f>
        <v>#REF!</v>
      </c>
      <c r="AK127" s="6" t="e">
        <f>-_xlfn.XLOOKUP(AK2,Inputs!#REF!,Inputs!#REF!,0,0)+IF(AJ128&lt;0,AJ128,0)</f>
        <v>#REF!</v>
      </c>
      <c r="AL127" s="6" t="e">
        <f>-_xlfn.XLOOKUP(AL2,Inputs!#REF!,Inputs!#REF!,0,0)+IF(AK128&lt;0,AK128,0)</f>
        <v>#REF!</v>
      </c>
      <c r="AM127" s="6" t="e">
        <f>-_xlfn.XLOOKUP(AM2,Inputs!#REF!,Inputs!#REF!,0,0)+IF(AL128&lt;0,AL128,0)</f>
        <v>#REF!</v>
      </c>
      <c r="AN127" s="6" t="e">
        <f>-_xlfn.XLOOKUP(AN2,Inputs!#REF!,Inputs!#REF!,0,0)+IF(AM128&lt;0,AM128,0)</f>
        <v>#REF!</v>
      </c>
      <c r="AO127" s="6" t="e">
        <f>-_xlfn.XLOOKUP(AO2,Inputs!#REF!,Inputs!#REF!,0,0)+IF(AN128&lt;0,AN128,0)</f>
        <v>#REF!</v>
      </c>
      <c r="AP127" s="6" t="e">
        <f>-_xlfn.XLOOKUP(AP2,Inputs!#REF!,Inputs!#REF!,0,0)+IF(AO128&lt;0,AO128,0)</f>
        <v>#REF!</v>
      </c>
      <c r="AQ127" s="6" t="e">
        <f>-_xlfn.XLOOKUP(AQ2,Inputs!#REF!,Inputs!#REF!,0,0)+IF(AP128&lt;0,AP128,0)</f>
        <v>#REF!</v>
      </c>
      <c r="AR127" s="6" t="e">
        <f>-_xlfn.XLOOKUP(AR2,Inputs!#REF!,Inputs!#REF!,0,0)+IF(AQ128&lt;0,AQ128,0)</f>
        <v>#REF!</v>
      </c>
      <c r="AS127" s="6" t="e">
        <f>-_xlfn.XLOOKUP(AS2,Inputs!#REF!,Inputs!#REF!,0,0)+IF(AR128&lt;0,AR128,0)</f>
        <v>#REF!</v>
      </c>
      <c r="AT127" s="6" t="e">
        <f>-_xlfn.XLOOKUP(AT2,Inputs!#REF!,Inputs!#REF!,0,0)+IF(AS128&lt;0,AS128,0)</f>
        <v>#REF!</v>
      </c>
      <c r="AU127" s="6" t="e">
        <f>-_xlfn.XLOOKUP(AU2,Inputs!#REF!,Inputs!#REF!,0,0)+IF(AT128&lt;0,AT128,0)</f>
        <v>#REF!</v>
      </c>
      <c r="AV127" s="6" t="e">
        <f>-_xlfn.XLOOKUP(AV2,Inputs!#REF!,Inputs!#REF!,0,0)+IF(AU128&lt;0,AU128,0)</f>
        <v>#REF!</v>
      </c>
      <c r="AW127" s="6" t="e">
        <f>-_xlfn.XLOOKUP(AW2,Inputs!#REF!,Inputs!#REF!,0,0)+IF(AV128&lt;0,AV128,0)</f>
        <v>#REF!</v>
      </c>
      <c r="AX127" s="6" t="e">
        <f>-_xlfn.XLOOKUP(AX2,Inputs!#REF!,Inputs!#REF!,0,0)+IF(AW128&lt;0,AW128,0)</f>
        <v>#REF!</v>
      </c>
      <c r="AY127" s="6" t="e">
        <f>-_xlfn.XLOOKUP(AY2,Inputs!#REF!,Inputs!#REF!,0,0)+IF(AX128&lt;0,AX128,0)</f>
        <v>#REF!</v>
      </c>
      <c r="AZ127" s="6" t="e">
        <f>-_xlfn.XLOOKUP(AZ2,Inputs!#REF!,Inputs!#REF!,0,0)+IF(AY128&lt;0,AY128,0)</f>
        <v>#REF!</v>
      </c>
      <c r="BA127" s="6" t="e">
        <f>-_xlfn.XLOOKUP(BA2,Inputs!#REF!,Inputs!#REF!,0,0)+IF(AZ128&lt;0,AZ128,0)</f>
        <v>#REF!</v>
      </c>
      <c r="BB127" s="6" t="e">
        <f>-_xlfn.XLOOKUP(BB2,Inputs!#REF!,Inputs!#REF!,0,0)+IF(BA128&lt;0,BA128,0)</f>
        <v>#REF!</v>
      </c>
      <c r="BC127" s="6" t="e">
        <f>-_xlfn.XLOOKUP(BC2,Inputs!#REF!,Inputs!#REF!,0,0)+IF(BB128&lt;0,BB128,0)</f>
        <v>#REF!</v>
      </c>
      <c r="BD127" s="6" t="e">
        <f>-_xlfn.XLOOKUP(BD2,Inputs!#REF!,Inputs!#REF!,0,0)+IF(BC128&lt;0,BC128,0)</f>
        <v>#REF!</v>
      </c>
      <c r="BE127" s="6" t="e">
        <f>-_xlfn.XLOOKUP(BE2,Inputs!#REF!,Inputs!#REF!,0,0)+IF(BD128&lt;0,BD128,0)</f>
        <v>#REF!</v>
      </c>
      <c r="BF127" s="6" t="e">
        <f>-_xlfn.XLOOKUP(BF2,Inputs!#REF!,Inputs!#REF!,0,0)+IF(BE128&lt;0,BE128,0)</f>
        <v>#REF!</v>
      </c>
      <c r="BG127" s="6" t="e">
        <f>-_xlfn.XLOOKUP(BG2,Inputs!#REF!,Inputs!#REF!,0,0)+IF(BF128&lt;0,BF128,0)</f>
        <v>#REF!</v>
      </c>
      <c r="BH127" s="6" t="e">
        <f>-_xlfn.XLOOKUP(BH2,Inputs!#REF!,Inputs!#REF!,0,0)+IF(BG128&lt;0,BG128,0)</f>
        <v>#REF!</v>
      </c>
      <c r="BI127" s="6" t="e">
        <f>-_xlfn.XLOOKUP(BI2,Inputs!#REF!,Inputs!#REF!,0,0)+IF(BH128&lt;0,BH128,0)</f>
        <v>#REF!</v>
      </c>
      <c r="BJ127" s="6" t="e">
        <f>-_xlfn.XLOOKUP(BJ2,Inputs!#REF!,Inputs!#REF!,0,0)+IF(BI128&lt;0,BI128,0)</f>
        <v>#REF!</v>
      </c>
      <c r="BK127" s="6" t="e">
        <f>-_xlfn.XLOOKUP(BK2,Inputs!#REF!,Inputs!#REF!,0,0)+IF(BJ128&lt;0,BJ128,0)</f>
        <v>#REF!</v>
      </c>
      <c r="BL127" s="6" t="e">
        <f>-_xlfn.XLOOKUP(BL2,Inputs!#REF!,Inputs!#REF!,0,0)+IF(BK128&lt;0,BK128,0)</f>
        <v>#REF!</v>
      </c>
      <c r="BM127" s="6" t="e">
        <f>-_xlfn.XLOOKUP(BM2,Inputs!#REF!,Inputs!#REF!,0,0)+IF(BL128&lt;0,BL128,0)</f>
        <v>#REF!</v>
      </c>
      <c r="BN127" s="6" t="e">
        <f>-_xlfn.XLOOKUP(BN2,Inputs!#REF!,Inputs!#REF!,0,0)+IF(BM128&lt;0,BM128,0)</f>
        <v>#REF!</v>
      </c>
      <c r="BO127" s="6" t="e">
        <f>-_xlfn.XLOOKUP(BO2,Inputs!#REF!,Inputs!#REF!,0,0)+IF(BN128&lt;0,BN128,0)</f>
        <v>#REF!</v>
      </c>
      <c r="BP127" s="6" t="e">
        <f>-_xlfn.XLOOKUP(BP2,Inputs!#REF!,Inputs!#REF!,0,0)+IF(BO128&lt;0,BO128,0)</f>
        <v>#REF!</v>
      </c>
      <c r="BQ127" s="6" t="e">
        <f>-_xlfn.XLOOKUP(BQ2,Inputs!#REF!,Inputs!#REF!,0,0)+IF(BP128&lt;0,BP128,0)</f>
        <v>#REF!</v>
      </c>
      <c r="BR127" s="6" t="e">
        <f>-_xlfn.XLOOKUP(BR2,Inputs!#REF!,Inputs!#REF!,0,0)+IF(BQ128&lt;0,BQ128,0)</f>
        <v>#REF!</v>
      </c>
      <c r="BS127" s="6" t="e">
        <f>-_xlfn.XLOOKUP(BS2,Inputs!#REF!,Inputs!#REF!,0,0)+IF(BR128&lt;0,BR128,0)</f>
        <v>#REF!</v>
      </c>
      <c r="BT127" s="6" t="e">
        <f>-_xlfn.XLOOKUP(BT2,Inputs!#REF!,Inputs!#REF!,0,0)+IF(BS128&lt;0,BS128,0)</f>
        <v>#REF!</v>
      </c>
      <c r="BU127" s="6" t="e">
        <f>-_xlfn.XLOOKUP(BU2,Inputs!#REF!,Inputs!#REF!,0,0)+IF(BT128&lt;0,BT128,0)</f>
        <v>#REF!</v>
      </c>
      <c r="BV127" s="6" t="e">
        <f>-_xlfn.XLOOKUP(BV2,Inputs!#REF!,Inputs!#REF!,0,0)+IF(BU128&lt;0,BU128,0)</f>
        <v>#REF!</v>
      </c>
      <c r="BW127" s="6" t="e">
        <f>-_xlfn.XLOOKUP(BW2,Inputs!#REF!,Inputs!#REF!,0,0)+IF(BV128&lt;0,BV128,0)</f>
        <v>#REF!</v>
      </c>
      <c r="BX127" s="6" t="e">
        <f>-_xlfn.XLOOKUP(BX2,Inputs!#REF!,Inputs!#REF!,0,0)+IF(BW128&lt;0,BW128,0)</f>
        <v>#REF!</v>
      </c>
      <c r="BY127" s="6" t="e">
        <f>-_xlfn.XLOOKUP(BY2,Inputs!#REF!,Inputs!#REF!,0,0)+IF(BX128&lt;0,BX128,0)</f>
        <v>#REF!</v>
      </c>
      <c r="BZ127" s="6" t="e">
        <f>-_xlfn.XLOOKUP(BZ2,Inputs!#REF!,Inputs!#REF!,0,0)+IF(BY128&lt;0,BY128,0)</f>
        <v>#REF!</v>
      </c>
      <c r="CA127" s="6" t="e">
        <f>-_xlfn.XLOOKUP(CA2,Inputs!#REF!,Inputs!#REF!,0,0)+IF(BZ128&lt;0,BZ128,0)</f>
        <v>#REF!</v>
      </c>
      <c r="CB127" s="6" t="e">
        <f>-_xlfn.XLOOKUP(CB2,Inputs!#REF!,Inputs!#REF!,0,0)+IF(CA128&lt;0,CA128,0)</f>
        <v>#REF!</v>
      </c>
      <c r="CC127" s="6" t="e">
        <f>-_xlfn.XLOOKUP(CC2,Inputs!#REF!,Inputs!#REF!,0,0)+IF(CB128&lt;0,CB128,0)</f>
        <v>#REF!</v>
      </c>
      <c r="CD127" s="6" t="e">
        <f>-_xlfn.XLOOKUP(CD2,Inputs!#REF!,Inputs!#REF!,0,0)+IF(CC128&lt;0,CC128,0)</f>
        <v>#REF!</v>
      </c>
      <c r="CE127" s="6" t="e">
        <f>-_xlfn.XLOOKUP(CE2,Inputs!#REF!,Inputs!#REF!,0,0)+IF(CD128&lt;0,CD128,0)</f>
        <v>#REF!</v>
      </c>
      <c r="CF127" s="6" t="e">
        <f>-_xlfn.XLOOKUP(CF2,Inputs!#REF!,Inputs!#REF!,0,0)+IF(CE128&lt;0,CE128,0)</f>
        <v>#REF!</v>
      </c>
      <c r="CG127" s="6" t="e">
        <f>-_xlfn.XLOOKUP(CG2,Inputs!#REF!,Inputs!#REF!,0,0)+IF(CF128&lt;0,CF128,0)</f>
        <v>#REF!</v>
      </c>
      <c r="CH127" s="6" t="e">
        <f>-_xlfn.XLOOKUP(CH2,Inputs!#REF!,Inputs!#REF!,0,0)+IF(CG128&lt;0,CG128,0)</f>
        <v>#REF!</v>
      </c>
      <c r="CI127" s="6" t="e">
        <f>-_xlfn.XLOOKUP(CI2,Inputs!#REF!,Inputs!#REF!,0,0)+IF(CH128&lt;0,CH128,0)</f>
        <v>#REF!</v>
      </c>
      <c r="CJ127" s="6" t="e">
        <f>-_xlfn.XLOOKUP(CJ2,Inputs!#REF!,Inputs!#REF!,0,0)+IF(CI128&lt;0,CI128,0)</f>
        <v>#REF!</v>
      </c>
      <c r="CK127" s="6" t="e">
        <f>-_xlfn.XLOOKUP(CK2,Inputs!#REF!,Inputs!#REF!,0,0)+IF(CJ128&lt;0,CJ128,0)</f>
        <v>#REF!</v>
      </c>
      <c r="CL127" s="6" t="e">
        <f>-_xlfn.XLOOKUP(CL2,Inputs!#REF!,Inputs!#REF!,0,0)+IF(CK128&lt;0,CK128,0)</f>
        <v>#REF!</v>
      </c>
      <c r="CM127" s="6" t="e">
        <f>-_xlfn.XLOOKUP(CM2,Inputs!#REF!,Inputs!#REF!,0,0)+IF(CL128&lt;0,CL128,0)</f>
        <v>#REF!</v>
      </c>
      <c r="CN127" s="6" t="e">
        <f>-_xlfn.XLOOKUP(CN2,Inputs!#REF!,Inputs!#REF!,0,0)+IF(CM128&lt;0,CM128,0)</f>
        <v>#REF!</v>
      </c>
      <c r="CO127" s="6" t="e">
        <f>-_xlfn.XLOOKUP(CO2,Inputs!#REF!,Inputs!#REF!,0,0)+IF(CN128&lt;0,CN128,0)</f>
        <v>#REF!</v>
      </c>
      <c r="CP127" s="6" t="e">
        <f>-_xlfn.XLOOKUP(CP2,Inputs!#REF!,Inputs!#REF!,0,0)+IF(CO128&lt;0,CO128,0)</f>
        <v>#REF!</v>
      </c>
      <c r="CQ127" s="6" t="e">
        <f>-_xlfn.XLOOKUP(CQ2,Inputs!#REF!,Inputs!#REF!,0,0)+IF(CP128&lt;0,CP128,0)</f>
        <v>#REF!</v>
      </c>
      <c r="CR127" s="6" t="e">
        <f>-_xlfn.XLOOKUP(CR2,Inputs!#REF!,Inputs!#REF!,0,0)+IF(CQ128&lt;0,CQ128,0)</f>
        <v>#REF!</v>
      </c>
      <c r="CS127" s="6" t="e">
        <f>-_xlfn.XLOOKUP(CS2,Inputs!#REF!,Inputs!#REF!,0,0)+IF(CR128&lt;0,CR128,0)</f>
        <v>#REF!</v>
      </c>
      <c r="CT127" s="6" t="e">
        <f>-_xlfn.XLOOKUP(CT2,Inputs!#REF!,Inputs!#REF!,0,0)+IF(CS128&lt;0,CS128,0)</f>
        <v>#REF!</v>
      </c>
      <c r="CU127" s="6" t="e">
        <f>-_xlfn.XLOOKUP(CU2,Inputs!#REF!,Inputs!#REF!,0,0)+IF(CT128&lt;0,CT128,0)</f>
        <v>#REF!</v>
      </c>
      <c r="CV127" s="6" t="e">
        <f>-_xlfn.XLOOKUP(CV2,Inputs!#REF!,Inputs!#REF!,0,0)+IF(CU128&lt;0,CU128,0)</f>
        <v>#REF!</v>
      </c>
      <c r="CW127" s="6" t="e">
        <f>-_xlfn.XLOOKUP(CW2,Inputs!#REF!,Inputs!#REF!,0,0)+IF(CV128&lt;0,CV128,0)</f>
        <v>#REF!</v>
      </c>
      <c r="CX127" s="6" t="e">
        <f>-_xlfn.XLOOKUP(CX2,Inputs!#REF!,Inputs!#REF!,0,0)+IF(CW128&lt;0,CW128,0)</f>
        <v>#REF!</v>
      </c>
      <c r="CY127" s="6" t="e">
        <f>-_xlfn.XLOOKUP(CY2,Inputs!#REF!,Inputs!#REF!,0,0)+IF(CX128&lt;0,CX128,0)</f>
        <v>#REF!</v>
      </c>
      <c r="CZ127" s="6" t="e">
        <f>-_xlfn.XLOOKUP(CZ2,Inputs!#REF!,Inputs!#REF!,0,0)+IF(CY128&lt;0,CY128,0)</f>
        <v>#REF!</v>
      </c>
      <c r="DA127" s="6" t="e">
        <f>-_xlfn.XLOOKUP(DA2,Inputs!#REF!,Inputs!#REF!,0,0)+IF(CZ128&lt;0,CZ128,0)</f>
        <v>#REF!</v>
      </c>
      <c r="DB127" s="6" t="e">
        <f>-_xlfn.XLOOKUP(DB2,Inputs!#REF!,Inputs!#REF!,0,0)+IF(DA128&lt;0,DA128,0)</f>
        <v>#REF!</v>
      </c>
      <c r="DC127" s="6" t="e">
        <f>-_xlfn.XLOOKUP(DC2,Inputs!#REF!,Inputs!#REF!,0,0)+IF(DB128&lt;0,DB128,0)</f>
        <v>#REF!</v>
      </c>
      <c r="DD127" s="6" t="e">
        <f>-_xlfn.XLOOKUP(DD2,Inputs!#REF!,Inputs!#REF!,0,0)+IF(DC128&lt;0,DC128,0)</f>
        <v>#REF!</v>
      </c>
      <c r="DE127" s="6" t="e">
        <f>-_xlfn.XLOOKUP(DE2,Inputs!#REF!,Inputs!#REF!,0,0)+IF(DD128&lt;0,DD128,0)</f>
        <v>#REF!</v>
      </c>
      <c r="DF127" s="6" t="e">
        <f>-_xlfn.XLOOKUP(DF2,Inputs!#REF!,Inputs!#REF!,0,0)+IF(DE128&lt;0,DE128,0)</f>
        <v>#REF!</v>
      </c>
      <c r="DG127" s="6" t="e">
        <f>-_xlfn.XLOOKUP(DG2,Inputs!#REF!,Inputs!#REF!,0,0)+IF(DF128&lt;0,DF128,0)</f>
        <v>#REF!</v>
      </c>
      <c r="DH127" s="6" t="e">
        <f>-_xlfn.XLOOKUP(DH2,Inputs!#REF!,Inputs!#REF!,0,0)+IF(DG128&lt;0,DG128,0)</f>
        <v>#REF!</v>
      </c>
      <c r="DI127" s="6" t="e">
        <f>-_xlfn.XLOOKUP(DI2,Inputs!#REF!,Inputs!#REF!,0,0)+IF(DH128&lt;0,DH128,0)</f>
        <v>#REF!</v>
      </c>
      <c r="DJ127" s="6" t="e">
        <f>-_xlfn.XLOOKUP(DJ2,Inputs!#REF!,Inputs!#REF!,0,0)+IF(DI128&lt;0,DI128,0)</f>
        <v>#REF!</v>
      </c>
      <c r="DK127" s="6" t="e">
        <f>-_xlfn.XLOOKUP(DK2,Inputs!#REF!,Inputs!#REF!,0,0)+IF(DJ128&lt;0,DJ128,0)</f>
        <v>#REF!</v>
      </c>
      <c r="DL127" s="6" t="e">
        <f>-_xlfn.XLOOKUP(DL2,Inputs!#REF!,Inputs!#REF!,0,0)+IF(DK128&lt;0,DK128,0)</f>
        <v>#REF!</v>
      </c>
      <c r="DM127" s="6" t="e">
        <f>-_xlfn.XLOOKUP(DM2,Inputs!#REF!,Inputs!#REF!,0,0)+IF(DL128&lt;0,DL128,0)</f>
        <v>#REF!</v>
      </c>
      <c r="DN127" s="6" t="e">
        <f>-_xlfn.XLOOKUP(DN2,Inputs!#REF!,Inputs!#REF!,0,0)+IF(DM128&lt;0,DM128,0)</f>
        <v>#REF!</v>
      </c>
      <c r="DO127" s="6" t="e">
        <f>-_xlfn.XLOOKUP(DO2,Inputs!#REF!,Inputs!#REF!,0,0)+IF(DN128&lt;0,DN128,0)</f>
        <v>#REF!</v>
      </c>
      <c r="DP127" s="6" t="e">
        <f>-_xlfn.XLOOKUP(DP2,Inputs!#REF!,Inputs!#REF!,0,0)+IF(DO128&lt;0,DO128,0)</f>
        <v>#REF!</v>
      </c>
      <c r="DQ127" s="6" t="e">
        <f>-_xlfn.XLOOKUP(DQ2,Inputs!#REF!,Inputs!#REF!,0,0)+IF(DP128&lt;0,DP128,0)</f>
        <v>#REF!</v>
      </c>
      <c r="DR127" s="6" t="e">
        <f>-_xlfn.XLOOKUP(DR2,Inputs!#REF!,Inputs!#REF!,0,0)+IF(DQ128&lt;0,DQ128,0)</f>
        <v>#REF!</v>
      </c>
      <c r="DS127" s="6" t="e">
        <f>-_xlfn.XLOOKUP(DS2,Inputs!#REF!,Inputs!#REF!,0,0)+IF(DR128&lt;0,DR128,0)</f>
        <v>#REF!</v>
      </c>
      <c r="DT127" s="6" t="e">
        <f>-_xlfn.XLOOKUP(DT2,Inputs!#REF!,Inputs!#REF!,0,0)+IF(DS128&lt;0,DS128,0)</f>
        <v>#REF!</v>
      </c>
      <c r="DU127" s="6" t="e">
        <f>-_xlfn.XLOOKUP(DU2,Inputs!#REF!,Inputs!#REF!,0,0)+IF(DT128&lt;0,DT128,0)</f>
        <v>#REF!</v>
      </c>
      <c r="DV127" s="6" t="e">
        <f>-_xlfn.XLOOKUP(DV2,Inputs!#REF!,Inputs!#REF!,0,0)+IF(DU128&lt;0,DU128,0)</f>
        <v>#REF!</v>
      </c>
      <c r="DW127" s="6" t="e">
        <f>-_xlfn.XLOOKUP(DW2,Inputs!#REF!,Inputs!#REF!,0,0)+IF(DV128&lt;0,DV128,0)</f>
        <v>#REF!</v>
      </c>
      <c r="DX127" s="6" t="e">
        <f>-_xlfn.XLOOKUP(DX2,Inputs!#REF!,Inputs!#REF!,0,0)+IF(DW128&lt;0,DW128,0)</f>
        <v>#REF!</v>
      </c>
      <c r="DY127" s="6" t="e">
        <f>-_xlfn.XLOOKUP(DY2,Inputs!#REF!,Inputs!#REF!,0,0)+IF(DX128&lt;0,DX128,0)</f>
        <v>#REF!</v>
      </c>
      <c r="DZ127" s="6" t="e">
        <f>-_xlfn.XLOOKUP(DZ2,Inputs!#REF!,Inputs!#REF!,0,0)+IF(DY128&lt;0,DY128,0)</f>
        <v>#REF!</v>
      </c>
      <c r="EA127" s="6" t="e">
        <f>-_xlfn.XLOOKUP(EA2,Inputs!#REF!,Inputs!#REF!,0,0)+IF(DZ128&lt;0,DZ128,0)</f>
        <v>#REF!</v>
      </c>
      <c r="EB127" s="6" t="e">
        <f>-_xlfn.XLOOKUP(EB2,Inputs!#REF!,Inputs!#REF!,0,0)+IF(EA128&lt;0,EA128,0)</f>
        <v>#REF!</v>
      </c>
      <c r="EC127" s="6" t="e">
        <f>-_xlfn.XLOOKUP(EC2,Inputs!#REF!,Inputs!#REF!,0,0)+IF(EB128&lt;0,EB128,0)</f>
        <v>#REF!</v>
      </c>
      <c r="ED127" s="6" t="e">
        <f>-_xlfn.XLOOKUP(ED2,Inputs!#REF!,Inputs!#REF!,0,0)+IF(EC128&lt;0,EC128,0)</f>
        <v>#REF!</v>
      </c>
      <c r="EE127" s="6" t="e">
        <f>-_xlfn.XLOOKUP(EE2,Inputs!#REF!,Inputs!#REF!,0,0)+IF(ED128&lt;0,ED128,0)</f>
        <v>#REF!</v>
      </c>
      <c r="EF127" s="6" t="e">
        <f>-_xlfn.XLOOKUP(EF2,Inputs!#REF!,Inputs!#REF!,0,0)+IF(EE128&lt;0,EE128,0)</f>
        <v>#REF!</v>
      </c>
      <c r="EG127" s="6" t="e">
        <f>-_xlfn.XLOOKUP(EG2,Inputs!#REF!,Inputs!#REF!,0,0)+IF(EF128&lt;0,EF128,0)</f>
        <v>#REF!</v>
      </c>
      <c r="EH127" s="6" t="e">
        <f>-_xlfn.XLOOKUP(EH2,Inputs!#REF!,Inputs!#REF!,0,0)+IF(EG128&lt;0,EG128,0)</f>
        <v>#REF!</v>
      </c>
      <c r="EI127" s="6" t="e">
        <f>-_xlfn.XLOOKUP(EI2,Inputs!#REF!,Inputs!#REF!,0,0)+IF(EH128&lt;0,EH128,0)</f>
        <v>#REF!</v>
      </c>
      <c r="EJ127" s="6" t="e">
        <f>-_xlfn.XLOOKUP(EJ2,Inputs!#REF!,Inputs!#REF!,0,0)+IF(EI128&lt;0,EI128,0)</f>
        <v>#REF!</v>
      </c>
      <c r="EK127" s="6" t="e">
        <f>-_xlfn.XLOOKUP(EK2,Inputs!#REF!,Inputs!#REF!,0,0)+IF(EJ128&lt;0,EJ128,0)</f>
        <v>#REF!</v>
      </c>
      <c r="EL127" s="6" t="e">
        <f>-_xlfn.XLOOKUP(EL2,Inputs!#REF!,Inputs!#REF!,0,0)+IF(EK128&lt;0,EK128,0)</f>
        <v>#REF!</v>
      </c>
      <c r="EM127" s="6" t="e">
        <f>-_xlfn.XLOOKUP(EM2,Inputs!#REF!,Inputs!#REF!,0,0)+IF(EL128&lt;0,EL128,0)</f>
        <v>#REF!</v>
      </c>
      <c r="EN127" s="6" t="e">
        <f>-_xlfn.XLOOKUP(EN2,Inputs!#REF!,Inputs!#REF!,0,0)+IF(EM128&lt;0,EM128,0)</f>
        <v>#REF!</v>
      </c>
      <c r="EO127" s="6" t="e">
        <f>-_xlfn.XLOOKUP(EO2,Inputs!#REF!,Inputs!#REF!,0,0)+IF(EN128&lt;0,EN128,0)</f>
        <v>#REF!</v>
      </c>
      <c r="EP127" s="6" t="e">
        <f>-_xlfn.XLOOKUP(EP2,Inputs!#REF!,Inputs!#REF!,0,0)+IF(EO128&lt;0,EO128,0)</f>
        <v>#REF!</v>
      </c>
      <c r="EQ127" s="6" t="e">
        <f>-_xlfn.XLOOKUP(EQ2,Inputs!#REF!,Inputs!#REF!,0,0)+IF(EP128&lt;0,EP128,0)</f>
        <v>#REF!</v>
      </c>
      <c r="ER127" s="6" t="e">
        <f>-_xlfn.XLOOKUP(ER2,Inputs!#REF!,Inputs!#REF!,0,0)+IF(EQ128&lt;0,EQ128,0)</f>
        <v>#REF!</v>
      </c>
      <c r="ES127" s="6" t="e">
        <f>-_xlfn.XLOOKUP(ES2,Inputs!#REF!,Inputs!#REF!,0,0)+IF(ER128&lt;0,ER128,0)</f>
        <v>#REF!</v>
      </c>
      <c r="ET127" s="6" t="e">
        <f>-_xlfn.XLOOKUP(ET2,Inputs!#REF!,Inputs!#REF!,0,0)+IF(ES128&lt;0,ES128,0)</f>
        <v>#REF!</v>
      </c>
      <c r="EU127" s="6" t="e">
        <f>-_xlfn.XLOOKUP(EU2,Inputs!#REF!,Inputs!#REF!,0,0)+IF(ET128&lt;0,ET128,0)</f>
        <v>#REF!</v>
      </c>
      <c r="EV127" s="6" t="e">
        <f>-_xlfn.XLOOKUP(EV2,Inputs!#REF!,Inputs!#REF!,0,0)+IF(EU128&lt;0,EU128,0)</f>
        <v>#REF!</v>
      </c>
      <c r="EW127" s="6" t="e">
        <f>-_xlfn.XLOOKUP(EW2,Inputs!#REF!,Inputs!#REF!,0,0)+IF(EV128&lt;0,EV128,0)</f>
        <v>#REF!</v>
      </c>
      <c r="EX127" s="6" t="e">
        <f>-_xlfn.XLOOKUP(EX2,Inputs!#REF!,Inputs!#REF!,0,0)+IF(EW128&lt;0,EW128,0)</f>
        <v>#REF!</v>
      </c>
      <c r="EY127" s="6" t="e">
        <f>-_xlfn.XLOOKUP(EY2,Inputs!#REF!,Inputs!#REF!,0,0)+IF(EX128&lt;0,EX128,0)</f>
        <v>#REF!</v>
      </c>
      <c r="EZ127" s="6" t="e">
        <f>-_xlfn.XLOOKUP(EZ2,Inputs!#REF!,Inputs!#REF!,0,0)+IF(EY128&lt;0,EY128,0)</f>
        <v>#REF!</v>
      </c>
      <c r="FA127" s="6" t="e">
        <f>-_xlfn.XLOOKUP(FA2,Inputs!#REF!,Inputs!#REF!,0,0)+IF(EZ128&lt;0,EZ128,0)</f>
        <v>#REF!</v>
      </c>
      <c r="FB127" s="6" t="e">
        <f>-_xlfn.XLOOKUP(FB2,Inputs!#REF!,Inputs!#REF!,0,0)+IF(FA128&lt;0,FA128,0)</f>
        <v>#REF!</v>
      </c>
      <c r="FC127" s="6" t="e">
        <f>-_xlfn.XLOOKUP(FC2,Inputs!#REF!,Inputs!#REF!,0,0)+IF(FB128&lt;0,FB128,0)</f>
        <v>#REF!</v>
      </c>
      <c r="FD127" s="6" t="e">
        <f>-_xlfn.XLOOKUP(FD2,Inputs!#REF!,Inputs!#REF!,0,0)+IF(FC128&lt;0,FC128,0)</f>
        <v>#REF!</v>
      </c>
      <c r="FE127" s="6" t="e">
        <f>-_xlfn.XLOOKUP(FE2,Inputs!#REF!,Inputs!#REF!,0,0)+IF(FD128&lt;0,FD128,0)</f>
        <v>#REF!</v>
      </c>
      <c r="FF127" s="6" t="e">
        <f>-_xlfn.XLOOKUP(FF2,Inputs!#REF!,Inputs!#REF!,0,0)+IF(FE128&lt;0,FE128,0)</f>
        <v>#REF!</v>
      </c>
      <c r="FG127" s="6" t="e">
        <f>-_xlfn.XLOOKUP(FG2,Inputs!#REF!,Inputs!#REF!,0,0)+IF(FF128&lt;0,FF128,0)</f>
        <v>#REF!</v>
      </c>
      <c r="FH127" s="6" t="e">
        <f>-_xlfn.XLOOKUP(FH2,Inputs!#REF!,Inputs!#REF!,0,0)+IF(FG128&lt;0,FG128,0)</f>
        <v>#REF!</v>
      </c>
      <c r="FI127" s="6" t="e">
        <f>-_xlfn.XLOOKUP(FI2,Inputs!#REF!,Inputs!#REF!,0,0)+IF(FH128&lt;0,FH128,0)</f>
        <v>#REF!</v>
      </c>
      <c r="FJ127" s="6" t="e">
        <f>-_xlfn.XLOOKUP(FJ2,Inputs!#REF!,Inputs!#REF!,0,0)+IF(FI128&lt;0,FI128,0)</f>
        <v>#REF!</v>
      </c>
      <c r="FK127" s="6" t="e">
        <f>-_xlfn.XLOOKUP(FK2,Inputs!#REF!,Inputs!#REF!,0,0)+IF(FJ128&lt;0,FJ128,0)</f>
        <v>#REF!</v>
      </c>
      <c r="FL127" s="6" t="e">
        <f>-_xlfn.XLOOKUP(FL2,Inputs!#REF!,Inputs!#REF!,0,0)+IF(FK128&lt;0,FK128,0)</f>
        <v>#REF!</v>
      </c>
      <c r="FM127" s="6" t="e">
        <f>-_xlfn.XLOOKUP(FM2,Inputs!#REF!,Inputs!#REF!,0,0)+IF(FL128&lt;0,FL128,0)</f>
        <v>#REF!</v>
      </c>
      <c r="FN127" s="6" t="e">
        <f>-_xlfn.XLOOKUP(FN2,Inputs!#REF!,Inputs!#REF!,0,0)+IF(FM128&lt;0,FM128,0)</f>
        <v>#REF!</v>
      </c>
      <c r="FO127" s="6" t="e">
        <f>-_xlfn.XLOOKUP(FO2,Inputs!#REF!,Inputs!#REF!,0,0)+IF(FN128&lt;0,FN128,0)</f>
        <v>#REF!</v>
      </c>
      <c r="FP127" s="6" t="e">
        <f>-_xlfn.XLOOKUP(FP2,Inputs!#REF!,Inputs!#REF!,0,0)+IF(FO128&lt;0,FO128,0)</f>
        <v>#REF!</v>
      </c>
      <c r="FQ127" s="6" t="e">
        <f>-_xlfn.XLOOKUP(FQ2,Inputs!#REF!,Inputs!#REF!,0,0)+IF(FP128&lt;0,FP128,0)</f>
        <v>#REF!</v>
      </c>
      <c r="FR127" s="6" t="e">
        <f>-_xlfn.XLOOKUP(FR2,Inputs!#REF!,Inputs!#REF!,0,0)+IF(FQ128&lt;0,FQ128,0)</f>
        <v>#REF!</v>
      </c>
      <c r="FS127" s="6" t="e">
        <f>-_xlfn.XLOOKUP(FS2,Inputs!#REF!,Inputs!#REF!,0,0)+IF(FR128&lt;0,FR128,0)</f>
        <v>#REF!</v>
      </c>
      <c r="FT127" s="6" t="e">
        <f>-_xlfn.XLOOKUP(FT2,Inputs!#REF!,Inputs!#REF!,0,0)+IF(FS128&lt;0,FS128,0)</f>
        <v>#REF!</v>
      </c>
      <c r="FU127" s="6" t="e">
        <f>-_xlfn.XLOOKUP(FU2,Inputs!#REF!,Inputs!#REF!,0,0)+IF(FT128&lt;0,FT128,0)</f>
        <v>#REF!</v>
      </c>
      <c r="FV127" s="6" t="e">
        <f>-_xlfn.XLOOKUP(FV2,Inputs!#REF!,Inputs!#REF!,0,0)+IF(FU128&lt;0,FU128,0)</f>
        <v>#REF!</v>
      </c>
      <c r="FW127" s="6" t="e">
        <f>-_xlfn.XLOOKUP(FW2,Inputs!#REF!,Inputs!#REF!,0,0)+IF(FV128&lt;0,FV128,0)</f>
        <v>#REF!</v>
      </c>
      <c r="FX127" s="6" t="e">
        <f>-_xlfn.XLOOKUP(FX2,Inputs!#REF!,Inputs!#REF!,0,0)+IF(FW128&lt;0,FW128,0)</f>
        <v>#REF!</v>
      </c>
      <c r="FY127" s="6" t="e">
        <f>-_xlfn.XLOOKUP(FY2,Inputs!#REF!,Inputs!#REF!,0,0)+IF(FX128&lt;0,FX128,0)</f>
        <v>#REF!</v>
      </c>
      <c r="FZ127" s="6" t="e">
        <f>-_xlfn.XLOOKUP(FZ2,Inputs!#REF!,Inputs!#REF!,0,0)+IF(FY128&lt;0,FY128,0)</f>
        <v>#REF!</v>
      </c>
      <c r="GA127" s="6" t="e">
        <f>-_xlfn.XLOOKUP(GA2,Inputs!#REF!,Inputs!#REF!,0,0)+IF(FZ128&lt;0,FZ128,0)</f>
        <v>#REF!</v>
      </c>
      <c r="GB127" s="6" t="e">
        <f>-_xlfn.XLOOKUP(GB2,Inputs!#REF!,Inputs!#REF!,0,0)+IF(GA128&lt;0,GA128,0)</f>
        <v>#REF!</v>
      </c>
      <c r="GC127" s="6" t="e">
        <f>-_xlfn.XLOOKUP(GC2,Inputs!#REF!,Inputs!#REF!,0,0)+IF(GB128&lt;0,GB128,0)</f>
        <v>#REF!</v>
      </c>
      <c r="GD127" s="6" t="e">
        <f>-_xlfn.XLOOKUP(GD2,Inputs!#REF!,Inputs!#REF!,0,0)+IF(GC128&lt;0,GC128,0)</f>
        <v>#REF!</v>
      </c>
      <c r="GE127" s="6" t="e">
        <f>-_xlfn.XLOOKUP(GE2,Inputs!#REF!,Inputs!#REF!,0,0)+IF(GD128&lt;0,GD128,0)</f>
        <v>#REF!</v>
      </c>
      <c r="GF127" s="6" t="e">
        <f>-_xlfn.XLOOKUP(GF2,Inputs!#REF!,Inputs!#REF!,0,0)+IF(GE128&lt;0,GE128,0)</f>
        <v>#REF!</v>
      </c>
      <c r="GG127" s="6" t="e">
        <f>-_xlfn.XLOOKUP(GG2,Inputs!#REF!,Inputs!#REF!,0,0)+IF(GF128&lt;0,GF128,0)</f>
        <v>#REF!</v>
      </c>
      <c r="GH127" s="6" t="e">
        <f>-_xlfn.XLOOKUP(GH2,Inputs!#REF!,Inputs!#REF!,0,0)+IF(GG128&lt;0,GG128,0)</f>
        <v>#REF!</v>
      </c>
      <c r="GI127" s="6" t="e">
        <f>-_xlfn.XLOOKUP(GI2,Inputs!#REF!,Inputs!#REF!,0,0)+IF(GH128&lt;0,GH128,0)</f>
        <v>#REF!</v>
      </c>
      <c r="GJ127" s="6" t="e">
        <f>-_xlfn.XLOOKUP(GJ2,Inputs!#REF!,Inputs!#REF!,0,0)+IF(GI128&lt;0,GI128,0)</f>
        <v>#REF!</v>
      </c>
      <c r="GK127" s="6" t="e">
        <f>-_xlfn.XLOOKUP(GK2,Inputs!#REF!,Inputs!#REF!,0,0)+IF(GJ128&lt;0,GJ128,0)</f>
        <v>#REF!</v>
      </c>
      <c r="GL127" s="6" t="e">
        <f>-_xlfn.XLOOKUP(GL2,Inputs!#REF!,Inputs!#REF!,0,0)+IF(GK128&lt;0,GK128,0)</f>
        <v>#REF!</v>
      </c>
      <c r="GM127" s="6" t="e">
        <f>-_xlfn.XLOOKUP(GM2,Inputs!#REF!,Inputs!#REF!,0,0)+IF(GL128&lt;0,GL128,0)</f>
        <v>#REF!</v>
      </c>
      <c r="GN127" s="6" t="e">
        <f>-_xlfn.XLOOKUP(GN2,Inputs!#REF!,Inputs!#REF!,0,0)+IF(GM128&lt;0,GM128,0)</f>
        <v>#REF!</v>
      </c>
      <c r="GO127" s="6" t="e">
        <f>-_xlfn.XLOOKUP(GO2,Inputs!#REF!,Inputs!#REF!,0,0)+IF(GN128&lt;0,GN128,0)</f>
        <v>#REF!</v>
      </c>
      <c r="GP127" s="6" t="e">
        <f>-_xlfn.XLOOKUP(GP2,Inputs!#REF!,Inputs!#REF!,0,0)+IF(GO128&lt;0,GO128,0)</f>
        <v>#REF!</v>
      </c>
      <c r="GQ127" s="6" t="e">
        <f>-_xlfn.XLOOKUP(GQ2,Inputs!#REF!,Inputs!#REF!,0,0)+IF(GP128&lt;0,GP128,0)</f>
        <v>#REF!</v>
      </c>
      <c r="GR127" s="6" t="e">
        <f>-_xlfn.XLOOKUP(GR2,Inputs!#REF!,Inputs!#REF!,0,0)+IF(GQ128&lt;0,GQ128,0)</f>
        <v>#REF!</v>
      </c>
      <c r="GS127" s="6" t="e">
        <f>-_xlfn.XLOOKUP(GS2,Inputs!#REF!,Inputs!#REF!,0,0)+IF(GR128&lt;0,GR128,0)</f>
        <v>#REF!</v>
      </c>
      <c r="GT127" s="6" t="e">
        <f>-_xlfn.XLOOKUP(GT2,Inputs!#REF!,Inputs!#REF!,0,0)+IF(GS128&lt;0,GS128,0)</f>
        <v>#REF!</v>
      </c>
      <c r="GU127" s="6" t="e">
        <f>-_xlfn.XLOOKUP(GU2,Inputs!#REF!,Inputs!#REF!,0,0)+IF(GT128&lt;0,GT128,0)</f>
        <v>#REF!</v>
      </c>
      <c r="GV127" s="6" t="e">
        <f>-_xlfn.XLOOKUP(GV2,Inputs!#REF!,Inputs!#REF!,0,0)+IF(GU128&lt;0,GU128,0)</f>
        <v>#REF!</v>
      </c>
      <c r="GW127" s="6" t="e">
        <f>-_xlfn.XLOOKUP(GW2,Inputs!#REF!,Inputs!#REF!,0,0)+IF(GV128&lt;0,GV128,0)</f>
        <v>#REF!</v>
      </c>
      <c r="GX127" s="6" t="e">
        <f>-_xlfn.XLOOKUP(GX2,Inputs!#REF!,Inputs!#REF!,0,0)+IF(GW128&lt;0,GW128,0)</f>
        <v>#REF!</v>
      </c>
      <c r="GY127" s="6" t="e">
        <f>-_xlfn.XLOOKUP(GY2,Inputs!#REF!,Inputs!#REF!,0,0)+IF(GX128&lt;0,GX128,0)</f>
        <v>#REF!</v>
      </c>
      <c r="GZ127" s="6" t="e">
        <f>-_xlfn.XLOOKUP(GZ2,Inputs!#REF!,Inputs!#REF!,0,0)+IF(GY128&lt;0,GY128,0)</f>
        <v>#REF!</v>
      </c>
      <c r="HA127" s="6" t="e">
        <f>-_xlfn.XLOOKUP(HA2,Inputs!#REF!,Inputs!#REF!,0,0)+IF(GZ128&lt;0,GZ128,0)</f>
        <v>#REF!</v>
      </c>
      <c r="HB127" s="6" t="e">
        <f>-_xlfn.XLOOKUP(HB2,Inputs!#REF!,Inputs!#REF!,0,0)+IF(HA128&lt;0,HA128,0)</f>
        <v>#REF!</v>
      </c>
      <c r="HC127" s="6" t="e">
        <f>-_xlfn.XLOOKUP(HC2,Inputs!#REF!,Inputs!#REF!,0,0)+IF(HB128&lt;0,HB128,0)</f>
        <v>#REF!</v>
      </c>
      <c r="HD127" s="6" t="e">
        <f>-_xlfn.XLOOKUP(HD2,Inputs!#REF!,Inputs!#REF!,0,0)+IF(HC128&lt;0,HC128,0)</f>
        <v>#REF!</v>
      </c>
      <c r="HE127" s="6" t="e">
        <f>-_xlfn.XLOOKUP(HE2,Inputs!#REF!,Inputs!#REF!,0,0)+IF(HD128&lt;0,HD128,0)</f>
        <v>#REF!</v>
      </c>
      <c r="HF127" s="6" t="e">
        <f>-_xlfn.XLOOKUP(HF2,Inputs!#REF!,Inputs!#REF!,0,0)+IF(HE128&lt;0,HE128,0)</f>
        <v>#REF!</v>
      </c>
      <c r="HG127" s="6" t="e">
        <f>-_xlfn.XLOOKUP(HG2,Inputs!#REF!,Inputs!#REF!,0,0)+IF(HF128&lt;0,HF128,0)</f>
        <v>#REF!</v>
      </c>
      <c r="HH127" s="6" t="e">
        <f>-_xlfn.XLOOKUP(HH2,Inputs!#REF!,Inputs!#REF!,0,0)+IF(HG128&lt;0,HG128,0)</f>
        <v>#REF!</v>
      </c>
      <c r="HI127" s="6" t="e">
        <f>-_xlfn.XLOOKUP(HI2,Inputs!#REF!,Inputs!#REF!,0,0)+IF(HH128&lt;0,HH128,0)</f>
        <v>#REF!</v>
      </c>
      <c r="HJ127" s="6" t="e">
        <f>-_xlfn.XLOOKUP(HJ2,Inputs!#REF!,Inputs!#REF!,0,0)+IF(HI128&lt;0,HI128,0)</f>
        <v>#REF!</v>
      </c>
      <c r="HK127" s="6" t="e">
        <f>-_xlfn.XLOOKUP(HK2,Inputs!#REF!,Inputs!#REF!,0,0)+IF(HJ128&lt;0,HJ128,0)</f>
        <v>#REF!</v>
      </c>
      <c r="HL127" s="6" t="e">
        <f>-_xlfn.XLOOKUP(HL2,Inputs!#REF!,Inputs!#REF!,0,0)+IF(HK128&lt;0,HK128,0)</f>
        <v>#REF!</v>
      </c>
      <c r="HM127" s="6" t="e">
        <f>-_xlfn.XLOOKUP(HM2,Inputs!#REF!,Inputs!#REF!,0,0)+IF(HL128&lt;0,HL128,0)</f>
        <v>#REF!</v>
      </c>
      <c r="HN127" s="6" t="e">
        <f>-_xlfn.XLOOKUP(HN2,Inputs!#REF!,Inputs!#REF!,0,0)+IF(HM128&lt;0,HM128,0)</f>
        <v>#REF!</v>
      </c>
      <c r="HO127" s="6" t="e">
        <f>-_xlfn.XLOOKUP(HO2,Inputs!#REF!,Inputs!#REF!,0,0)+IF(HN128&lt;0,HN128,0)</f>
        <v>#REF!</v>
      </c>
      <c r="HP127" s="6" t="e">
        <f>-_xlfn.XLOOKUP(HP2,Inputs!#REF!,Inputs!#REF!,0,0)+IF(HO128&lt;0,HO128,0)</f>
        <v>#REF!</v>
      </c>
      <c r="HQ127" s="6" t="e">
        <f>-_xlfn.XLOOKUP(HQ2,Inputs!#REF!,Inputs!#REF!,0,0)+IF(HP128&lt;0,HP128,0)</f>
        <v>#REF!</v>
      </c>
      <c r="HR127" s="6" t="e">
        <f>-_xlfn.XLOOKUP(HR2,Inputs!#REF!,Inputs!#REF!,0,0)+IF(HQ128&lt;0,HQ128,0)</f>
        <v>#REF!</v>
      </c>
      <c r="HS127" s="6" t="e">
        <f>-_xlfn.XLOOKUP(HS2,Inputs!#REF!,Inputs!#REF!,0,0)+IF(HR128&lt;0,HR128,0)</f>
        <v>#REF!</v>
      </c>
      <c r="HT127" s="6" t="e">
        <f>-_xlfn.XLOOKUP(HT2,Inputs!#REF!,Inputs!#REF!,0,0)+IF(HS128&lt;0,HS128,0)</f>
        <v>#REF!</v>
      </c>
      <c r="HU127" s="6" t="e">
        <f>-_xlfn.XLOOKUP(HU2,Inputs!#REF!,Inputs!#REF!,0,0)+IF(HT128&lt;0,HT128,0)</f>
        <v>#REF!</v>
      </c>
      <c r="HV127" s="6" t="e">
        <f>-_xlfn.XLOOKUP(HV2,Inputs!#REF!,Inputs!#REF!,0,0)+IF(HU128&lt;0,HU128,0)</f>
        <v>#REF!</v>
      </c>
      <c r="HW127" s="6" t="e">
        <f>-_xlfn.XLOOKUP(HW2,Inputs!#REF!,Inputs!#REF!,0,0)+IF(HV128&lt;0,HV128,0)</f>
        <v>#REF!</v>
      </c>
      <c r="HX127" s="6" t="e">
        <f>-_xlfn.XLOOKUP(HX2,Inputs!#REF!,Inputs!#REF!,0,0)+IF(HW128&lt;0,HW128,0)</f>
        <v>#REF!</v>
      </c>
      <c r="HY127" s="6" t="e">
        <f>-_xlfn.XLOOKUP(HY2,Inputs!#REF!,Inputs!#REF!,0,0)+IF(HX128&lt;0,HX128,0)</f>
        <v>#REF!</v>
      </c>
      <c r="HZ127" s="6" t="e">
        <f>-_xlfn.XLOOKUP(HZ2,Inputs!#REF!,Inputs!#REF!,0,0)+IF(HY128&lt;0,HY128,0)</f>
        <v>#REF!</v>
      </c>
      <c r="IA127" s="6" t="e">
        <f>-_xlfn.XLOOKUP(IA2,Inputs!#REF!,Inputs!#REF!,0,0)+IF(HZ128&lt;0,HZ128,0)</f>
        <v>#REF!</v>
      </c>
      <c r="IB127" s="6" t="e">
        <f>-_xlfn.XLOOKUP(IB2,Inputs!#REF!,Inputs!#REF!,0,0)+IF(IA128&lt;0,IA128,0)</f>
        <v>#REF!</v>
      </c>
      <c r="IC127" s="6" t="e">
        <f>-_xlfn.XLOOKUP(IC2,Inputs!#REF!,Inputs!#REF!,0,0)+IF(IB128&lt;0,IB128,0)</f>
        <v>#REF!</v>
      </c>
      <c r="ID127" s="6" t="e">
        <f>-_xlfn.XLOOKUP(ID2,Inputs!#REF!,Inputs!#REF!,0,0)+IF(IC128&lt;0,IC128,0)</f>
        <v>#REF!</v>
      </c>
      <c r="IE127" s="6" t="e">
        <f>-_xlfn.XLOOKUP(IE2,Inputs!#REF!,Inputs!#REF!,0,0)+IF(ID128&lt;0,ID128,0)</f>
        <v>#REF!</v>
      </c>
      <c r="IF127" s="6" t="e">
        <f>-_xlfn.XLOOKUP(IF2,Inputs!#REF!,Inputs!#REF!,0,0)+IF(IE128&lt;0,IE128,0)</f>
        <v>#REF!</v>
      </c>
      <c r="IG127" s="6" t="e">
        <f>-_xlfn.XLOOKUP(IG2,Inputs!#REF!,Inputs!#REF!,0,0)+IF(IF128&lt;0,IF128,0)</f>
        <v>#REF!</v>
      </c>
      <c r="IH127" s="6" t="e">
        <f>-_xlfn.XLOOKUP(IH2,Inputs!#REF!,Inputs!#REF!,0,0)+IF(IG128&lt;0,IG128,0)</f>
        <v>#REF!</v>
      </c>
      <c r="II127" s="6" t="e">
        <f>-_xlfn.XLOOKUP(II2,Inputs!#REF!,Inputs!#REF!,0,0)+IF(IH128&lt;0,IH128,0)</f>
        <v>#REF!</v>
      </c>
      <c r="IJ127" s="6" t="e">
        <f>-_xlfn.XLOOKUP(IJ2,Inputs!#REF!,Inputs!#REF!,0,0)+IF(II128&lt;0,II128,0)</f>
        <v>#REF!</v>
      </c>
      <c r="IK127" s="6" t="e">
        <f>-_xlfn.XLOOKUP(IK2,Inputs!#REF!,Inputs!#REF!,0,0)+IF(IJ128&lt;0,IJ128,0)</f>
        <v>#REF!</v>
      </c>
      <c r="IL127" s="6" t="e">
        <f>-_xlfn.XLOOKUP(IL2,Inputs!#REF!,Inputs!#REF!,0,0)+IF(IK128&lt;0,IK128,0)</f>
        <v>#REF!</v>
      </c>
      <c r="IM127" s="6" t="e">
        <f>-_xlfn.XLOOKUP(IM2,Inputs!#REF!,Inputs!#REF!,0,0)+IF(IL128&lt;0,IL128,0)</f>
        <v>#REF!</v>
      </c>
      <c r="IN127" s="6" t="e">
        <f>-_xlfn.XLOOKUP(IN2,Inputs!#REF!,Inputs!#REF!,0,0)+IF(IM128&lt;0,IM128,0)</f>
        <v>#REF!</v>
      </c>
      <c r="IO127" s="6" t="e">
        <f>-_xlfn.XLOOKUP(IO2,Inputs!#REF!,Inputs!#REF!,0,0)+IF(IN128&lt;0,IN128,0)</f>
        <v>#REF!</v>
      </c>
      <c r="IP127" s="6" t="e">
        <f>-_xlfn.XLOOKUP(IP2,Inputs!#REF!,Inputs!#REF!,0,0)+IF(IO128&lt;0,IO128,0)</f>
        <v>#REF!</v>
      </c>
      <c r="IQ127" s="6" t="e">
        <f>-_xlfn.XLOOKUP(IQ2,Inputs!#REF!,Inputs!#REF!,0,0)+IF(IP128&lt;0,IP128,0)</f>
        <v>#REF!</v>
      </c>
      <c r="IR127" s="6" t="e">
        <f>-_xlfn.XLOOKUP(IR2,Inputs!#REF!,Inputs!#REF!,0,0)+IF(IQ128&lt;0,IQ128,0)</f>
        <v>#REF!</v>
      </c>
      <c r="IS127" s="6" t="e">
        <f>-_xlfn.XLOOKUP(IS2,Inputs!#REF!,Inputs!#REF!,0,0)+IF(IR128&lt;0,IR128,0)</f>
        <v>#REF!</v>
      </c>
      <c r="IT127" s="6" t="e">
        <f>-_xlfn.XLOOKUP(IT2,Inputs!#REF!,Inputs!#REF!,0,0)+IF(IS128&lt;0,IS128,0)</f>
        <v>#REF!</v>
      </c>
      <c r="IU127" s="6" t="e">
        <f>-_xlfn.XLOOKUP(IU2,Inputs!#REF!,Inputs!#REF!,0,0)+IF(IT128&lt;0,IT128,0)</f>
        <v>#REF!</v>
      </c>
      <c r="IV127" s="6" t="e">
        <f>-_xlfn.XLOOKUP(IV2,Inputs!#REF!,Inputs!#REF!,0,0)+IF(IU128&lt;0,IU128,0)</f>
        <v>#REF!</v>
      </c>
      <c r="IW127" s="6" t="e">
        <f>-_xlfn.XLOOKUP(IW2,Inputs!#REF!,Inputs!#REF!,0,0)+IF(IV128&lt;0,IV128,0)</f>
        <v>#REF!</v>
      </c>
      <c r="IX127" s="6" t="e">
        <f>-_xlfn.XLOOKUP(IX2,Inputs!#REF!,Inputs!#REF!,0,0)+IF(IW128&lt;0,IW128,0)</f>
        <v>#REF!</v>
      </c>
      <c r="IY127" s="6" t="e">
        <f>-_xlfn.XLOOKUP(IY2,Inputs!#REF!,Inputs!#REF!,0,0)+IF(IX128&lt;0,IX128,0)</f>
        <v>#REF!</v>
      </c>
      <c r="IZ127" s="6" t="e">
        <f>-_xlfn.XLOOKUP(IZ2,Inputs!#REF!,Inputs!#REF!,0,0)+IF(IY128&lt;0,IY128,0)</f>
        <v>#REF!</v>
      </c>
      <c r="JA127" s="6" t="e">
        <f>-_xlfn.XLOOKUP(JA2,Inputs!#REF!,Inputs!#REF!,0,0)+IF(IZ128&lt;0,IZ128,0)</f>
        <v>#REF!</v>
      </c>
      <c r="JB127" s="6" t="e">
        <f>-_xlfn.XLOOKUP(JB2,Inputs!#REF!,Inputs!#REF!,0,0)+IF(JA128&lt;0,JA128,0)</f>
        <v>#REF!</v>
      </c>
      <c r="JC127" s="6" t="e">
        <f>-_xlfn.XLOOKUP(JC2,Inputs!#REF!,Inputs!#REF!,0,0)+IF(JB128&lt;0,JB128,0)</f>
        <v>#REF!</v>
      </c>
      <c r="JD127" s="6" t="e">
        <f>-_xlfn.XLOOKUP(JD2,Inputs!#REF!,Inputs!#REF!,0,0)+IF(JC128&lt;0,JC128,0)</f>
        <v>#REF!</v>
      </c>
      <c r="JE127" s="6" t="e">
        <f>-_xlfn.XLOOKUP(JE2,Inputs!#REF!,Inputs!#REF!,0,0)+IF(JD128&lt;0,JD128,0)</f>
        <v>#REF!</v>
      </c>
      <c r="JF127" s="6" t="e">
        <f>-_xlfn.XLOOKUP(JF2,Inputs!#REF!,Inputs!#REF!,0,0)+IF(JE128&lt;0,JE128,0)</f>
        <v>#REF!</v>
      </c>
      <c r="JG127" s="6" t="e">
        <f>-_xlfn.XLOOKUP(JG2,Inputs!#REF!,Inputs!#REF!,0,0)+IF(JF128&lt;0,JF128,0)</f>
        <v>#REF!</v>
      </c>
      <c r="JH127" s="6" t="e">
        <f>-_xlfn.XLOOKUP(JH2,Inputs!#REF!,Inputs!#REF!,0,0)+IF(JG128&lt;0,JG128,0)</f>
        <v>#REF!</v>
      </c>
      <c r="JI127" s="6" t="e">
        <f>-_xlfn.XLOOKUP(JI2,Inputs!#REF!,Inputs!#REF!,0,0)+IF(JH128&lt;0,JH128,0)</f>
        <v>#REF!</v>
      </c>
      <c r="JJ127" s="6" t="e">
        <f>-_xlfn.XLOOKUP(JJ2,Inputs!#REF!,Inputs!#REF!,0,0)+IF(JI128&lt;0,JI128,0)</f>
        <v>#REF!</v>
      </c>
      <c r="JK127" s="6" t="e">
        <f>-_xlfn.XLOOKUP(JK2,Inputs!#REF!,Inputs!#REF!,0,0)+IF(JJ128&lt;0,JJ128,0)</f>
        <v>#REF!</v>
      </c>
      <c r="JL127" s="6" t="e">
        <f>-_xlfn.XLOOKUP(JL2,Inputs!#REF!,Inputs!#REF!,0,0)+IF(JK128&lt;0,JK128,0)</f>
        <v>#REF!</v>
      </c>
      <c r="JM127" s="6" t="e">
        <f>-_xlfn.XLOOKUP(JM2,Inputs!#REF!,Inputs!#REF!,0,0)+IF(JL128&lt;0,JL128,0)</f>
        <v>#REF!</v>
      </c>
      <c r="JN127" s="6" t="e">
        <f>-_xlfn.XLOOKUP(JN2,Inputs!#REF!,Inputs!#REF!,0,0)+IF(JM128&lt;0,JM128,0)</f>
        <v>#REF!</v>
      </c>
      <c r="JO127" s="6" t="e">
        <f>-_xlfn.XLOOKUP(JO2,Inputs!#REF!,Inputs!#REF!,0,0)+IF(JN128&lt;0,JN128,0)</f>
        <v>#REF!</v>
      </c>
      <c r="JP127" s="6" t="e">
        <f>-_xlfn.XLOOKUP(JP2,Inputs!#REF!,Inputs!#REF!,0,0)+IF(JO128&lt;0,JO128,0)</f>
        <v>#REF!</v>
      </c>
      <c r="JQ127" s="6" t="e">
        <f>-_xlfn.XLOOKUP(JQ2,Inputs!#REF!,Inputs!#REF!,0,0)+IF(JP128&lt;0,JP128,0)</f>
        <v>#REF!</v>
      </c>
      <c r="JR127" s="6" t="e">
        <f>-_xlfn.XLOOKUP(JR2,Inputs!#REF!,Inputs!#REF!,0,0)+IF(JQ128&lt;0,JQ128,0)</f>
        <v>#REF!</v>
      </c>
      <c r="JS127" s="6" t="e">
        <f>-_xlfn.XLOOKUP(JS2,Inputs!#REF!,Inputs!#REF!,0,0)+IF(JR128&lt;0,JR128,0)</f>
        <v>#REF!</v>
      </c>
      <c r="JT127" s="6" t="e">
        <f>-_xlfn.XLOOKUP(JT2,Inputs!#REF!,Inputs!#REF!,0,0)+IF(JS128&lt;0,JS128,0)</f>
        <v>#REF!</v>
      </c>
      <c r="JU127" s="6" t="e">
        <f>-_xlfn.XLOOKUP(JU2,Inputs!#REF!,Inputs!#REF!,0,0)+IF(JT128&lt;0,JT128,0)</f>
        <v>#REF!</v>
      </c>
      <c r="JV127" s="6" t="e">
        <f>-_xlfn.XLOOKUP(JV2,Inputs!#REF!,Inputs!#REF!,0,0)+IF(JU128&lt;0,JU128,0)</f>
        <v>#REF!</v>
      </c>
      <c r="JW127" s="6" t="e">
        <f>-_xlfn.XLOOKUP(JW2,Inputs!#REF!,Inputs!#REF!,0,0)+IF(JV128&lt;0,JV128,0)</f>
        <v>#REF!</v>
      </c>
      <c r="JX127" s="6" t="e">
        <f>-_xlfn.XLOOKUP(JX2,Inputs!#REF!,Inputs!#REF!,0,0)+IF(JW128&lt;0,JW128,0)</f>
        <v>#REF!</v>
      </c>
      <c r="JY127" s="6" t="e">
        <f>-_xlfn.XLOOKUP(JY2,Inputs!#REF!,Inputs!#REF!,0,0)+IF(JX128&lt;0,JX128,0)</f>
        <v>#REF!</v>
      </c>
      <c r="JZ127" s="6" t="e">
        <f>-_xlfn.XLOOKUP(JZ2,Inputs!#REF!,Inputs!#REF!,0,0)+IF(JY128&lt;0,JY128,0)</f>
        <v>#REF!</v>
      </c>
      <c r="KA127" s="6" t="e">
        <f>-_xlfn.XLOOKUP(KA2,Inputs!#REF!,Inputs!#REF!,0,0)+IF(JZ128&lt;0,JZ128,0)</f>
        <v>#REF!</v>
      </c>
      <c r="KB127" s="6" t="e">
        <f>-_xlfn.XLOOKUP(KB2,Inputs!#REF!,Inputs!#REF!,0,0)+IF(KA128&lt;0,KA128,0)</f>
        <v>#REF!</v>
      </c>
      <c r="KC127" s="6" t="e">
        <f>-_xlfn.XLOOKUP(KC2,Inputs!#REF!,Inputs!#REF!,0,0)+IF(KB128&lt;0,KB128,0)</f>
        <v>#REF!</v>
      </c>
      <c r="KD127" s="6" t="e">
        <f>-_xlfn.XLOOKUP(KD2,Inputs!#REF!,Inputs!#REF!,0,0)+IF(KC128&lt;0,KC128,0)</f>
        <v>#REF!</v>
      </c>
      <c r="KE127" s="6" t="e">
        <f>-_xlfn.XLOOKUP(KE2,Inputs!#REF!,Inputs!#REF!,0,0)+IF(KD128&lt;0,KD128,0)</f>
        <v>#REF!</v>
      </c>
      <c r="KF127" s="6" t="e">
        <f>-_xlfn.XLOOKUP(KF2,Inputs!#REF!,Inputs!#REF!,0,0)+IF(KE128&lt;0,KE128,0)</f>
        <v>#REF!</v>
      </c>
      <c r="KG127" s="6" t="e">
        <f>-_xlfn.XLOOKUP(KG2,Inputs!#REF!,Inputs!#REF!,0,0)+IF(KF128&lt;0,KF128,0)</f>
        <v>#REF!</v>
      </c>
      <c r="KH127" s="6" t="e">
        <f>-_xlfn.XLOOKUP(KH2,Inputs!#REF!,Inputs!#REF!,0,0)+IF(KG128&lt;0,KG128,0)</f>
        <v>#REF!</v>
      </c>
      <c r="KI127" s="6" t="e">
        <f>-_xlfn.XLOOKUP(KI2,Inputs!#REF!,Inputs!#REF!,0,0)+IF(KH128&lt;0,KH128,0)</f>
        <v>#REF!</v>
      </c>
      <c r="KJ127" s="6" t="e">
        <f>-_xlfn.XLOOKUP(KJ2,Inputs!#REF!,Inputs!#REF!,0,0)+IF(KI128&lt;0,KI128,0)</f>
        <v>#REF!</v>
      </c>
      <c r="KK127" s="6" t="e">
        <f>-_xlfn.XLOOKUP(KK2,Inputs!#REF!,Inputs!#REF!,0,0)+IF(KJ128&lt;0,KJ128,0)</f>
        <v>#REF!</v>
      </c>
      <c r="KL127" s="6" t="e">
        <f>-_xlfn.XLOOKUP(KL2,Inputs!#REF!,Inputs!#REF!,0,0)+IF(KK128&lt;0,KK128,0)</f>
        <v>#REF!</v>
      </c>
      <c r="KM127" s="6" t="e">
        <f>-_xlfn.XLOOKUP(KM2,Inputs!#REF!,Inputs!#REF!,0,0)+IF(KL128&lt;0,KL128,0)</f>
        <v>#REF!</v>
      </c>
      <c r="KN127" s="6" t="e">
        <f>-_xlfn.XLOOKUP(KN2,Inputs!#REF!,Inputs!#REF!,0,0)+IF(KM128&lt;0,KM128,0)</f>
        <v>#REF!</v>
      </c>
      <c r="KO127" s="6" t="e">
        <f>-_xlfn.XLOOKUP(KO2,Inputs!#REF!,Inputs!#REF!,0,0)+IF(KN128&lt;0,KN128,0)</f>
        <v>#REF!</v>
      </c>
      <c r="KP127" s="6" t="e">
        <f>-_xlfn.XLOOKUP(KP2,Inputs!#REF!,Inputs!#REF!,0,0)+IF(KO128&lt;0,KO128,0)</f>
        <v>#REF!</v>
      </c>
      <c r="KQ127" s="6" t="e">
        <f>-_xlfn.XLOOKUP(KQ2,Inputs!#REF!,Inputs!#REF!,0,0)+IF(KP128&lt;0,KP128,0)</f>
        <v>#REF!</v>
      </c>
      <c r="KR127" s="6" t="e">
        <f>-_xlfn.XLOOKUP(KR2,Inputs!#REF!,Inputs!#REF!,0,0)+IF(KQ128&lt;0,KQ128,0)</f>
        <v>#REF!</v>
      </c>
      <c r="KS127" s="6" t="e">
        <f>-_xlfn.XLOOKUP(KS2,Inputs!#REF!,Inputs!#REF!,0,0)+IF(KR128&lt;0,KR128,0)</f>
        <v>#REF!</v>
      </c>
    </row>
    <row r="128" spans="2:305" outlineLevel="1">
      <c r="B128" t="s">
        <v>47</v>
      </c>
      <c r="E128" s="6" t="e">
        <f>E126+E127</f>
        <v>#REF!</v>
      </c>
      <c r="F128" s="6" t="e">
        <f t="shared" ref="F128:BQ128" si="435">F126+F127</f>
        <v>#REF!</v>
      </c>
      <c r="G128" s="6" t="e">
        <f t="shared" si="435"/>
        <v>#REF!</v>
      </c>
      <c r="H128" s="6" t="e">
        <f t="shared" si="435"/>
        <v>#REF!</v>
      </c>
      <c r="I128" s="6" t="e">
        <f t="shared" si="435"/>
        <v>#REF!</v>
      </c>
      <c r="J128" s="6" t="e">
        <f t="shared" si="435"/>
        <v>#REF!</v>
      </c>
      <c r="K128" s="6" t="e">
        <f t="shared" si="435"/>
        <v>#REF!</v>
      </c>
      <c r="L128" s="6" t="e">
        <f t="shared" si="435"/>
        <v>#REF!</v>
      </c>
      <c r="M128" s="6" t="e">
        <f t="shared" si="435"/>
        <v>#REF!</v>
      </c>
      <c r="N128" s="6" t="e">
        <f t="shared" si="435"/>
        <v>#REF!</v>
      </c>
      <c r="O128" s="6" t="e">
        <f t="shared" si="435"/>
        <v>#REF!</v>
      </c>
      <c r="P128" s="6" t="e">
        <f t="shared" si="435"/>
        <v>#REF!</v>
      </c>
      <c r="Q128" s="6" t="e">
        <f t="shared" si="435"/>
        <v>#REF!</v>
      </c>
      <c r="R128" s="6" t="e">
        <f t="shared" si="435"/>
        <v>#REF!</v>
      </c>
      <c r="S128" s="6" t="e">
        <f t="shared" si="435"/>
        <v>#REF!</v>
      </c>
      <c r="T128" s="6" t="e">
        <f t="shared" si="435"/>
        <v>#REF!</v>
      </c>
      <c r="U128" s="6" t="e">
        <f t="shared" si="435"/>
        <v>#REF!</v>
      </c>
      <c r="V128" s="6" t="e">
        <f t="shared" si="435"/>
        <v>#REF!</v>
      </c>
      <c r="W128" s="6" t="e">
        <f t="shared" si="435"/>
        <v>#REF!</v>
      </c>
      <c r="X128" s="6" t="e">
        <f t="shared" si="435"/>
        <v>#REF!</v>
      </c>
      <c r="Y128" s="6" t="e">
        <f t="shared" si="435"/>
        <v>#REF!</v>
      </c>
      <c r="Z128" s="6" t="e">
        <f t="shared" si="435"/>
        <v>#REF!</v>
      </c>
      <c r="AA128" s="6" t="e">
        <f t="shared" si="435"/>
        <v>#REF!</v>
      </c>
      <c r="AB128" s="6" t="e">
        <f t="shared" si="435"/>
        <v>#REF!</v>
      </c>
      <c r="AC128" s="6" t="e">
        <f t="shared" si="435"/>
        <v>#REF!</v>
      </c>
      <c r="AD128" s="6" t="e">
        <f t="shared" si="435"/>
        <v>#REF!</v>
      </c>
      <c r="AE128" s="6" t="e">
        <f t="shared" si="435"/>
        <v>#REF!</v>
      </c>
      <c r="AF128" s="6" t="e">
        <f t="shared" si="435"/>
        <v>#REF!</v>
      </c>
      <c r="AG128" s="6" t="e">
        <f t="shared" si="435"/>
        <v>#REF!</v>
      </c>
      <c r="AH128" s="6" t="e">
        <f t="shared" si="435"/>
        <v>#REF!</v>
      </c>
      <c r="AI128" s="6" t="e">
        <f t="shared" si="435"/>
        <v>#REF!</v>
      </c>
      <c r="AJ128" s="6" t="e">
        <f t="shared" si="435"/>
        <v>#REF!</v>
      </c>
      <c r="AK128" s="6" t="e">
        <f t="shared" si="435"/>
        <v>#REF!</v>
      </c>
      <c r="AL128" s="6" t="e">
        <f t="shared" si="435"/>
        <v>#REF!</v>
      </c>
      <c r="AM128" s="6" t="e">
        <f t="shared" si="435"/>
        <v>#REF!</v>
      </c>
      <c r="AN128" s="6" t="e">
        <f t="shared" si="435"/>
        <v>#REF!</v>
      </c>
      <c r="AO128" s="6" t="e">
        <f t="shared" si="435"/>
        <v>#REF!</v>
      </c>
      <c r="AP128" s="6" t="e">
        <f t="shared" si="435"/>
        <v>#REF!</v>
      </c>
      <c r="AQ128" s="6" t="e">
        <f t="shared" si="435"/>
        <v>#REF!</v>
      </c>
      <c r="AR128" s="6" t="e">
        <f t="shared" si="435"/>
        <v>#REF!</v>
      </c>
      <c r="AS128" s="6" t="e">
        <f t="shared" si="435"/>
        <v>#REF!</v>
      </c>
      <c r="AT128" s="6" t="e">
        <f t="shared" si="435"/>
        <v>#REF!</v>
      </c>
      <c r="AU128" s="6" t="e">
        <f t="shared" si="435"/>
        <v>#REF!</v>
      </c>
      <c r="AV128" s="6" t="e">
        <f t="shared" si="435"/>
        <v>#REF!</v>
      </c>
      <c r="AW128" s="6" t="e">
        <f t="shared" si="435"/>
        <v>#REF!</v>
      </c>
      <c r="AX128" s="6" t="e">
        <f t="shared" si="435"/>
        <v>#REF!</v>
      </c>
      <c r="AY128" s="6" t="e">
        <f t="shared" si="435"/>
        <v>#REF!</v>
      </c>
      <c r="AZ128" s="6" t="e">
        <f t="shared" si="435"/>
        <v>#REF!</v>
      </c>
      <c r="BA128" s="6" t="e">
        <f t="shared" si="435"/>
        <v>#REF!</v>
      </c>
      <c r="BB128" s="6" t="e">
        <f t="shared" si="435"/>
        <v>#REF!</v>
      </c>
      <c r="BC128" s="6" t="e">
        <f t="shared" si="435"/>
        <v>#REF!</v>
      </c>
      <c r="BD128" s="6" t="e">
        <f t="shared" si="435"/>
        <v>#REF!</v>
      </c>
      <c r="BE128" s="6" t="e">
        <f t="shared" si="435"/>
        <v>#REF!</v>
      </c>
      <c r="BF128" s="6" t="e">
        <f t="shared" si="435"/>
        <v>#REF!</v>
      </c>
      <c r="BG128" s="6" t="e">
        <f t="shared" si="435"/>
        <v>#REF!</v>
      </c>
      <c r="BH128" s="6" t="e">
        <f t="shared" si="435"/>
        <v>#REF!</v>
      </c>
      <c r="BI128" s="6" t="e">
        <f t="shared" si="435"/>
        <v>#REF!</v>
      </c>
      <c r="BJ128" s="6" t="e">
        <f t="shared" si="435"/>
        <v>#REF!</v>
      </c>
      <c r="BK128" s="6" t="e">
        <f t="shared" si="435"/>
        <v>#REF!</v>
      </c>
      <c r="BL128" s="6" t="e">
        <f t="shared" si="435"/>
        <v>#REF!</v>
      </c>
      <c r="BM128" s="6" t="e">
        <f t="shared" si="435"/>
        <v>#REF!</v>
      </c>
      <c r="BN128" s="6" t="e">
        <f t="shared" si="435"/>
        <v>#REF!</v>
      </c>
      <c r="BO128" s="6" t="e">
        <f t="shared" si="435"/>
        <v>#REF!</v>
      </c>
      <c r="BP128" s="6" t="e">
        <f t="shared" si="435"/>
        <v>#REF!</v>
      </c>
      <c r="BQ128" s="6" t="e">
        <f t="shared" si="435"/>
        <v>#REF!</v>
      </c>
      <c r="BR128" s="6" t="e">
        <f t="shared" ref="BR128:EC128" si="436">BR126+BR127</f>
        <v>#REF!</v>
      </c>
      <c r="BS128" s="6" t="e">
        <f t="shared" si="436"/>
        <v>#REF!</v>
      </c>
      <c r="BT128" s="6" t="e">
        <f t="shared" si="436"/>
        <v>#REF!</v>
      </c>
      <c r="BU128" s="6" t="e">
        <f t="shared" si="436"/>
        <v>#REF!</v>
      </c>
      <c r="BV128" s="6" t="e">
        <f t="shared" si="436"/>
        <v>#REF!</v>
      </c>
      <c r="BW128" s="6" t="e">
        <f t="shared" si="436"/>
        <v>#REF!</v>
      </c>
      <c r="BX128" s="6" t="e">
        <f t="shared" si="436"/>
        <v>#REF!</v>
      </c>
      <c r="BY128" s="6" t="e">
        <f t="shared" si="436"/>
        <v>#REF!</v>
      </c>
      <c r="BZ128" s="6" t="e">
        <f t="shared" si="436"/>
        <v>#REF!</v>
      </c>
      <c r="CA128" s="6" t="e">
        <f t="shared" si="436"/>
        <v>#REF!</v>
      </c>
      <c r="CB128" s="6" t="e">
        <f t="shared" si="436"/>
        <v>#REF!</v>
      </c>
      <c r="CC128" s="6" t="e">
        <f t="shared" si="436"/>
        <v>#REF!</v>
      </c>
      <c r="CD128" s="6" t="e">
        <f t="shared" si="436"/>
        <v>#REF!</v>
      </c>
      <c r="CE128" s="6" t="e">
        <f t="shared" si="436"/>
        <v>#REF!</v>
      </c>
      <c r="CF128" s="6" t="e">
        <f t="shared" si="436"/>
        <v>#REF!</v>
      </c>
      <c r="CG128" s="6" t="e">
        <f t="shared" si="436"/>
        <v>#REF!</v>
      </c>
      <c r="CH128" s="6" t="e">
        <f t="shared" si="436"/>
        <v>#REF!</v>
      </c>
      <c r="CI128" s="6" t="e">
        <f t="shared" si="436"/>
        <v>#REF!</v>
      </c>
      <c r="CJ128" s="6" t="e">
        <f t="shared" si="436"/>
        <v>#REF!</v>
      </c>
      <c r="CK128" s="6" t="e">
        <f t="shared" si="436"/>
        <v>#REF!</v>
      </c>
      <c r="CL128" s="6" t="e">
        <f t="shared" si="436"/>
        <v>#REF!</v>
      </c>
      <c r="CM128" s="6" t="e">
        <f t="shared" si="436"/>
        <v>#REF!</v>
      </c>
      <c r="CN128" s="6" t="e">
        <f t="shared" si="436"/>
        <v>#REF!</v>
      </c>
      <c r="CO128" s="6" t="e">
        <f t="shared" si="436"/>
        <v>#REF!</v>
      </c>
      <c r="CP128" s="6" t="e">
        <f t="shared" si="436"/>
        <v>#REF!</v>
      </c>
      <c r="CQ128" s="6" t="e">
        <f t="shared" si="436"/>
        <v>#REF!</v>
      </c>
      <c r="CR128" s="6" t="e">
        <f t="shared" si="436"/>
        <v>#REF!</v>
      </c>
      <c r="CS128" s="6" t="e">
        <f t="shared" si="436"/>
        <v>#REF!</v>
      </c>
      <c r="CT128" s="6" t="e">
        <f t="shared" si="436"/>
        <v>#REF!</v>
      </c>
      <c r="CU128" s="6" t="e">
        <f t="shared" si="436"/>
        <v>#REF!</v>
      </c>
      <c r="CV128" s="6" t="e">
        <f t="shared" si="436"/>
        <v>#REF!</v>
      </c>
      <c r="CW128" s="6" t="e">
        <f t="shared" si="436"/>
        <v>#REF!</v>
      </c>
      <c r="CX128" s="6" t="e">
        <f t="shared" si="436"/>
        <v>#REF!</v>
      </c>
      <c r="CY128" s="6" t="e">
        <f t="shared" si="436"/>
        <v>#REF!</v>
      </c>
      <c r="CZ128" s="6" t="e">
        <f t="shared" si="436"/>
        <v>#REF!</v>
      </c>
      <c r="DA128" s="6" t="e">
        <f t="shared" si="436"/>
        <v>#REF!</v>
      </c>
      <c r="DB128" s="6" t="e">
        <f t="shared" si="436"/>
        <v>#REF!</v>
      </c>
      <c r="DC128" s="6" t="e">
        <f t="shared" si="436"/>
        <v>#REF!</v>
      </c>
      <c r="DD128" s="6" t="e">
        <f t="shared" si="436"/>
        <v>#REF!</v>
      </c>
      <c r="DE128" s="6" t="e">
        <f t="shared" si="436"/>
        <v>#REF!</v>
      </c>
      <c r="DF128" s="6" t="e">
        <f t="shared" si="436"/>
        <v>#REF!</v>
      </c>
      <c r="DG128" s="6" t="e">
        <f t="shared" si="436"/>
        <v>#REF!</v>
      </c>
      <c r="DH128" s="6" t="e">
        <f t="shared" si="436"/>
        <v>#REF!</v>
      </c>
      <c r="DI128" s="6" t="e">
        <f t="shared" si="436"/>
        <v>#REF!</v>
      </c>
      <c r="DJ128" s="6" t="e">
        <f t="shared" si="436"/>
        <v>#REF!</v>
      </c>
      <c r="DK128" s="6" t="e">
        <f t="shared" si="436"/>
        <v>#REF!</v>
      </c>
      <c r="DL128" s="6" t="e">
        <f t="shared" si="436"/>
        <v>#REF!</v>
      </c>
      <c r="DM128" s="6" t="e">
        <f t="shared" si="436"/>
        <v>#REF!</v>
      </c>
      <c r="DN128" s="6" t="e">
        <f t="shared" si="436"/>
        <v>#REF!</v>
      </c>
      <c r="DO128" s="6" t="e">
        <f t="shared" si="436"/>
        <v>#REF!</v>
      </c>
      <c r="DP128" s="6" t="e">
        <f t="shared" si="436"/>
        <v>#REF!</v>
      </c>
      <c r="DQ128" s="6" t="e">
        <f t="shared" si="436"/>
        <v>#REF!</v>
      </c>
      <c r="DR128" s="6" t="e">
        <f t="shared" si="436"/>
        <v>#REF!</v>
      </c>
      <c r="DS128" s="6" t="e">
        <f t="shared" si="436"/>
        <v>#REF!</v>
      </c>
      <c r="DT128" s="6" t="e">
        <f t="shared" si="436"/>
        <v>#REF!</v>
      </c>
      <c r="DU128" s="6" t="e">
        <f t="shared" si="436"/>
        <v>#REF!</v>
      </c>
      <c r="DV128" s="6" t="e">
        <f t="shared" si="436"/>
        <v>#REF!</v>
      </c>
      <c r="DW128" s="6" t="e">
        <f t="shared" si="436"/>
        <v>#REF!</v>
      </c>
      <c r="DX128" s="6" t="e">
        <f t="shared" si="436"/>
        <v>#REF!</v>
      </c>
      <c r="DY128" s="6" t="e">
        <f t="shared" si="436"/>
        <v>#REF!</v>
      </c>
      <c r="DZ128" s="6" t="e">
        <f t="shared" si="436"/>
        <v>#REF!</v>
      </c>
      <c r="EA128" s="6" t="e">
        <f t="shared" si="436"/>
        <v>#REF!</v>
      </c>
      <c r="EB128" s="6" t="e">
        <f t="shared" si="436"/>
        <v>#REF!</v>
      </c>
      <c r="EC128" s="6" t="e">
        <f t="shared" si="436"/>
        <v>#REF!</v>
      </c>
      <c r="ED128" s="6" t="e">
        <f t="shared" ref="ED128:GO128" si="437">ED126+ED127</f>
        <v>#REF!</v>
      </c>
      <c r="EE128" s="6" t="e">
        <f t="shared" si="437"/>
        <v>#REF!</v>
      </c>
      <c r="EF128" s="6" t="e">
        <f t="shared" si="437"/>
        <v>#REF!</v>
      </c>
      <c r="EG128" s="6" t="e">
        <f t="shared" si="437"/>
        <v>#REF!</v>
      </c>
      <c r="EH128" s="6" t="e">
        <f t="shared" si="437"/>
        <v>#REF!</v>
      </c>
      <c r="EI128" s="6" t="e">
        <f t="shared" si="437"/>
        <v>#REF!</v>
      </c>
      <c r="EJ128" s="6" t="e">
        <f t="shared" si="437"/>
        <v>#REF!</v>
      </c>
      <c r="EK128" s="6" t="e">
        <f t="shared" si="437"/>
        <v>#REF!</v>
      </c>
      <c r="EL128" s="6" t="e">
        <f t="shared" si="437"/>
        <v>#REF!</v>
      </c>
      <c r="EM128" s="6" t="e">
        <f t="shared" si="437"/>
        <v>#REF!</v>
      </c>
      <c r="EN128" s="6" t="e">
        <f t="shared" si="437"/>
        <v>#REF!</v>
      </c>
      <c r="EO128" s="6" t="e">
        <f t="shared" si="437"/>
        <v>#REF!</v>
      </c>
      <c r="EP128" s="6" t="e">
        <f t="shared" si="437"/>
        <v>#REF!</v>
      </c>
      <c r="EQ128" s="6" t="e">
        <f t="shared" si="437"/>
        <v>#REF!</v>
      </c>
      <c r="ER128" s="6" t="e">
        <f t="shared" si="437"/>
        <v>#REF!</v>
      </c>
      <c r="ES128" s="6" t="e">
        <f t="shared" si="437"/>
        <v>#REF!</v>
      </c>
      <c r="ET128" s="6" t="e">
        <f t="shared" si="437"/>
        <v>#REF!</v>
      </c>
      <c r="EU128" s="6" t="e">
        <f t="shared" si="437"/>
        <v>#REF!</v>
      </c>
      <c r="EV128" s="6" t="e">
        <f t="shared" si="437"/>
        <v>#REF!</v>
      </c>
      <c r="EW128" s="6" t="e">
        <f t="shared" si="437"/>
        <v>#REF!</v>
      </c>
      <c r="EX128" s="6" t="e">
        <f t="shared" si="437"/>
        <v>#REF!</v>
      </c>
      <c r="EY128" s="6" t="e">
        <f t="shared" si="437"/>
        <v>#REF!</v>
      </c>
      <c r="EZ128" s="6" t="e">
        <f t="shared" si="437"/>
        <v>#REF!</v>
      </c>
      <c r="FA128" s="6" t="e">
        <f t="shared" si="437"/>
        <v>#REF!</v>
      </c>
      <c r="FB128" s="6" t="e">
        <f t="shared" si="437"/>
        <v>#REF!</v>
      </c>
      <c r="FC128" s="6" t="e">
        <f t="shared" si="437"/>
        <v>#REF!</v>
      </c>
      <c r="FD128" s="6" t="e">
        <f t="shared" si="437"/>
        <v>#REF!</v>
      </c>
      <c r="FE128" s="6" t="e">
        <f t="shared" si="437"/>
        <v>#REF!</v>
      </c>
      <c r="FF128" s="6" t="e">
        <f t="shared" si="437"/>
        <v>#REF!</v>
      </c>
      <c r="FG128" s="6" t="e">
        <f t="shared" si="437"/>
        <v>#REF!</v>
      </c>
      <c r="FH128" s="6" t="e">
        <f t="shared" si="437"/>
        <v>#REF!</v>
      </c>
      <c r="FI128" s="6" t="e">
        <f t="shared" si="437"/>
        <v>#REF!</v>
      </c>
      <c r="FJ128" s="6" t="e">
        <f t="shared" si="437"/>
        <v>#REF!</v>
      </c>
      <c r="FK128" s="6" t="e">
        <f t="shared" si="437"/>
        <v>#REF!</v>
      </c>
      <c r="FL128" s="6" t="e">
        <f t="shared" si="437"/>
        <v>#REF!</v>
      </c>
      <c r="FM128" s="6" t="e">
        <f t="shared" si="437"/>
        <v>#REF!</v>
      </c>
      <c r="FN128" s="6" t="e">
        <f t="shared" si="437"/>
        <v>#REF!</v>
      </c>
      <c r="FO128" s="6" t="e">
        <f t="shared" si="437"/>
        <v>#REF!</v>
      </c>
      <c r="FP128" s="6" t="e">
        <f t="shared" si="437"/>
        <v>#REF!</v>
      </c>
      <c r="FQ128" s="6" t="e">
        <f t="shared" si="437"/>
        <v>#REF!</v>
      </c>
      <c r="FR128" s="6" t="e">
        <f t="shared" si="437"/>
        <v>#REF!</v>
      </c>
      <c r="FS128" s="6" t="e">
        <f t="shared" si="437"/>
        <v>#REF!</v>
      </c>
      <c r="FT128" s="6" t="e">
        <f t="shared" si="437"/>
        <v>#REF!</v>
      </c>
      <c r="FU128" s="6" t="e">
        <f t="shared" si="437"/>
        <v>#REF!</v>
      </c>
      <c r="FV128" s="6" t="e">
        <f t="shared" si="437"/>
        <v>#REF!</v>
      </c>
      <c r="FW128" s="6" t="e">
        <f t="shared" si="437"/>
        <v>#REF!</v>
      </c>
      <c r="FX128" s="6" t="e">
        <f t="shared" si="437"/>
        <v>#REF!</v>
      </c>
      <c r="FY128" s="6" t="e">
        <f t="shared" si="437"/>
        <v>#REF!</v>
      </c>
      <c r="FZ128" s="6" t="e">
        <f t="shared" si="437"/>
        <v>#REF!</v>
      </c>
      <c r="GA128" s="6" t="e">
        <f t="shared" si="437"/>
        <v>#REF!</v>
      </c>
      <c r="GB128" s="6" t="e">
        <f t="shared" si="437"/>
        <v>#REF!</v>
      </c>
      <c r="GC128" s="6" t="e">
        <f t="shared" si="437"/>
        <v>#REF!</v>
      </c>
      <c r="GD128" s="6" t="e">
        <f t="shared" si="437"/>
        <v>#REF!</v>
      </c>
      <c r="GE128" s="6" t="e">
        <f t="shared" si="437"/>
        <v>#REF!</v>
      </c>
      <c r="GF128" s="6" t="e">
        <f t="shared" si="437"/>
        <v>#REF!</v>
      </c>
      <c r="GG128" s="6" t="e">
        <f t="shared" si="437"/>
        <v>#REF!</v>
      </c>
      <c r="GH128" s="6" t="e">
        <f t="shared" si="437"/>
        <v>#REF!</v>
      </c>
      <c r="GI128" s="6" t="e">
        <f t="shared" si="437"/>
        <v>#REF!</v>
      </c>
      <c r="GJ128" s="6" t="e">
        <f t="shared" si="437"/>
        <v>#REF!</v>
      </c>
      <c r="GK128" s="6" t="e">
        <f t="shared" si="437"/>
        <v>#REF!</v>
      </c>
      <c r="GL128" s="6" t="e">
        <f t="shared" si="437"/>
        <v>#REF!</v>
      </c>
      <c r="GM128" s="6" t="e">
        <f t="shared" si="437"/>
        <v>#REF!</v>
      </c>
      <c r="GN128" s="6" t="e">
        <f t="shared" si="437"/>
        <v>#REF!</v>
      </c>
      <c r="GO128" s="6" t="e">
        <f t="shared" si="437"/>
        <v>#REF!</v>
      </c>
      <c r="GP128" s="6" t="e">
        <f t="shared" ref="GP128:JA128" si="438">GP126+GP127</f>
        <v>#REF!</v>
      </c>
      <c r="GQ128" s="6" t="e">
        <f t="shared" si="438"/>
        <v>#REF!</v>
      </c>
      <c r="GR128" s="6" t="e">
        <f t="shared" si="438"/>
        <v>#REF!</v>
      </c>
      <c r="GS128" s="6" t="e">
        <f t="shared" si="438"/>
        <v>#REF!</v>
      </c>
      <c r="GT128" s="6" t="e">
        <f t="shared" si="438"/>
        <v>#REF!</v>
      </c>
      <c r="GU128" s="6" t="e">
        <f t="shared" si="438"/>
        <v>#REF!</v>
      </c>
      <c r="GV128" s="6" t="e">
        <f t="shared" si="438"/>
        <v>#REF!</v>
      </c>
      <c r="GW128" s="6" t="e">
        <f t="shared" si="438"/>
        <v>#REF!</v>
      </c>
      <c r="GX128" s="6" t="e">
        <f t="shared" si="438"/>
        <v>#REF!</v>
      </c>
      <c r="GY128" s="6" t="e">
        <f t="shared" si="438"/>
        <v>#REF!</v>
      </c>
      <c r="GZ128" s="6" t="e">
        <f t="shared" si="438"/>
        <v>#REF!</v>
      </c>
      <c r="HA128" s="6" t="e">
        <f t="shared" si="438"/>
        <v>#REF!</v>
      </c>
      <c r="HB128" s="6" t="e">
        <f t="shared" si="438"/>
        <v>#REF!</v>
      </c>
      <c r="HC128" s="6" t="e">
        <f t="shared" si="438"/>
        <v>#REF!</v>
      </c>
      <c r="HD128" s="6" t="e">
        <f t="shared" si="438"/>
        <v>#REF!</v>
      </c>
      <c r="HE128" s="6" t="e">
        <f t="shared" si="438"/>
        <v>#REF!</v>
      </c>
      <c r="HF128" s="6" t="e">
        <f t="shared" si="438"/>
        <v>#REF!</v>
      </c>
      <c r="HG128" s="6" t="e">
        <f t="shared" si="438"/>
        <v>#REF!</v>
      </c>
      <c r="HH128" s="6" t="e">
        <f t="shared" si="438"/>
        <v>#REF!</v>
      </c>
      <c r="HI128" s="6" t="e">
        <f t="shared" si="438"/>
        <v>#REF!</v>
      </c>
      <c r="HJ128" s="6" t="e">
        <f t="shared" si="438"/>
        <v>#REF!</v>
      </c>
      <c r="HK128" s="6" t="e">
        <f t="shared" si="438"/>
        <v>#REF!</v>
      </c>
      <c r="HL128" s="6" t="e">
        <f t="shared" si="438"/>
        <v>#REF!</v>
      </c>
      <c r="HM128" s="6" t="e">
        <f t="shared" si="438"/>
        <v>#REF!</v>
      </c>
      <c r="HN128" s="6" t="e">
        <f t="shared" si="438"/>
        <v>#REF!</v>
      </c>
      <c r="HO128" s="6" t="e">
        <f t="shared" si="438"/>
        <v>#REF!</v>
      </c>
      <c r="HP128" s="6" t="e">
        <f t="shared" si="438"/>
        <v>#REF!</v>
      </c>
      <c r="HQ128" s="6" t="e">
        <f t="shared" si="438"/>
        <v>#REF!</v>
      </c>
      <c r="HR128" s="6" t="e">
        <f t="shared" si="438"/>
        <v>#REF!</v>
      </c>
      <c r="HS128" s="6" t="e">
        <f t="shared" si="438"/>
        <v>#REF!</v>
      </c>
      <c r="HT128" s="6" t="e">
        <f t="shared" si="438"/>
        <v>#REF!</v>
      </c>
      <c r="HU128" s="6" t="e">
        <f t="shared" si="438"/>
        <v>#REF!</v>
      </c>
      <c r="HV128" s="6" t="e">
        <f t="shared" si="438"/>
        <v>#REF!</v>
      </c>
      <c r="HW128" s="6" t="e">
        <f t="shared" si="438"/>
        <v>#REF!</v>
      </c>
      <c r="HX128" s="6" t="e">
        <f t="shared" si="438"/>
        <v>#REF!</v>
      </c>
      <c r="HY128" s="6" t="e">
        <f t="shared" si="438"/>
        <v>#REF!</v>
      </c>
      <c r="HZ128" s="6" t="e">
        <f t="shared" si="438"/>
        <v>#REF!</v>
      </c>
      <c r="IA128" s="6" t="e">
        <f t="shared" si="438"/>
        <v>#REF!</v>
      </c>
      <c r="IB128" s="6" t="e">
        <f t="shared" si="438"/>
        <v>#REF!</v>
      </c>
      <c r="IC128" s="6" t="e">
        <f t="shared" si="438"/>
        <v>#REF!</v>
      </c>
      <c r="ID128" s="6" t="e">
        <f t="shared" si="438"/>
        <v>#REF!</v>
      </c>
      <c r="IE128" s="6" t="e">
        <f t="shared" si="438"/>
        <v>#REF!</v>
      </c>
      <c r="IF128" s="6" t="e">
        <f t="shared" si="438"/>
        <v>#REF!</v>
      </c>
      <c r="IG128" s="6" t="e">
        <f t="shared" si="438"/>
        <v>#REF!</v>
      </c>
      <c r="IH128" s="6" t="e">
        <f t="shared" si="438"/>
        <v>#REF!</v>
      </c>
      <c r="II128" s="6" t="e">
        <f t="shared" si="438"/>
        <v>#REF!</v>
      </c>
      <c r="IJ128" s="6" t="e">
        <f t="shared" si="438"/>
        <v>#REF!</v>
      </c>
      <c r="IK128" s="6" t="e">
        <f t="shared" si="438"/>
        <v>#REF!</v>
      </c>
      <c r="IL128" s="6" t="e">
        <f t="shared" si="438"/>
        <v>#REF!</v>
      </c>
      <c r="IM128" s="6" t="e">
        <f t="shared" si="438"/>
        <v>#REF!</v>
      </c>
      <c r="IN128" s="6" t="e">
        <f t="shared" si="438"/>
        <v>#REF!</v>
      </c>
      <c r="IO128" s="6" t="e">
        <f t="shared" si="438"/>
        <v>#REF!</v>
      </c>
      <c r="IP128" s="6" t="e">
        <f t="shared" si="438"/>
        <v>#REF!</v>
      </c>
      <c r="IQ128" s="6" t="e">
        <f t="shared" si="438"/>
        <v>#REF!</v>
      </c>
      <c r="IR128" s="6" t="e">
        <f t="shared" si="438"/>
        <v>#REF!</v>
      </c>
      <c r="IS128" s="6" t="e">
        <f t="shared" si="438"/>
        <v>#REF!</v>
      </c>
      <c r="IT128" s="6" t="e">
        <f t="shared" si="438"/>
        <v>#REF!</v>
      </c>
      <c r="IU128" s="6" t="e">
        <f t="shared" si="438"/>
        <v>#REF!</v>
      </c>
      <c r="IV128" s="6" t="e">
        <f t="shared" si="438"/>
        <v>#REF!</v>
      </c>
      <c r="IW128" s="6" t="e">
        <f t="shared" si="438"/>
        <v>#REF!</v>
      </c>
      <c r="IX128" s="6" t="e">
        <f t="shared" si="438"/>
        <v>#REF!</v>
      </c>
      <c r="IY128" s="6" t="e">
        <f t="shared" si="438"/>
        <v>#REF!</v>
      </c>
      <c r="IZ128" s="6" t="e">
        <f t="shared" si="438"/>
        <v>#REF!</v>
      </c>
      <c r="JA128" s="6" t="e">
        <f t="shared" si="438"/>
        <v>#REF!</v>
      </c>
      <c r="JB128" s="6" t="e">
        <f t="shared" ref="JB128:KS128" si="439">JB126+JB127</f>
        <v>#REF!</v>
      </c>
      <c r="JC128" s="6" t="e">
        <f t="shared" si="439"/>
        <v>#REF!</v>
      </c>
      <c r="JD128" s="6" t="e">
        <f t="shared" si="439"/>
        <v>#REF!</v>
      </c>
      <c r="JE128" s="6" t="e">
        <f t="shared" si="439"/>
        <v>#REF!</v>
      </c>
      <c r="JF128" s="6" t="e">
        <f t="shared" si="439"/>
        <v>#REF!</v>
      </c>
      <c r="JG128" s="6" t="e">
        <f t="shared" si="439"/>
        <v>#REF!</v>
      </c>
      <c r="JH128" s="6" t="e">
        <f t="shared" si="439"/>
        <v>#REF!</v>
      </c>
      <c r="JI128" s="6" t="e">
        <f t="shared" si="439"/>
        <v>#REF!</v>
      </c>
      <c r="JJ128" s="6" t="e">
        <f t="shared" si="439"/>
        <v>#REF!</v>
      </c>
      <c r="JK128" s="6" t="e">
        <f t="shared" si="439"/>
        <v>#REF!</v>
      </c>
      <c r="JL128" s="6" t="e">
        <f t="shared" si="439"/>
        <v>#REF!</v>
      </c>
      <c r="JM128" s="6" t="e">
        <f t="shared" si="439"/>
        <v>#REF!</v>
      </c>
      <c r="JN128" s="6" t="e">
        <f t="shared" si="439"/>
        <v>#REF!</v>
      </c>
      <c r="JO128" s="6" t="e">
        <f t="shared" si="439"/>
        <v>#REF!</v>
      </c>
      <c r="JP128" s="6" t="e">
        <f t="shared" si="439"/>
        <v>#REF!</v>
      </c>
      <c r="JQ128" s="6" t="e">
        <f t="shared" si="439"/>
        <v>#REF!</v>
      </c>
      <c r="JR128" s="6" t="e">
        <f t="shared" si="439"/>
        <v>#REF!</v>
      </c>
      <c r="JS128" s="6" t="e">
        <f t="shared" si="439"/>
        <v>#REF!</v>
      </c>
      <c r="JT128" s="6" t="e">
        <f t="shared" si="439"/>
        <v>#REF!</v>
      </c>
      <c r="JU128" s="6" t="e">
        <f t="shared" si="439"/>
        <v>#REF!</v>
      </c>
      <c r="JV128" s="6" t="e">
        <f t="shared" si="439"/>
        <v>#REF!</v>
      </c>
      <c r="JW128" s="6" t="e">
        <f t="shared" si="439"/>
        <v>#REF!</v>
      </c>
      <c r="JX128" s="6" t="e">
        <f t="shared" si="439"/>
        <v>#REF!</v>
      </c>
      <c r="JY128" s="6" t="e">
        <f t="shared" si="439"/>
        <v>#REF!</v>
      </c>
      <c r="JZ128" s="6" t="e">
        <f t="shared" si="439"/>
        <v>#REF!</v>
      </c>
      <c r="KA128" s="6" t="e">
        <f t="shared" si="439"/>
        <v>#REF!</v>
      </c>
      <c r="KB128" s="6" t="e">
        <f t="shared" si="439"/>
        <v>#REF!</v>
      </c>
      <c r="KC128" s="6" t="e">
        <f t="shared" si="439"/>
        <v>#REF!</v>
      </c>
      <c r="KD128" s="6" t="e">
        <f t="shared" si="439"/>
        <v>#REF!</v>
      </c>
      <c r="KE128" s="6" t="e">
        <f t="shared" si="439"/>
        <v>#REF!</v>
      </c>
      <c r="KF128" s="6" t="e">
        <f t="shared" si="439"/>
        <v>#REF!</v>
      </c>
      <c r="KG128" s="6" t="e">
        <f t="shared" si="439"/>
        <v>#REF!</v>
      </c>
      <c r="KH128" s="6" t="e">
        <f t="shared" si="439"/>
        <v>#REF!</v>
      </c>
      <c r="KI128" s="6" t="e">
        <f t="shared" si="439"/>
        <v>#REF!</v>
      </c>
      <c r="KJ128" s="6" t="e">
        <f t="shared" si="439"/>
        <v>#REF!</v>
      </c>
      <c r="KK128" s="6" t="e">
        <f t="shared" si="439"/>
        <v>#REF!</v>
      </c>
      <c r="KL128" s="6" t="e">
        <f t="shared" si="439"/>
        <v>#REF!</v>
      </c>
      <c r="KM128" s="6" t="e">
        <f t="shared" si="439"/>
        <v>#REF!</v>
      </c>
      <c r="KN128" s="6" t="e">
        <f t="shared" si="439"/>
        <v>#REF!</v>
      </c>
      <c r="KO128" s="6" t="e">
        <f t="shared" si="439"/>
        <v>#REF!</v>
      </c>
      <c r="KP128" s="6" t="e">
        <f t="shared" si="439"/>
        <v>#REF!</v>
      </c>
      <c r="KQ128" s="6" t="e">
        <f t="shared" si="439"/>
        <v>#REF!</v>
      </c>
      <c r="KR128" s="6" t="e">
        <f t="shared" si="439"/>
        <v>#REF!</v>
      </c>
      <c r="KS128" s="6" t="e">
        <f t="shared" si="439"/>
        <v>#REF!</v>
      </c>
    </row>
    <row r="129" spans="2:305" s="6" customFormat="1" outlineLevel="1">
      <c r="B129"/>
      <c r="C129"/>
      <c r="D129"/>
      <c r="E129" s="36" t="e">
        <f>IF(E128&lt;0,0,E128)</f>
        <v>#REF!</v>
      </c>
      <c r="F129" s="36" t="e">
        <f t="shared" ref="F129:BQ129" si="440">IF(F128&lt;0,0,F128)</f>
        <v>#REF!</v>
      </c>
      <c r="G129" s="36" t="e">
        <f t="shared" si="440"/>
        <v>#REF!</v>
      </c>
      <c r="H129" s="36" t="e">
        <f t="shared" si="440"/>
        <v>#REF!</v>
      </c>
      <c r="I129" s="36" t="e">
        <f t="shared" si="440"/>
        <v>#REF!</v>
      </c>
      <c r="J129" s="36" t="e">
        <f t="shared" si="440"/>
        <v>#REF!</v>
      </c>
      <c r="K129" s="36" t="e">
        <f t="shared" si="440"/>
        <v>#REF!</v>
      </c>
      <c r="L129" s="36" t="e">
        <f t="shared" si="440"/>
        <v>#REF!</v>
      </c>
      <c r="M129" s="36" t="e">
        <f t="shared" si="440"/>
        <v>#REF!</v>
      </c>
      <c r="N129" s="36" t="e">
        <f t="shared" si="440"/>
        <v>#REF!</v>
      </c>
      <c r="O129" s="36" t="e">
        <f t="shared" si="440"/>
        <v>#REF!</v>
      </c>
      <c r="P129" s="36" t="e">
        <f t="shared" si="440"/>
        <v>#REF!</v>
      </c>
      <c r="Q129" s="36" t="e">
        <f t="shared" si="440"/>
        <v>#REF!</v>
      </c>
      <c r="R129" s="36" t="e">
        <f t="shared" si="440"/>
        <v>#REF!</v>
      </c>
      <c r="S129" s="36" t="e">
        <f t="shared" si="440"/>
        <v>#REF!</v>
      </c>
      <c r="T129" s="36" t="e">
        <f t="shared" si="440"/>
        <v>#REF!</v>
      </c>
      <c r="U129" s="36" t="e">
        <f t="shared" si="440"/>
        <v>#REF!</v>
      </c>
      <c r="V129" s="36" t="e">
        <f t="shared" si="440"/>
        <v>#REF!</v>
      </c>
      <c r="W129" s="36" t="e">
        <f t="shared" si="440"/>
        <v>#REF!</v>
      </c>
      <c r="X129" s="36" t="e">
        <f t="shared" si="440"/>
        <v>#REF!</v>
      </c>
      <c r="Y129" s="36" t="e">
        <f t="shared" si="440"/>
        <v>#REF!</v>
      </c>
      <c r="Z129" s="36" t="e">
        <f t="shared" si="440"/>
        <v>#REF!</v>
      </c>
      <c r="AA129" s="36" t="e">
        <f t="shared" si="440"/>
        <v>#REF!</v>
      </c>
      <c r="AB129" s="36" t="e">
        <f t="shared" si="440"/>
        <v>#REF!</v>
      </c>
      <c r="AC129" s="36" t="e">
        <f t="shared" si="440"/>
        <v>#REF!</v>
      </c>
      <c r="AD129" s="36" t="e">
        <f t="shared" si="440"/>
        <v>#REF!</v>
      </c>
      <c r="AE129" s="36" t="e">
        <f t="shared" si="440"/>
        <v>#REF!</v>
      </c>
      <c r="AF129" s="36" t="e">
        <f t="shared" si="440"/>
        <v>#REF!</v>
      </c>
      <c r="AG129" s="36" t="e">
        <f t="shared" si="440"/>
        <v>#REF!</v>
      </c>
      <c r="AH129" s="36" t="e">
        <f t="shared" si="440"/>
        <v>#REF!</v>
      </c>
      <c r="AI129" s="36" t="e">
        <f t="shared" si="440"/>
        <v>#REF!</v>
      </c>
      <c r="AJ129" s="36" t="e">
        <f t="shared" si="440"/>
        <v>#REF!</v>
      </c>
      <c r="AK129" s="36" t="e">
        <f t="shared" si="440"/>
        <v>#REF!</v>
      </c>
      <c r="AL129" s="36" t="e">
        <f t="shared" si="440"/>
        <v>#REF!</v>
      </c>
      <c r="AM129" s="36" t="e">
        <f t="shared" si="440"/>
        <v>#REF!</v>
      </c>
      <c r="AN129" s="36" t="e">
        <f t="shared" si="440"/>
        <v>#REF!</v>
      </c>
      <c r="AO129" s="36" t="e">
        <f t="shared" si="440"/>
        <v>#REF!</v>
      </c>
      <c r="AP129" s="36" t="e">
        <f t="shared" si="440"/>
        <v>#REF!</v>
      </c>
      <c r="AQ129" s="36" t="e">
        <f t="shared" si="440"/>
        <v>#REF!</v>
      </c>
      <c r="AR129" s="36" t="e">
        <f t="shared" si="440"/>
        <v>#REF!</v>
      </c>
      <c r="AS129" s="36" t="e">
        <f t="shared" si="440"/>
        <v>#REF!</v>
      </c>
      <c r="AT129" s="36" t="e">
        <f t="shared" si="440"/>
        <v>#REF!</v>
      </c>
      <c r="AU129" s="36" t="e">
        <f t="shared" si="440"/>
        <v>#REF!</v>
      </c>
      <c r="AV129" s="36" t="e">
        <f t="shared" si="440"/>
        <v>#REF!</v>
      </c>
      <c r="AW129" s="36" t="e">
        <f t="shared" si="440"/>
        <v>#REF!</v>
      </c>
      <c r="AX129" s="36" t="e">
        <f t="shared" si="440"/>
        <v>#REF!</v>
      </c>
      <c r="AY129" s="36" t="e">
        <f t="shared" si="440"/>
        <v>#REF!</v>
      </c>
      <c r="AZ129" s="36" t="e">
        <f t="shared" si="440"/>
        <v>#REF!</v>
      </c>
      <c r="BA129" s="36" t="e">
        <f t="shared" si="440"/>
        <v>#REF!</v>
      </c>
      <c r="BB129" s="36" t="e">
        <f t="shared" si="440"/>
        <v>#REF!</v>
      </c>
      <c r="BC129" s="36" t="e">
        <f t="shared" si="440"/>
        <v>#REF!</v>
      </c>
      <c r="BD129" s="36" t="e">
        <f t="shared" si="440"/>
        <v>#REF!</v>
      </c>
      <c r="BE129" s="36" t="e">
        <f t="shared" si="440"/>
        <v>#REF!</v>
      </c>
      <c r="BF129" s="36" t="e">
        <f t="shared" si="440"/>
        <v>#REF!</v>
      </c>
      <c r="BG129" s="36" t="e">
        <f t="shared" si="440"/>
        <v>#REF!</v>
      </c>
      <c r="BH129" s="36" t="e">
        <f t="shared" si="440"/>
        <v>#REF!</v>
      </c>
      <c r="BI129" s="36" t="e">
        <f t="shared" si="440"/>
        <v>#REF!</v>
      </c>
      <c r="BJ129" s="36" t="e">
        <f t="shared" si="440"/>
        <v>#REF!</v>
      </c>
      <c r="BK129" s="36" t="e">
        <f t="shared" si="440"/>
        <v>#REF!</v>
      </c>
      <c r="BL129" s="36" t="e">
        <f t="shared" si="440"/>
        <v>#REF!</v>
      </c>
      <c r="BM129" s="36" t="e">
        <f t="shared" si="440"/>
        <v>#REF!</v>
      </c>
      <c r="BN129" s="36" t="e">
        <f t="shared" si="440"/>
        <v>#REF!</v>
      </c>
      <c r="BO129" s="36" t="e">
        <f t="shared" si="440"/>
        <v>#REF!</v>
      </c>
      <c r="BP129" s="36" t="e">
        <f t="shared" si="440"/>
        <v>#REF!</v>
      </c>
      <c r="BQ129" s="36" t="e">
        <f t="shared" si="440"/>
        <v>#REF!</v>
      </c>
      <c r="BR129" s="36" t="e">
        <f t="shared" ref="BR129:EC129" si="441">IF(BR128&lt;0,0,BR128)</f>
        <v>#REF!</v>
      </c>
      <c r="BS129" s="36" t="e">
        <f t="shared" si="441"/>
        <v>#REF!</v>
      </c>
      <c r="BT129" s="36" t="e">
        <f t="shared" si="441"/>
        <v>#REF!</v>
      </c>
      <c r="BU129" s="36" t="e">
        <f t="shared" si="441"/>
        <v>#REF!</v>
      </c>
      <c r="BV129" s="36" t="e">
        <f t="shared" si="441"/>
        <v>#REF!</v>
      </c>
      <c r="BW129" s="36" t="e">
        <f t="shared" si="441"/>
        <v>#REF!</v>
      </c>
      <c r="BX129" s="36" t="e">
        <f t="shared" si="441"/>
        <v>#REF!</v>
      </c>
      <c r="BY129" s="36" t="e">
        <f t="shared" si="441"/>
        <v>#REF!</v>
      </c>
      <c r="BZ129" s="36" t="e">
        <f t="shared" si="441"/>
        <v>#REF!</v>
      </c>
      <c r="CA129" s="36" t="e">
        <f t="shared" si="441"/>
        <v>#REF!</v>
      </c>
      <c r="CB129" s="36" t="e">
        <f t="shared" si="441"/>
        <v>#REF!</v>
      </c>
      <c r="CC129" s="36" t="e">
        <f t="shared" si="441"/>
        <v>#REF!</v>
      </c>
      <c r="CD129" s="36" t="e">
        <f t="shared" si="441"/>
        <v>#REF!</v>
      </c>
      <c r="CE129" s="36" t="e">
        <f t="shared" si="441"/>
        <v>#REF!</v>
      </c>
      <c r="CF129" s="36" t="e">
        <f t="shared" si="441"/>
        <v>#REF!</v>
      </c>
      <c r="CG129" s="36" t="e">
        <f t="shared" si="441"/>
        <v>#REF!</v>
      </c>
      <c r="CH129" s="36" t="e">
        <f t="shared" si="441"/>
        <v>#REF!</v>
      </c>
      <c r="CI129" s="36" t="e">
        <f t="shared" si="441"/>
        <v>#REF!</v>
      </c>
      <c r="CJ129" s="36" t="e">
        <f t="shared" si="441"/>
        <v>#REF!</v>
      </c>
      <c r="CK129" s="36" t="e">
        <f t="shared" si="441"/>
        <v>#REF!</v>
      </c>
      <c r="CL129" s="36" t="e">
        <f t="shared" si="441"/>
        <v>#REF!</v>
      </c>
      <c r="CM129" s="36" t="e">
        <f t="shared" si="441"/>
        <v>#REF!</v>
      </c>
      <c r="CN129" s="36" t="e">
        <f t="shared" si="441"/>
        <v>#REF!</v>
      </c>
      <c r="CO129" s="36" t="e">
        <f t="shared" si="441"/>
        <v>#REF!</v>
      </c>
      <c r="CP129" s="36" t="e">
        <f t="shared" si="441"/>
        <v>#REF!</v>
      </c>
      <c r="CQ129" s="36" t="e">
        <f t="shared" si="441"/>
        <v>#REF!</v>
      </c>
      <c r="CR129" s="36" t="e">
        <f t="shared" si="441"/>
        <v>#REF!</v>
      </c>
      <c r="CS129" s="36" t="e">
        <f t="shared" si="441"/>
        <v>#REF!</v>
      </c>
      <c r="CT129" s="36" t="e">
        <f t="shared" si="441"/>
        <v>#REF!</v>
      </c>
      <c r="CU129" s="36" t="e">
        <f t="shared" si="441"/>
        <v>#REF!</v>
      </c>
      <c r="CV129" s="36" t="e">
        <f t="shared" si="441"/>
        <v>#REF!</v>
      </c>
      <c r="CW129" s="36" t="e">
        <f t="shared" si="441"/>
        <v>#REF!</v>
      </c>
      <c r="CX129" s="36" t="e">
        <f t="shared" si="441"/>
        <v>#REF!</v>
      </c>
      <c r="CY129" s="36" t="e">
        <f t="shared" si="441"/>
        <v>#REF!</v>
      </c>
      <c r="CZ129" s="36" t="e">
        <f t="shared" si="441"/>
        <v>#REF!</v>
      </c>
      <c r="DA129" s="36" t="e">
        <f t="shared" si="441"/>
        <v>#REF!</v>
      </c>
      <c r="DB129" s="36" t="e">
        <f t="shared" si="441"/>
        <v>#REF!</v>
      </c>
      <c r="DC129" s="36" t="e">
        <f t="shared" si="441"/>
        <v>#REF!</v>
      </c>
      <c r="DD129" s="36" t="e">
        <f t="shared" si="441"/>
        <v>#REF!</v>
      </c>
      <c r="DE129" s="36" t="e">
        <f t="shared" si="441"/>
        <v>#REF!</v>
      </c>
      <c r="DF129" s="36" t="e">
        <f t="shared" si="441"/>
        <v>#REF!</v>
      </c>
      <c r="DG129" s="36" t="e">
        <f t="shared" si="441"/>
        <v>#REF!</v>
      </c>
      <c r="DH129" s="36" t="e">
        <f t="shared" si="441"/>
        <v>#REF!</v>
      </c>
      <c r="DI129" s="36" t="e">
        <f t="shared" si="441"/>
        <v>#REF!</v>
      </c>
      <c r="DJ129" s="36" t="e">
        <f t="shared" si="441"/>
        <v>#REF!</v>
      </c>
      <c r="DK129" s="36" t="e">
        <f t="shared" si="441"/>
        <v>#REF!</v>
      </c>
      <c r="DL129" s="36" t="e">
        <f t="shared" si="441"/>
        <v>#REF!</v>
      </c>
      <c r="DM129" s="36" t="e">
        <f t="shared" si="441"/>
        <v>#REF!</v>
      </c>
      <c r="DN129" s="36" t="e">
        <f t="shared" si="441"/>
        <v>#REF!</v>
      </c>
      <c r="DO129" s="36" t="e">
        <f t="shared" si="441"/>
        <v>#REF!</v>
      </c>
      <c r="DP129" s="36" t="e">
        <f t="shared" si="441"/>
        <v>#REF!</v>
      </c>
      <c r="DQ129" s="36" t="e">
        <f t="shared" si="441"/>
        <v>#REF!</v>
      </c>
      <c r="DR129" s="36" t="e">
        <f t="shared" si="441"/>
        <v>#REF!</v>
      </c>
      <c r="DS129" s="36" t="e">
        <f t="shared" si="441"/>
        <v>#REF!</v>
      </c>
      <c r="DT129" s="36" t="e">
        <f t="shared" si="441"/>
        <v>#REF!</v>
      </c>
      <c r="DU129" s="36" t="e">
        <f t="shared" si="441"/>
        <v>#REF!</v>
      </c>
      <c r="DV129" s="36" t="e">
        <f t="shared" si="441"/>
        <v>#REF!</v>
      </c>
      <c r="DW129" s="36" t="e">
        <f t="shared" si="441"/>
        <v>#REF!</v>
      </c>
      <c r="DX129" s="36" t="e">
        <f t="shared" si="441"/>
        <v>#REF!</v>
      </c>
      <c r="DY129" s="36" t="e">
        <f t="shared" si="441"/>
        <v>#REF!</v>
      </c>
      <c r="DZ129" s="36" t="e">
        <f t="shared" si="441"/>
        <v>#REF!</v>
      </c>
      <c r="EA129" s="36" t="e">
        <f t="shared" si="441"/>
        <v>#REF!</v>
      </c>
      <c r="EB129" s="36" t="e">
        <f t="shared" si="441"/>
        <v>#REF!</v>
      </c>
      <c r="EC129" s="36" t="e">
        <f t="shared" si="441"/>
        <v>#REF!</v>
      </c>
      <c r="ED129" s="36" t="e">
        <f t="shared" ref="ED129:GO129" si="442">IF(ED128&lt;0,0,ED128)</f>
        <v>#REF!</v>
      </c>
      <c r="EE129" s="36" t="e">
        <f t="shared" si="442"/>
        <v>#REF!</v>
      </c>
      <c r="EF129" s="36" t="e">
        <f t="shared" si="442"/>
        <v>#REF!</v>
      </c>
      <c r="EG129" s="36" t="e">
        <f t="shared" si="442"/>
        <v>#REF!</v>
      </c>
      <c r="EH129" s="36" t="e">
        <f t="shared" si="442"/>
        <v>#REF!</v>
      </c>
      <c r="EI129" s="36" t="e">
        <f t="shared" si="442"/>
        <v>#REF!</v>
      </c>
      <c r="EJ129" s="36" t="e">
        <f t="shared" si="442"/>
        <v>#REF!</v>
      </c>
      <c r="EK129" s="36" t="e">
        <f t="shared" si="442"/>
        <v>#REF!</v>
      </c>
      <c r="EL129" s="36" t="e">
        <f t="shared" si="442"/>
        <v>#REF!</v>
      </c>
      <c r="EM129" s="36" t="e">
        <f t="shared" si="442"/>
        <v>#REF!</v>
      </c>
      <c r="EN129" s="36" t="e">
        <f t="shared" si="442"/>
        <v>#REF!</v>
      </c>
      <c r="EO129" s="36" t="e">
        <f t="shared" si="442"/>
        <v>#REF!</v>
      </c>
      <c r="EP129" s="36" t="e">
        <f t="shared" si="442"/>
        <v>#REF!</v>
      </c>
      <c r="EQ129" s="36" t="e">
        <f t="shared" si="442"/>
        <v>#REF!</v>
      </c>
      <c r="ER129" s="36" t="e">
        <f t="shared" si="442"/>
        <v>#REF!</v>
      </c>
      <c r="ES129" s="36" t="e">
        <f t="shared" si="442"/>
        <v>#REF!</v>
      </c>
      <c r="ET129" s="36" t="e">
        <f t="shared" si="442"/>
        <v>#REF!</v>
      </c>
      <c r="EU129" s="36" t="e">
        <f t="shared" si="442"/>
        <v>#REF!</v>
      </c>
      <c r="EV129" s="36" t="e">
        <f t="shared" si="442"/>
        <v>#REF!</v>
      </c>
      <c r="EW129" s="36" t="e">
        <f t="shared" si="442"/>
        <v>#REF!</v>
      </c>
      <c r="EX129" s="36" t="e">
        <f t="shared" si="442"/>
        <v>#REF!</v>
      </c>
      <c r="EY129" s="36" t="e">
        <f t="shared" si="442"/>
        <v>#REF!</v>
      </c>
      <c r="EZ129" s="36" t="e">
        <f t="shared" si="442"/>
        <v>#REF!</v>
      </c>
      <c r="FA129" s="36" t="e">
        <f t="shared" si="442"/>
        <v>#REF!</v>
      </c>
      <c r="FB129" s="36" t="e">
        <f t="shared" si="442"/>
        <v>#REF!</v>
      </c>
      <c r="FC129" s="36" t="e">
        <f t="shared" si="442"/>
        <v>#REF!</v>
      </c>
      <c r="FD129" s="36" t="e">
        <f t="shared" si="442"/>
        <v>#REF!</v>
      </c>
      <c r="FE129" s="36" t="e">
        <f t="shared" si="442"/>
        <v>#REF!</v>
      </c>
      <c r="FF129" s="36" t="e">
        <f t="shared" si="442"/>
        <v>#REF!</v>
      </c>
      <c r="FG129" s="36" t="e">
        <f t="shared" si="442"/>
        <v>#REF!</v>
      </c>
      <c r="FH129" s="36" t="e">
        <f t="shared" si="442"/>
        <v>#REF!</v>
      </c>
      <c r="FI129" s="36" t="e">
        <f t="shared" si="442"/>
        <v>#REF!</v>
      </c>
      <c r="FJ129" s="36" t="e">
        <f t="shared" si="442"/>
        <v>#REF!</v>
      </c>
      <c r="FK129" s="36" t="e">
        <f t="shared" si="442"/>
        <v>#REF!</v>
      </c>
      <c r="FL129" s="36" t="e">
        <f t="shared" si="442"/>
        <v>#REF!</v>
      </c>
      <c r="FM129" s="36" t="e">
        <f t="shared" si="442"/>
        <v>#REF!</v>
      </c>
      <c r="FN129" s="36" t="e">
        <f t="shared" si="442"/>
        <v>#REF!</v>
      </c>
      <c r="FO129" s="36" t="e">
        <f t="shared" si="442"/>
        <v>#REF!</v>
      </c>
      <c r="FP129" s="36" t="e">
        <f t="shared" si="442"/>
        <v>#REF!</v>
      </c>
      <c r="FQ129" s="36" t="e">
        <f t="shared" si="442"/>
        <v>#REF!</v>
      </c>
      <c r="FR129" s="36" t="e">
        <f t="shared" si="442"/>
        <v>#REF!</v>
      </c>
      <c r="FS129" s="36" t="e">
        <f t="shared" si="442"/>
        <v>#REF!</v>
      </c>
      <c r="FT129" s="36" t="e">
        <f t="shared" si="442"/>
        <v>#REF!</v>
      </c>
      <c r="FU129" s="36" t="e">
        <f t="shared" si="442"/>
        <v>#REF!</v>
      </c>
      <c r="FV129" s="36" t="e">
        <f t="shared" si="442"/>
        <v>#REF!</v>
      </c>
      <c r="FW129" s="36" t="e">
        <f t="shared" si="442"/>
        <v>#REF!</v>
      </c>
      <c r="FX129" s="36" t="e">
        <f t="shared" si="442"/>
        <v>#REF!</v>
      </c>
      <c r="FY129" s="36" t="e">
        <f t="shared" si="442"/>
        <v>#REF!</v>
      </c>
      <c r="FZ129" s="36" t="e">
        <f t="shared" si="442"/>
        <v>#REF!</v>
      </c>
      <c r="GA129" s="36" t="e">
        <f t="shared" si="442"/>
        <v>#REF!</v>
      </c>
      <c r="GB129" s="36" t="e">
        <f t="shared" si="442"/>
        <v>#REF!</v>
      </c>
      <c r="GC129" s="36" t="e">
        <f t="shared" si="442"/>
        <v>#REF!</v>
      </c>
      <c r="GD129" s="36" t="e">
        <f t="shared" si="442"/>
        <v>#REF!</v>
      </c>
      <c r="GE129" s="36" t="e">
        <f t="shared" si="442"/>
        <v>#REF!</v>
      </c>
      <c r="GF129" s="36" t="e">
        <f t="shared" si="442"/>
        <v>#REF!</v>
      </c>
      <c r="GG129" s="36" t="e">
        <f t="shared" si="442"/>
        <v>#REF!</v>
      </c>
      <c r="GH129" s="36" t="e">
        <f t="shared" si="442"/>
        <v>#REF!</v>
      </c>
      <c r="GI129" s="36" t="e">
        <f t="shared" si="442"/>
        <v>#REF!</v>
      </c>
      <c r="GJ129" s="36" t="e">
        <f t="shared" si="442"/>
        <v>#REF!</v>
      </c>
      <c r="GK129" s="36" t="e">
        <f t="shared" si="442"/>
        <v>#REF!</v>
      </c>
      <c r="GL129" s="36" t="e">
        <f t="shared" si="442"/>
        <v>#REF!</v>
      </c>
      <c r="GM129" s="36" t="e">
        <f t="shared" si="442"/>
        <v>#REF!</v>
      </c>
      <c r="GN129" s="36" t="e">
        <f t="shared" si="442"/>
        <v>#REF!</v>
      </c>
      <c r="GO129" s="36" t="e">
        <f t="shared" si="442"/>
        <v>#REF!</v>
      </c>
      <c r="GP129" s="36" t="e">
        <f t="shared" ref="GP129:JA129" si="443">IF(GP128&lt;0,0,GP128)</f>
        <v>#REF!</v>
      </c>
      <c r="GQ129" s="36" t="e">
        <f t="shared" si="443"/>
        <v>#REF!</v>
      </c>
      <c r="GR129" s="36" t="e">
        <f t="shared" si="443"/>
        <v>#REF!</v>
      </c>
      <c r="GS129" s="36" t="e">
        <f t="shared" si="443"/>
        <v>#REF!</v>
      </c>
      <c r="GT129" s="36" t="e">
        <f t="shared" si="443"/>
        <v>#REF!</v>
      </c>
      <c r="GU129" s="36" t="e">
        <f t="shared" si="443"/>
        <v>#REF!</v>
      </c>
      <c r="GV129" s="36" t="e">
        <f t="shared" si="443"/>
        <v>#REF!</v>
      </c>
      <c r="GW129" s="36" t="e">
        <f t="shared" si="443"/>
        <v>#REF!</v>
      </c>
      <c r="GX129" s="36" t="e">
        <f t="shared" si="443"/>
        <v>#REF!</v>
      </c>
      <c r="GY129" s="36" t="e">
        <f t="shared" si="443"/>
        <v>#REF!</v>
      </c>
      <c r="GZ129" s="36" t="e">
        <f t="shared" si="443"/>
        <v>#REF!</v>
      </c>
      <c r="HA129" s="36" t="e">
        <f t="shared" si="443"/>
        <v>#REF!</v>
      </c>
      <c r="HB129" s="36" t="e">
        <f t="shared" si="443"/>
        <v>#REF!</v>
      </c>
      <c r="HC129" s="36" t="e">
        <f t="shared" si="443"/>
        <v>#REF!</v>
      </c>
      <c r="HD129" s="36" t="e">
        <f t="shared" si="443"/>
        <v>#REF!</v>
      </c>
      <c r="HE129" s="36" t="e">
        <f t="shared" si="443"/>
        <v>#REF!</v>
      </c>
      <c r="HF129" s="36" t="e">
        <f t="shared" si="443"/>
        <v>#REF!</v>
      </c>
      <c r="HG129" s="36" t="e">
        <f t="shared" si="443"/>
        <v>#REF!</v>
      </c>
      <c r="HH129" s="36" t="e">
        <f t="shared" si="443"/>
        <v>#REF!</v>
      </c>
      <c r="HI129" s="36" t="e">
        <f t="shared" si="443"/>
        <v>#REF!</v>
      </c>
      <c r="HJ129" s="36" t="e">
        <f t="shared" si="443"/>
        <v>#REF!</v>
      </c>
      <c r="HK129" s="36" t="e">
        <f t="shared" si="443"/>
        <v>#REF!</v>
      </c>
      <c r="HL129" s="36" t="e">
        <f t="shared" si="443"/>
        <v>#REF!</v>
      </c>
      <c r="HM129" s="36" t="e">
        <f t="shared" si="443"/>
        <v>#REF!</v>
      </c>
      <c r="HN129" s="36" t="e">
        <f t="shared" si="443"/>
        <v>#REF!</v>
      </c>
      <c r="HO129" s="36" t="e">
        <f t="shared" si="443"/>
        <v>#REF!</v>
      </c>
      <c r="HP129" s="36" t="e">
        <f t="shared" si="443"/>
        <v>#REF!</v>
      </c>
      <c r="HQ129" s="36" t="e">
        <f t="shared" si="443"/>
        <v>#REF!</v>
      </c>
      <c r="HR129" s="36" t="e">
        <f t="shared" si="443"/>
        <v>#REF!</v>
      </c>
      <c r="HS129" s="36" t="e">
        <f t="shared" si="443"/>
        <v>#REF!</v>
      </c>
      <c r="HT129" s="36" t="e">
        <f t="shared" si="443"/>
        <v>#REF!</v>
      </c>
      <c r="HU129" s="36" t="e">
        <f t="shared" si="443"/>
        <v>#REF!</v>
      </c>
      <c r="HV129" s="36" t="e">
        <f t="shared" si="443"/>
        <v>#REF!</v>
      </c>
      <c r="HW129" s="36" t="e">
        <f t="shared" si="443"/>
        <v>#REF!</v>
      </c>
      <c r="HX129" s="36" t="e">
        <f t="shared" si="443"/>
        <v>#REF!</v>
      </c>
      <c r="HY129" s="36" t="e">
        <f t="shared" si="443"/>
        <v>#REF!</v>
      </c>
      <c r="HZ129" s="36" t="e">
        <f t="shared" si="443"/>
        <v>#REF!</v>
      </c>
      <c r="IA129" s="36" t="e">
        <f t="shared" si="443"/>
        <v>#REF!</v>
      </c>
      <c r="IB129" s="36" t="e">
        <f t="shared" si="443"/>
        <v>#REF!</v>
      </c>
      <c r="IC129" s="36" t="e">
        <f t="shared" si="443"/>
        <v>#REF!</v>
      </c>
      <c r="ID129" s="36" t="e">
        <f t="shared" si="443"/>
        <v>#REF!</v>
      </c>
      <c r="IE129" s="36" t="e">
        <f t="shared" si="443"/>
        <v>#REF!</v>
      </c>
      <c r="IF129" s="36" t="e">
        <f t="shared" si="443"/>
        <v>#REF!</v>
      </c>
      <c r="IG129" s="36" t="e">
        <f t="shared" si="443"/>
        <v>#REF!</v>
      </c>
      <c r="IH129" s="36" t="e">
        <f t="shared" si="443"/>
        <v>#REF!</v>
      </c>
      <c r="II129" s="36" t="e">
        <f t="shared" si="443"/>
        <v>#REF!</v>
      </c>
      <c r="IJ129" s="36" t="e">
        <f t="shared" si="443"/>
        <v>#REF!</v>
      </c>
      <c r="IK129" s="36" t="e">
        <f t="shared" si="443"/>
        <v>#REF!</v>
      </c>
      <c r="IL129" s="36" t="e">
        <f t="shared" si="443"/>
        <v>#REF!</v>
      </c>
      <c r="IM129" s="36" t="e">
        <f t="shared" si="443"/>
        <v>#REF!</v>
      </c>
      <c r="IN129" s="36" t="e">
        <f t="shared" si="443"/>
        <v>#REF!</v>
      </c>
      <c r="IO129" s="36" t="e">
        <f t="shared" si="443"/>
        <v>#REF!</v>
      </c>
      <c r="IP129" s="36" t="e">
        <f t="shared" si="443"/>
        <v>#REF!</v>
      </c>
      <c r="IQ129" s="36" t="e">
        <f t="shared" si="443"/>
        <v>#REF!</v>
      </c>
      <c r="IR129" s="36" t="e">
        <f t="shared" si="443"/>
        <v>#REF!</v>
      </c>
      <c r="IS129" s="36" t="e">
        <f t="shared" si="443"/>
        <v>#REF!</v>
      </c>
      <c r="IT129" s="36" t="e">
        <f t="shared" si="443"/>
        <v>#REF!</v>
      </c>
      <c r="IU129" s="36" t="e">
        <f t="shared" si="443"/>
        <v>#REF!</v>
      </c>
      <c r="IV129" s="36" t="e">
        <f t="shared" si="443"/>
        <v>#REF!</v>
      </c>
      <c r="IW129" s="36" t="e">
        <f t="shared" si="443"/>
        <v>#REF!</v>
      </c>
      <c r="IX129" s="36" t="e">
        <f t="shared" si="443"/>
        <v>#REF!</v>
      </c>
      <c r="IY129" s="36" t="e">
        <f t="shared" si="443"/>
        <v>#REF!</v>
      </c>
      <c r="IZ129" s="36" t="e">
        <f t="shared" si="443"/>
        <v>#REF!</v>
      </c>
      <c r="JA129" s="36" t="e">
        <f t="shared" si="443"/>
        <v>#REF!</v>
      </c>
      <c r="JB129" s="36" t="e">
        <f t="shared" ref="JB129:KS129" si="444">IF(JB128&lt;0,0,JB128)</f>
        <v>#REF!</v>
      </c>
      <c r="JC129" s="36" t="e">
        <f t="shared" si="444"/>
        <v>#REF!</v>
      </c>
      <c r="JD129" s="36" t="e">
        <f t="shared" si="444"/>
        <v>#REF!</v>
      </c>
      <c r="JE129" s="36" t="e">
        <f t="shared" si="444"/>
        <v>#REF!</v>
      </c>
      <c r="JF129" s="36" t="e">
        <f t="shared" si="444"/>
        <v>#REF!</v>
      </c>
      <c r="JG129" s="36" t="e">
        <f t="shared" si="444"/>
        <v>#REF!</v>
      </c>
      <c r="JH129" s="36" t="e">
        <f t="shared" si="444"/>
        <v>#REF!</v>
      </c>
      <c r="JI129" s="36" t="e">
        <f t="shared" si="444"/>
        <v>#REF!</v>
      </c>
      <c r="JJ129" s="36" t="e">
        <f t="shared" si="444"/>
        <v>#REF!</v>
      </c>
      <c r="JK129" s="36" t="e">
        <f t="shared" si="444"/>
        <v>#REF!</v>
      </c>
      <c r="JL129" s="36" t="e">
        <f t="shared" si="444"/>
        <v>#REF!</v>
      </c>
      <c r="JM129" s="36" t="e">
        <f t="shared" si="444"/>
        <v>#REF!</v>
      </c>
      <c r="JN129" s="36" t="e">
        <f t="shared" si="444"/>
        <v>#REF!</v>
      </c>
      <c r="JO129" s="36" t="e">
        <f t="shared" si="444"/>
        <v>#REF!</v>
      </c>
      <c r="JP129" s="36" t="e">
        <f t="shared" si="444"/>
        <v>#REF!</v>
      </c>
      <c r="JQ129" s="36" t="e">
        <f t="shared" si="444"/>
        <v>#REF!</v>
      </c>
      <c r="JR129" s="36" t="e">
        <f t="shared" si="444"/>
        <v>#REF!</v>
      </c>
      <c r="JS129" s="36" t="e">
        <f t="shared" si="444"/>
        <v>#REF!</v>
      </c>
      <c r="JT129" s="36" t="e">
        <f t="shared" si="444"/>
        <v>#REF!</v>
      </c>
      <c r="JU129" s="36" t="e">
        <f t="shared" si="444"/>
        <v>#REF!</v>
      </c>
      <c r="JV129" s="36" t="e">
        <f t="shared" si="444"/>
        <v>#REF!</v>
      </c>
      <c r="JW129" s="36" t="e">
        <f t="shared" si="444"/>
        <v>#REF!</v>
      </c>
      <c r="JX129" s="36" t="e">
        <f t="shared" si="444"/>
        <v>#REF!</v>
      </c>
      <c r="JY129" s="36" t="e">
        <f t="shared" si="444"/>
        <v>#REF!</v>
      </c>
      <c r="JZ129" s="36" t="e">
        <f t="shared" si="444"/>
        <v>#REF!</v>
      </c>
      <c r="KA129" s="36" t="e">
        <f t="shared" si="444"/>
        <v>#REF!</v>
      </c>
      <c r="KB129" s="36" t="e">
        <f t="shared" si="444"/>
        <v>#REF!</v>
      </c>
      <c r="KC129" s="36" t="e">
        <f t="shared" si="444"/>
        <v>#REF!</v>
      </c>
      <c r="KD129" s="36" t="e">
        <f t="shared" si="444"/>
        <v>#REF!</v>
      </c>
      <c r="KE129" s="36" t="e">
        <f t="shared" si="444"/>
        <v>#REF!</v>
      </c>
      <c r="KF129" s="36" t="e">
        <f t="shared" si="444"/>
        <v>#REF!</v>
      </c>
      <c r="KG129" s="36" t="e">
        <f t="shared" si="444"/>
        <v>#REF!</v>
      </c>
      <c r="KH129" s="36" t="e">
        <f t="shared" si="444"/>
        <v>#REF!</v>
      </c>
      <c r="KI129" s="36" t="e">
        <f t="shared" si="444"/>
        <v>#REF!</v>
      </c>
      <c r="KJ129" s="36" t="e">
        <f t="shared" si="444"/>
        <v>#REF!</v>
      </c>
      <c r="KK129" s="36" t="e">
        <f t="shared" si="444"/>
        <v>#REF!</v>
      </c>
      <c r="KL129" s="36" t="e">
        <f t="shared" si="444"/>
        <v>#REF!</v>
      </c>
      <c r="KM129" s="36" t="e">
        <f t="shared" si="444"/>
        <v>#REF!</v>
      </c>
      <c r="KN129" s="36" t="e">
        <f t="shared" si="444"/>
        <v>#REF!</v>
      </c>
      <c r="KO129" s="36" t="e">
        <f t="shared" si="444"/>
        <v>#REF!</v>
      </c>
      <c r="KP129" s="36" t="e">
        <f t="shared" si="444"/>
        <v>#REF!</v>
      </c>
      <c r="KQ129" s="36" t="e">
        <f t="shared" si="444"/>
        <v>#REF!</v>
      </c>
      <c r="KR129" s="36" t="e">
        <f t="shared" si="444"/>
        <v>#REF!</v>
      </c>
      <c r="KS129" s="36" t="e">
        <f t="shared" si="444"/>
        <v>#REF!</v>
      </c>
    </row>
    <row r="130" spans="2:305" outlineLevel="1"/>
    <row r="131" spans="2:305" outlineLevel="1">
      <c r="B131" t="s">
        <v>48</v>
      </c>
      <c r="E131" s="6" t="e">
        <f>SUM(#REF!)</f>
        <v>#REF!</v>
      </c>
      <c r="F131" s="6" t="e">
        <f>SUM(#REF!)</f>
        <v>#REF!</v>
      </c>
      <c r="G131" s="6" t="e">
        <f>SUM(#REF!)</f>
        <v>#REF!</v>
      </c>
      <c r="H131" s="6" t="e">
        <f>SUM(#REF!)</f>
        <v>#REF!</v>
      </c>
      <c r="I131" s="6" t="e">
        <f>SUM(#REF!)</f>
        <v>#REF!</v>
      </c>
      <c r="J131" s="6" t="e">
        <f>SUM(#REF!)</f>
        <v>#REF!</v>
      </c>
      <c r="K131" s="6" t="e">
        <f>SUM(#REF!)</f>
        <v>#REF!</v>
      </c>
      <c r="L131" s="6" t="e">
        <f>SUM(#REF!)</f>
        <v>#REF!</v>
      </c>
      <c r="M131" s="6" t="e">
        <f>SUM(#REF!)</f>
        <v>#REF!</v>
      </c>
      <c r="N131" s="6" t="e">
        <f>SUM(#REF!)</f>
        <v>#REF!</v>
      </c>
      <c r="O131" s="6" t="e">
        <f>SUM(#REF!)</f>
        <v>#REF!</v>
      </c>
      <c r="P131" s="6" t="e">
        <f>SUM(#REF!)</f>
        <v>#REF!</v>
      </c>
      <c r="Q131" s="6" t="e">
        <f>SUM(#REF!)</f>
        <v>#REF!</v>
      </c>
      <c r="R131" s="6" t="e">
        <f>SUM(#REF!)</f>
        <v>#REF!</v>
      </c>
      <c r="S131" s="6" t="e">
        <f>SUM(#REF!)</f>
        <v>#REF!</v>
      </c>
      <c r="T131" s="6" t="e">
        <f>SUM(#REF!)</f>
        <v>#REF!</v>
      </c>
      <c r="U131" s="6" t="e">
        <f>SUM(#REF!)</f>
        <v>#REF!</v>
      </c>
      <c r="V131" s="6" t="e">
        <f>SUM(#REF!)</f>
        <v>#REF!</v>
      </c>
      <c r="W131" s="6" t="e">
        <f>SUM(#REF!)</f>
        <v>#REF!</v>
      </c>
      <c r="X131" s="6" t="e">
        <f>SUM(#REF!)</f>
        <v>#REF!</v>
      </c>
      <c r="Y131" s="6" t="e">
        <f>SUM(#REF!)</f>
        <v>#REF!</v>
      </c>
      <c r="Z131" s="6" t="e">
        <f>SUM(#REF!)</f>
        <v>#REF!</v>
      </c>
      <c r="AA131" s="6" t="e">
        <f>SUM(#REF!)</f>
        <v>#REF!</v>
      </c>
      <c r="AB131" s="6" t="e">
        <f>SUM(#REF!)</f>
        <v>#REF!</v>
      </c>
      <c r="AC131" s="6" t="e">
        <f>SUM(#REF!)</f>
        <v>#REF!</v>
      </c>
      <c r="AD131" s="6" t="e">
        <f>SUM(#REF!)</f>
        <v>#REF!</v>
      </c>
      <c r="AE131" s="6" t="e">
        <f>SUM(#REF!)</f>
        <v>#REF!</v>
      </c>
      <c r="AF131" s="6" t="e">
        <f>SUM(#REF!)</f>
        <v>#REF!</v>
      </c>
      <c r="AG131" s="6" t="e">
        <f>SUM(#REF!)</f>
        <v>#REF!</v>
      </c>
      <c r="AH131" s="6" t="e">
        <f>SUM(#REF!)</f>
        <v>#REF!</v>
      </c>
      <c r="AI131" s="6" t="e">
        <f>SUM(#REF!)</f>
        <v>#REF!</v>
      </c>
      <c r="AJ131" s="6" t="e">
        <f>SUM(#REF!)</f>
        <v>#REF!</v>
      </c>
      <c r="AK131" s="6" t="e">
        <f>SUM(#REF!)</f>
        <v>#REF!</v>
      </c>
      <c r="AL131" s="6" t="e">
        <f>SUM(#REF!)</f>
        <v>#REF!</v>
      </c>
      <c r="AM131" s="6" t="e">
        <f>SUM(#REF!)</f>
        <v>#REF!</v>
      </c>
      <c r="AN131" s="6" t="e">
        <f>SUM(#REF!)</f>
        <v>#REF!</v>
      </c>
      <c r="AO131" s="6" t="e">
        <f>SUM(#REF!)</f>
        <v>#REF!</v>
      </c>
      <c r="AP131" s="6" t="e">
        <f>SUM(#REF!)</f>
        <v>#REF!</v>
      </c>
      <c r="AQ131" s="6" t="e">
        <f>SUM(#REF!)</f>
        <v>#REF!</v>
      </c>
      <c r="AR131" s="6" t="e">
        <f>SUM(#REF!)</f>
        <v>#REF!</v>
      </c>
      <c r="AS131" s="6" t="e">
        <f>SUM(#REF!)</f>
        <v>#REF!</v>
      </c>
      <c r="AT131" s="6" t="e">
        <f>SUM(#REF!)</f>
        <v>#REF!</v>
      </c>
      <c r="AU131" s="6" t="e">
        <f>SUM(#REF!)</f>
        <v>#REF!</v>
      </c>
      <c r="AV131" s="6" t="e">
        <f>SUM(#REF!)</f>
        <v>#REF!</v>
      </c>
      <c r="AW131" s="6" t="e">
        <f>SUM(#REF!)</f>
        <v>#REF!</v>
      </c>
      <c r="AX131" s="6" t="e">
        <f>SUM(#REF!)</f>
        <v>#REF!</v>
      </c>
      <c r="AY131" s="6" t="e">
        <f>SUM(#REF!)</f>
        <v>#REF!</v>
      </c>
      <c r="AZ131" s="6" t="e">
        <f>SUM(#REF!)</f>
        <v>#REF!</v>
      </c>
      <c r="BA131" s="6" t="e">
        <f>SUM(#REF!)</f>
        <v>#REF!</v>
      </c>
      <c r="BB131" s="6" t="e">
        <f>SUM(#REF!)</f>
        <v>#REF!</v>
      </c>
      <c r="BC131" s="6" t="e">
        <f>SUM(#REF!)</f>
        <v>#REF!</v>
      </c>
      <c r="BD131" s="6" t="e">
        <f>SUM(#REF!)</f>
        <v>#REF!</v>
      </c>
      <c r="BE131" s="6" t="e">
        <f>SUM(#REF!)</f>
        <v>#REF!</v>
      </c>
      <c r="BF131" s="6" t="e">
        <f>SUM(#REF!)</f>
        <v>#REF!</v>
      </c>
      <c r="BG131" s="6" t="e">
        <f>SUM(#REF!)</f>
        <v>#REF!</v>
      </c>
      <c r="BH131" s="6" t="e">
        <f>SUM(#REF!)</f>
        <v>#REF!</v>
      </c>
      <c r="BI131" s="6" t="e">
        <f>SUM(#REF!)</f>
        <v>#REF!</v>
      </c>
      <c r="BJ131" s="6" t="e">
        <f>SUM(#REF!)</f>
        <v>#REF!</v>
      </c>
      <c r="BK131" s="6" t="e">
        <f>SUM(#REF!)</f>
        <v>#REF!</v>
      </c>
      <c r="BL131" s="6" t="e">
        <f>SUM(#REF!)</f>
        <v>#REF!</v>
      </c>
      <c r="BM131" s="6" t="e">
        <f>SUM(#REF!)</f>
        <v>#REF!</v>
      </c>
      <c r="BN131" s="6" t="e">
        <f>SUM(#REF!)</f>
        <v>#REF!</v>
      </c>
      <c r="BO131" s="6" t="e">
        <f>SUM(#REF!)</f>
        <v>#REF!</v>
      </c>
      <c r="BP131" s="6" t="e">
        <f>SUM(#REF!)</f>
        <v>#REF!</v>
      </c>
      <c r="BQ131" s="6" t="e">
        <f>SUM(#REF!)</f>
        <v>#REF!</v>
      </c>
      <c r="BR131" s="6" t="e">
        <f>SUM(#REF!)</f>
        <v>#REF!</v>
      </c>
      <c r="BS131" s="6" t="e">
        <f>SUM(#REF!)</f>
        <v>#REF!</v>
      </c>
      <c r="BT131" s="6" t="e">
        <f>SUM(#REF!)</f>
        <v>#REF!</v>
      </c>
      <c r="BU131" s="6" t="e">
        <f>SUM(#REF!)</f>
        <v>#REF!</v>
      </c>
      <c r="BV131" s="6" t="e">
        <f>SUM(#REF!)</f>
        <v>#REF!</v>
      </c>
      <c r="BW131" s="6" t="e">
        <f>SUM(#REF!)</f>
        <v>#REF!</v>
      </c>
      <c r="BX131" s="6" t="e">
        <f>SUM(#REF!)</f>
        <v>#REF!</v>
      </c>
      <c r="BY131" s="6" t="e">
        <f>SUM(#REF!)</f>
        <v>#REF!</v>
      </c>
      <c r="BZ131" s="6" t="e">
        <f>SUM(#REF!)</f>
        <v>#REF!</v>
      </c>
      <c r="CA131" s="6" t="e">
        <f>SUM(#REF!)</f>
        <v>#REF!</v>
      </c>
      <c r="CB131" s="6" t="e">
        <f>SUM(#REF!)</f>
        <v>#REF!</v>
      </c>
      <c r="CC131" s="6" t="e">
        <f>SUM(#REF!)</f>
        <v>#REF!</v>
      </c>
      <c r="CD131" s="6" t="e">
        <f>SUM(#REF!)</f>
        <v>#REF!</v>
      </c>
      <c r="CE131" s="6" t="e">
        <f>SUM(#REF!)</f>
        <v>#REF!</v>
      </c>
      <c r="CF131" s="6" t="e">
        <f>SUM(#REF!)</f>
        <v>#REF!</v>
      </c>
      <c r="CG131" s="6" t="e">
        <f>SUM(#REF!)</f>
        <v>#REF!</v>
      </c>
      <c r="CH131" s="6" t="e">
        <f>SUM(#REF!)</f>
        <v>#REF!</v>
      </c>
      <c r="CI131" s="6" t="e">
        <f>SUM(#REF!)</f>
        <v>#REF!</v>
      </c>
      <c r="CJ131" s="6" t="e">
        <f>SUM(#REF!)</f>
        <v>#REF!</v>
      </c>
      <c r="CK131" s="6" t="e">
        <f>SUM(#REF!)</f>
        <v>#REF!</v>
      </c>
      <c r="CL131" s="6" t="e">
        <f>SUM(#REF!)</f>
        <v>#REF!</v>
      </c>
      <c r="CM131" s="6" t="e">
        <f>SUM(#REF!)</f>
        <v>#REF!</v>
      </c>
      <c r="CN131" s="6" t="e">
        <f>SUM(#REF!)</f>
        <v>#REF!</v>
      </c>
      <c r="CO131" s="6" t="e">
        <f>SUM(#REF!)</f>
        <v>#REF!</v>
      </c>
      <c r="CP131" s="6" t="e">
        <f>SUM(#REF!)</f>
        <v>#REF!</v>
      </c>
      <c r="CQ131" s="6" t="e">
        <f>SUM(#REF!)</f>
        <v>#REF!</v>
      </c>
      <c r="CR131" s="6" t="e">
        <f>SUM(#REF!)</f>
        <v>#REF!</v>
      </c>
      <c r="CS131" s="6" t="e">
        <f>SUM(#REF!)</f>
        <v>#REF!</v>
      </c>
      <c r="CT131" s="6" t="e">
        <f>SUM(#REF!)</f>
        <v>#REF!</v>
      </c>
      <c r="CU131" s="6" t="e">
        <f>SUM(#REF!)</f>
        <v>#REF!</v>
      </c>
      <c r="CV131" s="6" t="e">
        <f>SUM(#REF!)</f>
        <v>#REF!</v>
      </c>
      <c r="CW131" s="6" t="e">
        <f>SUM(#REF!)</f>
        <v>#REF!</v>
      </c>
      <c r="CX131" s="6" t="e">
        <f>SUM(#REF!)</f>
        <v>#REF!</v>
      </c>
      <c r="CY131" s="6" t="e">
        <f>SUM(#REF!)</f>
        <v>#REF!</v>
      </c>
      <c r="CZ131" s="6" t="e">
        <f>SUM(#REF!)</f>
        <v>#REF!</v>
      </c>
      <c r="DA131" s="6" t="e">
        <f>SUM(#REF!)</f>
        <v>#REF!</v>
      </c>
      <c r="DB131" s="6" t="e">
        <f>SUM(#REF!)</f>
        <v>#REF!</v>
      </c>
      <c r="DC131" s="6" t="e">
        <f>SUM(#REF!)</f>
        <v>#REF!</v>
      </c>
      <c r="DD131" s="6" t="e">
        <f>SUM(#REF!)</f>
        <v>#REF!</v>
      </c>
      <c r="DE131" s="6" t="e">
        <f>SUM(#REF!)</f>
        <v>#REF!</v>
      </c>
      <c r="DF131" s="6" t="e">
        <f>SUM(#REF!)</f>
        <v>#REF!</v>
      </c>
      <c r="DG131" s="6" t="e">
        <f>SUM(#REF!)</f>
        <v>#REF!</v>
      </c>
      <c r="DH131" s="6" t="e">
        <f>SUM(#REF!)</f>
        <v>#REF!</v>
      </c>
      <c r="DI131" s="6" t="e">
        <f>SUM(#REF!)</f>
        <v>#REF!</v>
      </c>
      <c r="DJ131" s="6" t="e">
        <f>SUM(#REF!)</f>
        <v>#REF!</v>
      </c>
      <c r="DK131" s="6" t="e">
        <f>SUM(#REF!)</f>
        <v>#REF!</v>
      </c>
      <c r="DL131" s="6" t="e">
        <f>SUM(#REF!)</f>
        <v>#REF!</v>
      </c>
      <c r="DM131" s="6" t="e">
        <f>SUM(#REF!)</f>
        <v>#REF!</v>
      </c>
      <c r="DN131" s="6" t="e">
        <f>SUM(#REF!)</f>
        <v>#REF!</v>
      </c>
      <c r="DO131" s="6" t="e">
        <f>SUM(#REF!)</f>
        <v>#REF!</v>
      </c>
      <c r="DP131" s="6" t="e">
        <f>SUM(#REF!)</f>
        <v>#REF!</v>
      </c>
      <c r="DQ131" s="6" t="e">
        <f>SUM(#REF!)</f>
        <v>#REF!</v>
      </c>
      <c r="DR131" s="6" t="e">
        <f>SUM(#REF!)</f>
        <v>#REF!</v>
      </c>
      <c r="DS131" s="6" t="e">
        <f>SUM(#REF!)</f>
        <v>#REF!</v>
      </c>
      <c r="DT131" s="6" t="e">
        <f>SUM(#REF!)</f>
        <v>#REF!</v>
      </c>
      <c r="DU131" s="6" t="e">
        <f>SUM(#REF!)</f>
        <v>#REF!</v>
      </c>
      <c r="DV131" s="6" t="e">
        <f>SUM(#REF!)</f>
        <v>#REF!</v>
      </c>
      <c r="DW131" s="6" t="e">
        <f>SUM(#REF!)</f>
        <v>#REF!</v>
      </c>
      <c r="DX131" s="6" t="e">
        <f>SUM(#REF!)</f>
        <v>#REF!</v>
      </c>
      <c r="DY131" s="6" t="e">
        <f>SUM(#REF!)</f>
        <v>#REF!</v>
      </c>
      <c r="DZ131" s="6" t="e">
        <f>SUM(#REF!)</f>
        <v>#REF!</v>
      </c>
      <c r="EA131" s="6" t="e">
        <f>SUM(#REF!)</f>
        <v>#REF!</v>
      </c>
      <c r="EB131" s="6" t="e">
        <f>SUM(#REF!)</f>
        <v>#REF!</v>
      </c>
      <c r="EC131" s="6" t="e">
        <f>SUM(#REF!)</f>
        <v>#REF!</v>
      </c>
      <c r="ED131" s="6" t="e">
        <f>SUM(#REF!)</f>
        <v>#REF!</v>
      </c>
      <c r="EE131" s="6" t="e">
        <f>SUM(#REF!)</f>
        <v>#REF!</v>
      </c>
      <c r="EF131" s="6" t="e">
        <f>SUM(#REF!)</f>
        <v>#REF!</v>
      </c>
      <c r="EG131" s="6" t="e">
        <f>SUM(#REF!)</f>
        <v>#REF!</v>
      </c>
      <c r="EH131" s="6" t="e">
        <f>SUM(#REF!)</f>
        <v>#REF!</v>
      </c>
      <c r="EI131" s="6" t="e">
        <f>SUM(#REF!)</f>
        <v>#REF!</v>
      </c>
      <c r="EJ131" s="6" t="e">
        <f>SUM(#REF!)</f>
        <v>#REF!</v>
      </c>
      <c r="EK131" s="6" t="e">
        <f>SUM(#REF!)</f>
        <v>#REF!</v>
      </c>
      <c r="EL131" s="6" t="e">
        <f>SUM(#REF!)</f>
        <v>#REF!</v>
      </c>
      <c r="EM131" s="6" t="e">
        <f>SUM(#REF!)</f>
        <v>#REF!</v>
      </c>
      <c r="EN131" s="6" t="e">
        <f>SUM(#REF!)</f>
        <v>#REF!</v>
      </c>
      <c r="EO131" s="6" t="e">
        <f>SUM(#REF!)</f>
        <v>#REF!</v>
      </c>
      <c r="EP131" s="6" t="e">
        <f>SUM(#REF!)</f>
        <v>#REF!</v>
      </c>
      <c r="EQ131" s="6" t="e">
        <f>SUM(#REF!)</f>
        <v>#REF!</v>
      </c>
      <c r="ER131" s="6" t="e">
        <f>SUM(#REF!)</f>
        <v>#REF!</v>
      </c>
      <c r="ES131" s="6" t="e">
        <f>SUM(#REF!)</f>
        <v>#REF!</v>
      </c>
      <c r="ET131" s="6" t="e">
        <f>SUM(#REF!)</f>
        <v>#REF!</v>
      </c>
      <c r="EU131" s="6" t="e">
        <f>SUM(#REF!)</f>
        <v>#REF!</v>
      </c>
      <c r="EV131" s="6" t="e">
        <f>SUM(#REF!)</f>
        <v>#REF!</v>
      </c>
      <c r="EW131" s="6" t="e">
        <f>SUM(#REF!)</f>
        <v>#REF!</v>
      </c>
      <c r="EX131" s="6" t="e">
        <f>SUM(#REF!)</f>
        <v>#REF!</v>
      </c>
      <c r="EY131" s="6" t="e">
        <f>SUM(#REF!)</f>
        <v>#REF!</v>
      </c>
      <c r="EZ131" s="6" t="e">
        <f>SUM(#REF!)</f>
        <v>#REF!</v>
      </c>
      <c r="FA131" s="6" t="e">
        <f>SUM(#REF!)</f>
        <v>#REF!</v>
      </c>
      <c r="FB131" s="6" t="e">
        <f>SUM(#REF!)</f>
        <v>#REF!</v>
      </c>
      <c r="FC131" s="6" t="e">
        <f>SUM(#REF!)</f>
        <v>#REF!</v>
      </c>
      <c r="FD131" s="6" t="e">
        <f>SUM(#REF!)</f>
        <v>#REF!</v>
      </c>
      <c r="FE131" s="6" t="e">
        <f>SUM(#REF!)</f>
        <v>#REF!</v>
      </c>
      <c r="FF131" s="6" t="e">
        <f>SUM(#REF!)</f>
        <v>#REF!</v>
      </c>
      <c r="FG131" s="6" t="e">
        <f>SUM(#REF!)</f>
        <v>#REF!</v>
      </c>
      <c r="FH131" s="6" t="e">
        <f>SUM(#REF!)</f>
        <v>#REF!</v>
      </c>
      <c r="FI131" s="6" t="e">
        <f>SUM(#REF!)</f>
        <v>#REF!</v>
      </c>
      <c r="FJ131" s="6" t="e">
        <f>SUM(#REF!)</f>
        <v>#REF!</v>
      </c>
      <c r="FK131" s="6" t="e">
        <f>SUM(#REF!)</f>
        <v>#REF!</v>
      </c>
      <c r="FL131" s="6" t="e">
        <f>SUM(#REF!)</f>
        <v>#REF!</v>
      </c>
      <c r="FM131" s="6" t="e">
        <f>SUM(#REF!)</f>
        <v>#REF!</v>
      </c>
      <c r="FN131" s="6" t="e">
        <f>SUM(#REF!)</f>
        <v>#REF!</v>
      </c>
      <c r="FO131" s="6" t="e">
        <f>SUM(#REF!)</f>
        <v>#REF!</v>
      </c>
      <c r="FP131" s="6" t="e">
        <f>SUM(#REF!)</f>
        <v>#REF!</v>
      </c>
      <c r="FQ131" s="6" t="e">
        <f>SUM(#REF!)</f>
        <v>#REF!</v>
      </c>
      <c r="FR131" s="6" t="e">
        <f>SUM(#REF!)</f>
        <v>#REF!</v>
      </c>
      <c r="FS131" s="6" t="e">
        <f>SUM(#REF!)</f>
        <v>#REF!</v>
      </c>
      <c r="FT131" s="6" t="e">
        <f>SUM(#REF!)</f>
        <v>#REF!</v>
      </c>
      <c r="FU131" s="6" t="e">
        <f>SUM(#REF!)</f>
        <v>#REF!</v>
      </c>
      <c r="FV131" s="6" t="e">
        <f>SUM(#REF!)</f>
        <v>#REF!</v>
      </c>
      <c r="FW131" s="6" t="e">
        <f>SUM(#REF!)</f>
        <v>#REF!</v>
      </c>
      <c r="FX131" s="6" t="e">
        <f>SUM(#REF!)</f>
        <v>#REF!</v>
      </c>
      <c r="FY131" s="6" t="e">
        <f>SUM(#REF!)</f>
        <v>#REF!</v>
      </c>
      <c r="FZ131" s="6" t="e">
        <f>SUM(#REF!)</f>
        <v>#REF!</v>
      </c>
      <c r="GA131" s="6" t="e">
        <f>SUM(#REF!)</f>
        <v>#REF!</v>
      </c>
      <c r="GB131" s="6" t="e">
        <f>SUM(#REF!)</f>
        <v>#REF!</v>
      </c>
      <c r="GC131" s="6" t="e">
        <f>SUM(#REF!)</f>
        <v>#REF!</v>
      </c>
      <c r="GD131" s="6" t="e">
        <f>SUM(#REF!)</f>
        <v>#REF!</v>
      </c>
      <c r="GE131" s="6" t="e">
        <f>SUM(#REF!)</f>
        <v>#REF!</v>
      </c>
      <c r="GF131" s="6" t="e">
        <f>SUM(#REF!)</f>
        <v>#REF!</v>
      </c>
      <c r="GG131" s="6" t="e">
        <f>SUM(#REF!)</f>
        <v>#REF!</v>
      </c>
      <c r="GH131" s="6" t="e">
        <f>SUM(#REF!)</f>
        <v>#REF!</v>
      </c>
      <c r="GI131" s="6" t="e">
        <f>SUM(#REF!)</f>
        <v>#REF!</v>
      </c>
      <c r="GJ131" s="6" t="e">
        <f>SUM(#REF!)</f>
        <v>#REF!</v>
      </c>
      <c r="GK131" s="6" t="e">
        <f>SUM(#REF!)</f>
        <v>#REF!</v>
      </c>
      <c r="GL131" s="6" t="e">
        <f>SUM(#REF!)</f>
        <v>#REF!</v>
      </c>
      <c r="GM131" s="6" t="e">
        <f>SUM(#REF!)</f>
        <v>#REF!</v>
      </c>
      <c r="GN131" s="6" t="e">
        <f>SUM(#REF!)</f>
        <v>#REF!</v>
      </c>
      <c r="GO131" s="6" t="e">
        <f>SUM(#REF!)</f>
        <v>#REF!</v>
      </c>
      <c r="GP131" s="6" t="e">
        <f>SUM(#REF!)</f>
        <v>#REF!</v>
      </c>
      <c r="GQ131" s="6" t="e">
        <f>SUM(#REF!)</f>
        <v>#REF!</v>
      </c>
      <c r="GR131" s="6" t="e">
        <f>SUM(#REF!)</f>
        <v>#REF!</v>
      </c>
      <c r="GS131" s="6" t="e">
        <f>SUM(#REF!)</f>
        <v>#REF!</v>
      </c>
      <c r="GT131" s="6" t="e">
        <f>SUM(#REF!)</f>
        <v>#REF!</v>
      </c>
      <c r="GU131" s="6" t="e">
        <f>SUM(#REF!)</f>
        <v>#REF!</v>
      </c>
      <c r="GV131" s="6" t="e">
        <f>SUM(#REF!)</f>
        <v>#REF!</v>
      </c>
      <c r="GW131" s="6" t="e">
        <f>SUM(#REF!)</f>
        <v>#REF!</v>
      </c>
      <c r="GX131" s="6" t="e">
        <f>SUM(#REF!)</f>
        <v>#REF!</v>
      </c>
      <c r="GY131" s="6" t="e">
        <f>SUM(#REF!)</f>
        <v>#REF!</v>
      </c>
      <c r="GZ131" s="6" t="e">
        <f>SUM(#REF!)</f>
        <v>#REF!</v>
      </c>
      <c r="HA131" s="6" t="e">
        <f>SUM(#REF!)</f>
        <v>#REF!</v>
      </c>
      <c r="HB131" s="6" t="e">
        <f>SUM(#REF!)</f>
        <v>#REF!</v>
      </c>
      <c r="HC131" s="6" t="e">
        <f>SUM(#REF!)</f>
        <v>#REF!</v>
      </c>
      <c r="HD131" s="6" t="e">
        <f>SUM(#REF!)</f>
        <v>#REF!</v>
      </c>
      <c r="HE131" s="6" t="e">
        <f>SUM(#REF!)</f>
        <v>#REF!</v>
      </c>
      <c r="HF131" s="6" t="e">
        <f>SUM(#REF!)</f>
        <v>#REF!</v>
      </c>
      <c r="HG131" s="6" t="e">
        <f>SUM(#REF!)</f>
        <v>#REF!</v>
      </c>
      <c r="HH131" s="6" t="e">
        <f>SUM(#REF!)</f>
        <v>#REF!</v>
      </c>
      <c r="HI131" s="6" t="e">
        <f>SUM(#REF!)</f>
        <v>#REF!</v>
      </c>
      <c r="HJ131" s="6" t="e">
        <f>SUM(#REF!)</f>
        <v>#REF!</v>
      </c>
      <c r="HK131" s="6" t="e">
        <f>SUM(#REF!)</f>
        <v>#REF!</v>
      </c>
      <c r="HL131" s="6" t="e">
        <f>SUM(#REF!)</f>
        <v>#REF!</v>
      </c>
      <c r="HM131" s="6" t="e">
        <f>SUM(#REF!)</f>
        <v>#REF!</v>
      </c>
      <c r="HN131" s="6" t="e">
        <f>SUM(#REF!)</f>
        <v>#REF!</v>
      </c>
      <c r="HO131" s="6" t="e">
        <f>SUM(#REF!)</f>
        <v>#REF!</v>
      </c>
      <c r="HP131" s="6" t="e">
        <f>SUM(#REF!)</f>
        <v>#REF!</v>
      </c>
      <c r="HQ131" s="6" t="e">
        <f>SUM(#REF!)</f>
        <v>#REF!</v>
      </c>
      <c r="HR131" s="6" t="e">
        <f>SUM(#REF!)</f>
        <v>#REF!</v>
      </c>
      <c r="HS131" s="6" t="e">
        <f>SUM(#REF!)</f>
        <v>#REF!</v>
      </c>
      <c r="HT131" s="6" t="e">
        <f>SUM(#REF!)</f>
        <v>#REF!</v>
      </c>
      <c r="HU131" s="6" t="e">
        <f>SUM(#REF!)</f>
        <v>#REF!</v>
      </c>
      <c r="HV131" s="6" t="e">
        <f>SUM(#REF!)</f>
        <v>#REF!</v>
      </c>
      <c r="HW131" s="6" t="e">
        <f>SUM(#REF!)</f>
        <v>#REF!</v>
      </c>
      <c r="HX131" s="6" t="e">
        <f>SUM(#REF!)</f>
        <v>#REF!</v>
      </c>
      <c r="HY131" s="6" t="e">
        <f>SUM(#REF!)</f>
        <v>#REF!</v>
      </c>
      <c r="HZ131" s="6" t="e">
        <f>SUM(#REF!)</f>
        <v>#REF!</v>
      </c>
      <c r="IA131" s="6" t="e">
        <f>SUM(#REF!)</f>
        <v>#REF!</v>
      </c>
      <c r="IB131" s="6" t="e">
        <f>SUM(#REF!)</f>
        <v>#REF!</v>
      </c>
      <c r="IC131" s="6" t="e">
        <f>SUM(#REF!)</f>
        <v>#REF!</v>
      </c>
      <c r="ID131" s="6" t="e">
        <f>SUM(#REF!)</f>
        <v>#REF!</v>
      </c>
      <c r="IE131" s="6" t="e">
        <f>SUM(#REF!)</f>
        <v>#REF!</v>
      </c>
      <c r="IF131" s="6" t="e">
        <f>SUM(#REF!)</f>
        <v>#REF!</v>
      </c>
      <c r="IG131" s="6" t="e">
        <f>SUM(#REF!)</f>
        <v>#REF!</v>
      </c>
      <c r="IH131" s="6" t="e">
        <f>SUM(#REF!)</f>
        <v>#REF!</v>
      </c>
      <c r="II131" s="6" t="e">
        <f>SUM(#REF!)</f>
        <v>#REF!</v>
      </c>
      <c r="IJ131" s="6" t="e">
        <f>SUM(#REF!)</f>
        <v>#REF!</v>
      </c>
      <c r="IK131" s="6" t="e">
        <f>SUM(#REF!)</f>
        <v>#REF!</v>
      </c>
      <c r="IL131" s="6" t="e">
        <f>SUM(#REF!)</f>
        <v>#REF!</v>
      </c>
      <c r="IM131" s="6" t="e">
        <f>SUM(#REF!)</f>
        <v>#REF!</v>
      </c>
      <c r="IN131" s="6" t="e">
        <f>SUM(#REF!)</f>
        <v>#REF!</v>
      </c>
      <c r="IO131" s="6" t="e">
        <f>SUM(#REF!)</f>
        <v>#REF!</v>
      </c>
      <c r="IP131" s="6" t="e">
        <f>SUM(#REF!)</f>
        <v>#REF!</v>
      </c>
      <c r="IQ131" s="6" t="e">
        <f>SUM(#REF!)</f>
        <v>#REF!</v>
      </c>
      <c r="IR131" s="6" t="e">
        <f>SUM(#REF!)</f>
        <v>#REF!</v>
      </c>
      <c r="IS131" s="6" t="e">
        <f>SUM(#REF!)</f>
        <v>#REF!</v>
      </c>
      <c r="IT131" s="6" t="e">
        <f>SUM(#REF!)</f>
        <v>#REF!</v>
      </c>
      <c r="IU131" s="6" t="e">
        <f>SUM(#REF!)</f>
        <v>#REF!</v>
      </c>
      <c r="IV131" s="6" t="e">
        <f>SUM(#REF!)</f>
        <v>#REF!</v>
      </c>
      <c r="IW131" s="6" t="e">
        <f>SUM(#REF!)</f>
        <v>#REF!</v>
      </c>
      <c r="IX131" s="6" t="e">
        <f>SUM(#REF!)</f>
        <v>#REF!</v>
      </c>
      <c r="IY131" s="6" t="e">
        <f>SUM(#REF!)</f>
        <v>#REF!</v>
      </c>
      <c r="IZ131" s="6" t="e">
        <f>SUM(#REF!)</f>
        <v>#REF!</v>
      </c>
      <c r="JA131" s="6" t="e">
        <f>SUM(#REF!)</f>
        <v>#REF!</v>
      </c>
      <c r="JB131" s="6" t="e">
        <f>SUM(#REF!)</f>
        <v>#REF!</v>
      </c>
      <c r="JC131" s="6" t="e">
        <f>SUM(#REF!)</f>
        <v>#REF!</v>
      </c>
      <c r="JD131" s="6" t="e">
        <f>SUM(#REF!)</f>
        <v>#REF!</v>
      </c>
      <c r="JE131" s="6" t="e">
        <f>SUM(#REF!)</f>
        <v>#REF!</v>
      </c>
      <c r="JF131" s="6" t="e">
        <f>SUM(#REF!)</f>
        <v>#REF!</v>
      </c>
      <c r="JG131" s="6" t="e">
        <f>SUM(#REF!)</f>
        <v>#REF!</v>
      </c>
      <c r="JH131" s="6" t="e">
        <f>SUM(#REF!)</f>
        <v>#REF!</v>
      </c>
      <c r="JI131" s="6" t="e">
        <f>SUM(#REF!)</f>
        <v>#REF!</v>
      </c>
      <c r="JJ131" s="6" t="e">
        <f>SUM(#REF!)</f>
        <v>#REF!</v>
      </c>
      <c r="JK131" s="6" t="e">
        <f>SUM(#REF!)</f>
        <v>#REF!</v>
      </c>
      <c r="JL131" s="6" t="e">
        <f>SUM(#REF!)</f>
        <v>#REF!</v>
      </c>
      <c r="JM131" s="6" t="e">
        <f>SUM(#REF!)</f>
        <v>#REF!</v>
      </c>
      <c r="JN131" s="6" t="e">
        <f>SUM(#REF!)</f>
        <v>#REF!</v>
      </c>
      <c r="JO131" s="6" t="e">
        <f>SUM(#REF!)</f>
        <v>#REF!</v>
      </c>
      <c r="JP131" s="6" t="e">
        <f>SUM(#REF!)</f>
        <v>#REF!</v>
      </c>
      <c r="JQ131" s="6" t="e">
        <f>SUM(#REF!)</f>
        <v>#REF!</v>
      </c>
      <c r="JR131" s="6" t="e">
        <f>SUM(#REF!)</f>
        <v>#REF!</v>
      </c>
      <c r="JS131" s="6" t="e">
        <f>SUM(#REF!)</f>
        <v>#REF!</v>
      </c>
      <c r="JT131" s="6" t="e">
        <f>SUM(#REF!)</f>
        <v>#REF!</v>
      </c>
      <c r="JU131" s="6" t="e">
        <f>SUM(#REF!)</f>
        <v>#REF!</v>
      </c>
      <c r="JV131" s="6" t="e">
        <f>SUM(#REF!)</f>
        <v>#REF!</v>
      </c>
      <c r="JW131" s="6" t="e">
        <f>SUM(#REF!)</f>
        <v>#REF!</v>
      </c>
      <c r="JX131" s="6" t="e">
        <f>SUM(#REF!)</f>
        <v>#REF!</v>
      </c>
      <c r="JY131" s="6" t="e">
        <f>SUM(#REF!)</f>
        <v>#REF!</v>
      </c>
      <c r="JZ131" s="6" t="e">
        <f>SUM(#REF!)</f>
        <v>#REF!</v>
      </c>
      <c r="KA131" s="6" t="e">
        <f>SUM(#REF!)</f>
        <v>#REF!</v>
      </c>
      <c r="KB131" s="6" t="e">
        <f>SUM(#REF!)</f>
        <v>#REF!</v>
      </c>
      <c r="KC131" s="6" t="e">
        <f>SUM(#REF!)</f>
        <v>#REF!</v>
      </c>
      <c r="KD131" s="6" t="e">
        <f>SUM(#REF!)</f>
        <v>#REF!</v>
      </c>
      <c r="KE131" s="6" t="e">
        <f>SUM(#REF!)</f>
        <v>#REF!</v>
      </c>
      <c r="KF131" s="6" t="e">
        <f>SUM(#REF!)</f>
        <v>#REF!</v>
      </c>
      <c r="KG131" s="6" t="e">
        <f>SUM(#REF!)</f>
        <v>#REF!</v>
      </c>
      <c r="KH131" s="6" t="e">
        <f>SUM(#REF!)</f>
        <v>#REF!</v>
      </c>
      <c r="KI131" s="6" t="e">
        <f>SUM(#REF!)</f>
        <v>#REF!</v>
      </c>
      <c r="KJ131" s="6" t="e">
        <f>SUM(#REF!)</f>
        <v>#REF!</v>
      </c>
      <c r="KK131" s="6" t="e">
        <f>SUM(#REF!)</f>
        <v>#REF!</v>
      </c>
      <c r="KL131" s="6" t="e">
        <f>SUM(#REF!)</f>
        <v>#REF!</v>
      </c>
      <c r="KM131" s="6" t="e">
        <f>SUM(#REF!)</f>
        <v>#REF!</v>
      </c>
      <c r="KN131" s="6" t="e">
        <f>SUM(#REF!)</f>
        <v>#REF!</v>
      </c>
      <c r="KO131" s="6" t="e">
        <f>SUM(#REF!)</f>
        <v>#REF!</v>
      </c>
      <c r="KP131" s="6" t="e">
        <f>SUM(#REF!)</f>
        <v>#REF!</v>
      </c>
      <c r="KQ131" s="6" t="e">
        <f>SUM(#REF!)</f>
        <v>#REF!</v>
      </c>
      <c r="KR131" s="6" t="e">
        <f>SUM(#REF!)</f>
        <v>#REF!</v>
      </c>
      <c r="KS131" s="6" t="e">
        <f>SUM(#REF!)</f>
        <v>#REF!</v>
      </c>
    </row>
    <row r="132" spans="2:305" outlineLevel="1">
      <c r="B132" t="s">
        <v>49</v>
      </c>
      <c r="E132" s="6" t="e">
        <f>#REF!+#REF!</f>
        <v>#REF!</v>
      </c>
      <c r="F132" s="6" t="e">
        <f>#REF!+#REF!</f>
        <v>#REF!</v>
      </c>
      <c r="G132" s="6" t="e">
        <f>#REF!+#REF!</f>
        <v>#REF!</v>
      </c>
      <c r="H132" s="6" t="e">
        <f>#REF!+#REF!</f>
        <v>#REF!</v>
      </c>
      <c r="I132" s="6" t="e">
        <f>#REF!+#REF!</f>
        <v>#REF!</v>
      </c>
      <c r="J132" s="6" t="e">
        <f>#REF!+#REF!</f>
        <v>#REF!</v>
      </c>
      <c r="K132" s="6" t="e">
        <f>#REF!+#REF!</f>
        <v>#REF!</v>
      </c>
      <c r="L132" s="6" t="e">
        <f>#REF!+#REF!</f>
        <v>#REF!</v>
      </c>
      <c r="M132" s="6" t="e">
        <f>#REF!+#REF!</f>
        <v>#REF!</v>
      </c>
      <c r="N132" s="6" t="e">
        <f>#REF!+#REF!</f>
        <v>#REF!</v>
      </c>
      <c r="O132" s="6" t="e">
        <f>#REF!+#REF!</f>
        <v>#REF!</v>
      </c>
      <c r="P132" s="6" t="e">
        <f>#REF!+#REF!</f>
        <v>#REF!</v>
      </c>
      <c r="Q132" s="6" t="e">
        <f>#REF!+#REF!</f>
        <v>#REF!</v>
      </c>
      <c r="R132" s="6" t="e">
        <f>#REF!+#REF!</f>
        <v>#REF!</v>
      </c>
      <c r="S132" s="6" t="e">
        <f>#REF!+#REF!</f>
        <v>#REF!</v>
      </c>
      <c r="T132" s="6" t="e">
        <f>#REF!+#REF!</f>
        <v>#REF!</v>
      </c>
      <c r="U132" s="6" t="e">
        <f>#REF!+#REF!</f>
        <v>#REF!</v>
      </c>
      <c r="V132" s="6" t="e">
        <f>#REF!+#REF!</f>
        <v>#REF!</v>
      </c>
      <c r="W132" s="6" t="e">
        <f>#REF!+#REF!</f>
        <v>#REF!</v>
      </c>
      <c r="X132" s="6" t="e">
        <f>#REF!+#REF!</f>
        <v>#REF!</v>
      </c>
      <c r="Y132" s="6" t="e">
        <f>#REF!+#REF!</f>
        <v>#REF!</v>
      </c>
      <c r="Z132" s="6" t="e">
        <f>#REF!+#REF!</f>
        <v>#REF!</v>
      </c>
      <c r="AA132" s="6" t="e">
        <f>#REF!+#REF!</f>
        <v>#REF!</v>
      </c>
      <c r="AB132" s="6" t="e">
        <f>#REF!+#REF!</f>
        <v>#REF!</v>
      </c>
      <c r="AC132" s="6" t="e">
        <f>#REF!+#REF!</f>
        <v>#REF!</v>
      </c>
      <c r="AD132" s="6" t="e">
        <f>#REF!+#REF!</f>
        <v>#REF!</v>
      </c>
      <c r="AE132" s="6" t="e">
        <f>#REF!+#REF!</f>
        <v>#REF!</v>
      </c>
      <c r="AF132" s="6" t="e">
        <f>#REF!+#REF!</f>
        <v>#REF!</v>
      </c>
      <c r="AG132" s="6" t="e">
        <f>#REF!+#REF!</f>
        <v>#REF!</v>
      </c>
      <c r="AH132" s="6" t="e">
        <f>#REF!+#REF!</f>
        <v>#REF!</v>
      </c>
      <c r="AI132" s="6" t="e">
        <f>#REF!+#REF!</f>
        <v>#REF!</v>
      </c>
      <c r="AJ132" s="6" t="e">
        <f>#REF!+#REF!</f>
        <v>#REF!</v>
      </c>
      <c r="AK132" s="6" t="e">
        <f>#REF!+#REF!</f>
        <v>#REF!</v>
      </c>
      <c r="AL132" s="6" t="e">
        <f>#REF!+#REF!</f>
        <v>#REF!</v>
      </c>
      <c r="AM132" s="6" t="e">
        <f>#REF!+#REF!</f>
        <v>#REF!</v>
      </c>
      <c r="AN132" s="6" t="e">
        <f>#REF!+#REF!</f>
        <v>#REF!</v>
      </c>
      <c r="AO132" s="6" t="e">
        <f>#REF!+#REF!</f>
        <v>#REF!</v>
      </c>
      <c r="AP132" s="6" t="e">
        <f>#REF!+#REF!</f>
        <v>#REF!</v>
      </c>
      <c r="AQ132" s="6" t="e">
        <f>#REF!+#REF!</f>
        <v>#REF!</v>
      </c>
      <c r="AR132" s="6" t="e">
        <f>#REF!+#REF!</f>
        <v>#REF!</v>
      </c>
      <c r="AS132" s="6" t="e">
        <f>#REF!+#REF!</f>
        <v>#REF!</v>
      </c>
      <c r="AT132" s="6" t="e">
        <f>#REF!+#REF!</f>
        <v>#REF!</v>
      </c>
      <c r="AU132" s="6" t="e">
        <f>#REF!+#REF!</f>
        <v>#REF!</v>
      </c>
      <c r="AV132" s="6" t="e">
        <f>#REF!+#REF!</f>
        <v>#REF!</v>
      </c>
      <c r="AW132" s="6" t="e">
        <f>#REF!+#REF!</f>
        <v>#REF!</v>
      </c>
      <c r="AX132" s="6" t="e">
        <f>#REF!+#REF!</f>
        <v>#REF!</v>
      </c>
      <c r="AY132" s="6" t="e">
        <f>#REF!+#REF!</f>
        <v>#REF!</v>
      </c>
      <c r="AZ132" s="6" t="e">
        <f>#REF!+#REF!</f>
        <v>#REF!</v>
      </c>
      <c r="BA132" s="6" t="e">
        <f>#REF!+#REF!</f>
        <v>#REF!</v>
      </c>
      <c r="BB132" s="6" t="e">
        <f>#REF!+#REF!</f>
        <v>#REF!</v>
      </c>
      <c r="BC132" s="6" t="e">
        <f>#REF!+#REF!</f>
        <v>#REF!</v>
      </c>
      <c r="BD132" s="6" t="e">
        <f>#REF!+#REF!</f>
        <v>#REF!</v>
      </c>
      <c r="BE132" s="6" t="e">
        <f>#REF!+#REF!</f>
        <v>#REF!</v>
      </c>
      <c r="BF132" s="6" t="e">
        <f>#REF!+#REF!</f>
        <v>#REF!</v>
      </c>
      <c r="BG132" s="6" t="e">
        <f>#REF!+#REF!</f>
        <v>#REF!</v>
      </c>
      <c r="BH132" s="6" t="e">
        <f>#REF!+#REF!</f>
        <v>#REF!</v>
      </c>
      <c r="BI132" s="6" t="e">
        <f>#REF!+#REF!</f>
        <v>#REF!</v>
      </c>
      <c r="BJ132" s="6" t="e">
        <f>#REF!+#REF!</f>
        <v>#REF!</v>
      </c>
      <c r="BK132" s="6" t="e">
        <f>#REF!+#REF!</f>
        <v>#REF!</v>
      </c>
      <c r="BL132" s="6" t="e">
        <f>#REF!+#REF!</f>
        <v>#REF!</v>
      </c>
      <c r="BM132" s="6" t="e">
        <f>#REF!+#REF!</f>
        <v>#REF!</v>
      </c>
      <c r="BN132" s="6" t="e">
        <f>#REF!+#REF!</f>
        <v>#REF!</v>
      </c>
      <c r="BO132" s="6" t="e">
        <f>#REF!+#REF!</f>
        <v>#REF!</v>
      </c>
      <c r="BP132" s="6" t="e">
        <f>#REF!+#REF!</f>
        <v>#REF!</v>
      </c>
      <c r="BQ132" s="6" t="e">
        <f>#REF!+#REF!</f>
        <v>#REF!</v>
      </c>
      <c r="BR132" s="6" t="e">
        <f>#REF!+#REF!</f>
        <v>#REF!</v>
      </c>
      <c r="BS132" s="6" t="e">
        <f>#REF!+#REF!</f>
        <v>#REF!</v>
      </c>
      <c r="BT132" s="6" t="e">
        <f>#REF!+#REF!</f>
        <v>#REF!</v>
      </c>
      <c r="BU132" s="6" t="e">
        <f>#REF!+#REF!</f>
        <v>#REF!</v>
      </c>
      <c r="BV132" s="6" t="e">
        <f>#REF!+#REF!</f>
        <v>#REF!</v>
      </c>
      <c r="BW132" s="6" t="e">
        <f>#REF!+#REF!</f>
        <v>#REF!</v>
      </c>
      <c r="BX132" s="6" t="e">
        <f>#REF!+#REF!</f>
        <v>#REF!</v>
      </c>
      <c r="BY132" s="6" t="e">
        <f>#REF!+#REF!</f>
        <v>#REF!</v>
      </c>
      <c r="BZ132" s="6" t="e">
        <f>#REF!+#REF!</f>
        <v>#REF!</v>
      </c>
      <c r="CA132" s="6" t="e">
        <f>#REF!+#REF!</f>
        <v>#REF!</v>
      </c>
      <c r="CB132" s="6" t="e">
        <f>#REF!+#REF!</f>
        <v>#REF!</v>
      </c>
      <c r="CC132" s="6" t="e">
        <f>#REF!+#REF!</f>
        <v>#REF!</v>
      </c>
      <c r="CD132" s="6" t="e">
        <f>#REF!+#REF!</f>
        <v>#REF!</v>
      </c>
      <c r="CE132" s="6" t="e">
        <f>#REF!+#REF!</f>
        <v>#REF!</v>
      </c>
      <c r="CF132" s="6" t="e">
        <f>#REF!+#REF!</f>
        <v>#REF!</v>
      </c>
      <c r="CG132" s="6" t="e">
        <f>#REF!+#REF!</f>
        <v>#REF!</v>
      </c>
      <c r="CH132" s="6" t="e">
        <f>#REF!+#REF!</f>
        <v>#REF!</v>
      </c>
      <c r="CI132" s="6" t="e">
        <f>#REF!+#REF!</f>
        <v>#REF!</v>
      </c>
      <c r="CJ132" s="6" t="e">
        <f>#REF!+#REF!</f>
        <v>#REF!</v>
      </c>
      <c r="CK132" s="6" t="e">
        <f>#REF!+#REF!</f>
        <v>#REF!</v>
      </c>
      <c r="CL132" s="6" t="e">
        <f>#REF!+#REF!</f>
        <v>#REF!</v>
      </c>
      <c r="CM132" s="6" t="e">
        <f>#REF!+#REF!</f>
        <v>#REF!</v>
      </c>
      <c r="CN132" s="6" t="e">
        <f>#REF!+#REF!</f>
        <v>#REF!</v>
      </c>
      <c r="CO132" s="6" t="e">
        <f>#REF!+#REF!</f>
        <v>#REF!</v>
      </c>
      <c r="CP132" s="6" t="e">
        <f>#REF!+#REF!</f>
        <v>#REF!</v>
      </c>
      <c r="CQ132" s="6" t="e">
        <f>#REF!+#REF!</f>
        <v>#REF!</v>
      </c>
      <c r="CR132" s="6" t="e">
        <f>#REF!+#REF!</f>
        <v>#REF!</v>
      </c>
      <c r="CS132" s="6" t="e">
        <f>#REF!+#REF!</f>
        <v>#REF!</v>
      </c>
      <c r="CT132" s="6" t="e">
        <f>#REF!+#REF!</f>
        <v>#REF!</v>
      </c>
      <c r="CU132" s="6" t="e">
        <f>#REF!+#REF!</f>
        <v>#REF!</v>
      </c>
      <c r="CV132" s="6" t="e">
        <f>#REF!+#REF!</f>
        <v>#REF!</v>
      </c>
      <c r="CW132" s="6" t="e">
        <f>#REF!+#REF!</f>
        <v>#REF!</v>
      </c>
      <c r="CX132" s="6" t="e">
        <f>#REF!+#REF!</f>
        <v>#REF!</v>
      </c>
      <c r="CY132" s="6" t="e">
        <f>#REF!+#REF!</f>
        <v>#REF!</v>
      </c>
      <c r="CZ132" s="6" t="e">
        <f>#REF!+#REF!</f>
        <v>#REF!</v>
      </c>
      <c r="DA132" s="6" t="e">
        <f>#REF!+#REF!</f>
        <v>#REF!</v>
      </c>
      <c r="DB132" s="6" t="e">
        <f>#REF!+#REF!</f>
        <v>#REF!</v>
      </c>
      <c r="DC132" s="6" t="e">
        <f>#REF!+#REF!</f>
        <v>#REF!</v>
      </c>
      <c r="DD132" s="6" t="e">
        <f>#REF!+#REF!</f>
        <v>#REF!</v>
      </c>
      <c r="DE132" s="6" t="e">
        <f>#REF!+#REF!</f>
        <v>#REF!</v>
      </c>
      <c r="DF132" s="6" t="e">
        <f>#REF!+#REF!</f>
        <v>#REF!</v>
      </c>
      <c r="DG132" s="6" t="e">
        <f>#REF!+#REF!</f>
        <v>#REF!</v>
      </c>
      <c r="DH132" s="6" t="e">
        <f>#REF!+#REF!</f>
        <v>#REF!</v>
      </c>
      <c r="DI132" s="6" t="e">
        <f>#REF!+#REF!</f>
        <v>#REF!</v>
      </c>
      <c r="DJ132" s="6" t="e">
        <f>#REF!+#REF!</f>
        <v>#REF!</v>
      </c>
      <c r="DK132" s="6" t="e">
        <f>#REF!+#REF!</f>
        <v>#REF!</v>
      </c>
      <c r="DL132" s="6" t="e">
        <f>#REF!+#REF!</f>
        <v>#REF!</v>
      </c>
      <c r="DM132" s="6" t="e">
        <f>#REF!+#REF!</f>
        <v>#REF!</v>
      </c>
      <c r="DN132" s="6" t="e">
        <f>#REF!+#REF!</f>
        <v>#REF!</v>
      </c>
      <c r="DO132" s="6" t="e">
        <f>#REF!+#REF!</f>
        <v>#REF!</v>
      </c>
      <c r="DP132" s="6" t="e">
        <f>#REF!+#REF!</f>
        <v>#REF!</v>
      </c>
      <c r="DQ132" s="6" t="e">
        <f>#REF!+#REF!</f>
        <v>#REF!</v>
      </c>
      <c r="DR132" s="6" t="e">
        <f>#REF!+#REF!</f>
        <v>#REF!</v>
      </c>
      <c r="DS132" s="6" t="e">
        <f>#REF!+#REF!</f>
        <v>#REF!</v>
      </c>
      <c r="DT132" s="6" t="e">
        <f>#REF!+#REF!</f>
        <v>#REF!</v>
      </c>
      <c r="DU132" s="6" t="e">
        <f>#REF!+#REF!</f>
        <v>#REF!</v>
      </c>
      <c r="DV132" s="6" t="e">
        <f>#REF!+#REF!</f>
        <v>#REF!</v>
      </c>
      <c r="DW132" s="6" t="e">
        <f>#REF!+#REF!</f>
        <v>#REF!</v>
      </c>
      <c r="DX132" s="6" t="e">
        <f>#REF!+#REF!</f>
        <v>#REF!</v>
      </c>
      <c r="DY132" s="6" t="e">
        <f>#REF!+#REF!</f>
        <v>#REF!</v>
      </c>
      <c r="DZ132" s="6" t="e">
        <f>#REF!+#REF!</f>
        <v>#REF!</v>
      </c>
      <c r="EA132" s="6" t="e">
        <f>#REF!+#REF!</f>
        <v>#REF!</v>
      </c>
      <c r="EB132" s="6" t="e">
        <f>#REF!+#REF!</f>
        <v>#REF!</v>
      </c>
      <c r="EC132" s="6" t="e">
        <f>#REF!+#REF!</f>
        <v>#REF!</v>
      </c>
      <c r="ED132" s="6" t="e">
        <f>#REF!+#REF!</f>
        <v>#REF!</v>
      </c>
      <c r="EE132" s="6" t="e">
        <f>#REF!+#REF!</f>
        <v>#REF!</v>
      </c>
      <c r="EF132" s="6" t="e">
        <f>#REF!+#REF!</f>
        <v>#REF!</v>
      </c>
      <c r="EG132" s="6" t="e">
        <f>#REF!+#REF!</f>
        <v>#REF!</v>
      </c>
      <c r="EH132" s="6" t="e">
        <f>#REF!+#REF!</f>
        <v>#REF!</v>
      </c>
      <c r="EI132" s="6" t="e">
        <f>#REF!+#REF!</f>
        <v>#REF!</v>
      </c>
      <c r="EJ132" s="6" t="e">
        <f>#REF!+#REF!</f>
        <v>#REF!</v>
      </c>
      <c r="EK132" s="6" t="e">
        <f>#REF!+#REF!</f>
        <v>#REF!</v>
      </c>
      <c r="EL132" s="6" t="e">
        <f>#REF!+#REF!</f>
        <v>#REF!</v>
      </c>
      <c r="EM132" s="6" t="e">
        <f>#REF!+#REF!</f>
        <v>#REF!</v>
      </c>
      <c r="EN132" s="6" t="e">
        <f>#REF!+#REF!</f>
        <v>#REF!</v>
      </c>
      <c r="EO132" s="6" t="e">
        <f>#REF!+#REF!</f>
        <v>#REF!</v>
      </c>
      <c r="EP132" s="6" t="e">
        <f>#REF!+#REF!</f>
        <v>#REF!</v>
      </c>
      <c r="EQ132" s="6" t="e">
        <f>#REF!+#REF!</f>
        <v>#REF!</v>
      </c>
      <c r="ER132" s="6" t="e">
        <f>#REF!+#REF!</f>
        <v>#REF!</v>
      </c>
      <c r="ES132" s="6" t="e">
        <f>#REF!+#REF!</f>
        <v>#REF!</v>
      </c>
      <c r="ET132" s="6" t="e">
        <f>#REF!+#REF!</f>
        <v>#REF!</v>
      </c>
      <c r="EU132" s="6" t="e">
        <f>#REF!+#REF!</f>
        <v>#REF!</v>
      </c>
      <c r="EV132" s="6" t="e">
        <f>#REF!+#REF!</f>
        <v>#REF!</v>
      </c>
      <c r="EW132" s="6" t="e">
        <f>#REF!+#REF!</f>
        <v>#REF!</v>
      </c>
      <c r="EX132" s="6" t="e">
        <f>#REF!+#REF!</f>
        <v>#REF!</v>
      </c>
      <c r="EY132" s="6" t="e">
        <f>#REF!+#REF!</f>
        <v>#REF!</v>
      </c>
      <c r="EZ132" s="6" t="e">
        <f>#REF!+#REF!</f>
        <v>#REF!</v>
      </c>
      <c r="FA132" s="6" t="e">
        <f>#REF!+#REF!</f>
        <v>#REF!</v>
      </c>
      <c r="FB132" s="6" t="e">
        <f>#REF!+#REF!</f>
        <v>#REF!</v>
      </c>
      <c r="FC132" s="6" t="e">
        <f>#REF!+#REF!</f>
        <v>#REF!</v>
      </c>
      <c r="FD132" s="6" t="e">
        <f>#REF!+#REF!</f>
        <v>#REF!</v>
      </c>
      <c r="FE132" s="6" t="e">
        <f>#REF!+#REF!</f>
        <v>#REF!</v>
      </c>
      <c r="FF132" s="6" t="e">
        <f>#REF!+#REF!</f>
        <v>#REF!</v>
      </c>
      <c r="FG132" s="6" t="e">
        <f>#REF!+#REF!</f>
        <v>#REF!</v>
      </c>
      <c r="FH132" s="6" t="e">
        <f>#REF!+#REF!</f>
        <v>#REF!</v>
      </c>
      <c r="FI132" s="6" t="e">
        <f>#REF!+#REF!</f>
        <v>#REF!</v>
      </c>
      <c r="FJ132" s="6" t="e">
        <f>#REF!+#REF!</f>
        <v>#REF!</v>
      </c>
      <c r="FK132" s="6" t="e">
        <f>#REF!+#REF!</f>
        <v>#REF!</v>
      </c>
      <c r="FL132" s="6" t="e">
        <f>#REF!+#REF!</f>
        <v>#REF!</v>
      </c>
      <c r="FM132" s="6" t="e">
        <f>#REF!+#REF!</f>
        <v>#REF!</v>
      </c>
      <c r="FN132" s="6" t="e">
        <f>#REF!+#REF!</f>
        <v>#REF!</v>
      </c>
      <c r="FO132" s="6" t="e">
        <f>#REF!+#REF!</f>
        <v>#REF!</v>
      </c>
      <c r="FP132" s="6" t="e">
        <f>#REF!+#REF!</f>
        <v>#REF!</v>
      </c>
      <c r="FQ132" s="6" t="e">
        <f>#REF!+#REF!</f>
        <v>#REF!</v>
      </c>
      <c r="FR132" s="6" t="e">
        <f>#REF!+#REF!</f>
        <v>#REF!</v>
      </c>
      <c r="FS132" s="6" t="e">
        <f>#REF!+#REF!</f>
        <v>#REF!</v>
      </c>
      <c r="FT132" s="6" t="e">
        <f>#REF!+#REF!</f>
        <v>#REF!</v>
      </c>
      <c r="FU132" s="6" t="e">
        <f>#REF!+#REF!</f>
        <v>#REF!</v>
      </c>
      <c r="FV132" s="6" t="e">
        <f>#REF!+#REF!</f>
        <v>#REF!</v>
      </c>
      <c r="FW132" s="6" t="e">
        <f>#REF!+#REF!</f>
        <v>#REF!</v>
      </c>
      <c r="FX132" s="6" t="e">
        <f>#REF!+#REF!</f>
        <v>#REF!</v>
      </c>
      <c r="FY132" s="6" t="e">
        <f>#REF!+#REF!</f>
        <v>#REF!</v>
      </c>
      <c r="FZ132" s="6" t="e">
        <f>#REF!+#REF!</f>
        <v>#REF!</v>
      </c>
      <c r="GA132" s="6" t="e">
        <f>#REF!+#REF!</f>
        <v>#REF!</v>
      </c>
      <c r="GB132" s="6" t="e">
        <f>#REF!+#REF!</f>
        <v>#REF!</v>
      </c>
      <c r="GC132" s="6" t="e">
        <f>#REF!+#REF!</f>
        <v>#REF!</v>
      </c>
      <c r="GD132" s="6" t="e">
        <f>#REF!+#REF!</f>
        <v>#REF!</v>
      </c>
      <c r="GE132" s="6" t="e">
        <f>#REF!+#REF!</f>
        <v>#REF!</v>
      </c>
      <c r="GF132" s="6" t="e">
        <f>#REF!+#REF!</f>
        <v>#REF!</v>
      </c>
      <c r="GG132" s="6" t="e">
        <f>#REF!+#REF!</f>
        <v>#REF!</v>
      </c>
      <c r="GH132" s="6" t="e">
        <f>#REF!+#REF!</f>
        <v>#REF!</v>
      </c>
      <c r="GI132" s="6" t="e">
        <f>#REF!+#REF!</f>
        <v>#REF!</v>
      </c>
      <c r="GJ132" s="6" t="e">
        <f>#REF!+#REF!</f>
        <v>#REF!</v>
      </c>
      <c r="GK132" s="6" t="e">
        <f>#REF!+#REF!</f>
        <v>#REF!</v>
      </c>
      <c r="GL132" s="6" t="e">
        <f>#REF!+#REF!</f>
        <v>#REF!</v>
      </c>
      <c r="GM132" s="6" t="e">
        <f>#REF!+#REF!</f>
        <v>#REF!</v>
      </c>
      <c r="GN132" s="6" t="e">
        <f>#REF!+#REF!</f>
        <v>#REF!</v>
      </c>
      <c r="GO132" s="6" t="e">
        <f>#REF!+#REF!</f>
        <v>#REF!</v>
      </c>
      <c r="GP132" s="6" t="e">
        <f>#REF!+#REF!</f>
        <v>#REF!</v>
      </c>
      <c r="GQ132" s="6" t="e">
        <f>#REF!+#REF!</f>
        <v>#REF!</v>
      </c>
      <c r="GR132" s="6" t="e">
        <f>#REF!+#REF!</f>
        <v>#REF!</v>
      </c>
      <c r="GS132" s="6" t="e">
        <f>#REF!+#REF!</f>
        <v>#REF!</v>
      </c>
      <c r="GT132" s="6" t="e">
        <f>#REF!+#REF!</f>
        <v>#REF!</v>
      </c>
      <c r="GU132" s="6" t="e">
        <f>#REF!+#REF!</f>
        <v>#REF!</v>
      </c>
      <c r="GV132" s="6" t="e">
        <f>#REF!+#REF!</f>
        <v>#REF!</v>
      </c>
      <c r="GW132" s="6" t="e">
        <f>#REF!+#REF!</f>
        <v>#REF!</v>
      </c>
      <c r="GX132" s="6" t="e">
        <f>#REF!+#REF!</f>
        <v>#REF!</v>
      </c>
      <c r="GY132" s="6" t="e">
        <f>#REF!+#REF!</f>
        <v>#REF!</v>
      </c>
      <c r="GZ132" s="6" t="e">
        <f>#REF!+#REF!</f>
        <v>#REF!</v>
      </c>
      <c r="HA132" s="6" t="e">
        <f>#REF!+#REF!</f>
        <v>#REF!</v>
      </c>
      <c r="HB132" s="6" t="e">
        <f>#REF!+#REF!</f>
        <v>#REF!</v>
      </c>
      <c r="HC132" s="6" t="e">
        <f>#REF!+#REF!</f>
        <v>#REF!</v>
      </c>
      <c r="HD132" s="6" t="e">
        <f>#REF!+#REF!</f>
        <v>#REF!</v>
      </c>
      <c r="HE132" s="6" t="e">
        <f>#REF!+#REF!</f>
        <v>#REF!</v>
      </c>
      <c r="HF132" s="6" t="e">
        <f>#REF!+#REF!</f>
        <v>#REF!</v>
      </c>
      <c r="HG132" s="6" t="e">
        <f>#REF!+#REF!</f>
        <v>#REF!</v>
      </c>
      <c r="HH132" s="6" t="e">
        <f>#REF!+#REF!</f>
        <v>#REF!</v>
      </c>
      <c r="HI132" s="6" t="e">
        <f>#REF!+#REF!</f>
        <v>#REF!</v>
      </c>
      <c r="HJ132" s="6" t="e">
        <f>#REF!+#REF!</f>
        <v>#REF!</v>
      </c>
      <c r="HK132" s="6" t="e">
        <f>#REF!+#REF!</f>
        <v>#REF!</v>
      </c>
      <c r="HL132" s="6" t="e">
        <f>#REF!+#REF!</f>
        <v>#REF!</v>
      </c>
      <c r="HM132" s="6" t="e">
        <f>#REF!+#REF!</f>
        <v>#REF!</v>
      </c>
      <c r="HN132" s="6" t="e">
        <f>#REF!+#REF!</f>
        <v>#REF!</v>
      </c>
      <c r="HO132" s="6" t="e">
        <f>#REF!+#REF!</f>
        <v>#REF!</v>
      </c>
      <c r="HP132" s="6" t="e">
        <f>#REF!+#REF!</f>
        <v>#REF!</v>
      </c>
      <c r="HQ132" s="6" t="e">
        <f>#REF!+#REF!</f>
        <v>#REF!</v>
      </c>
      <c r="HR132" s="6" t="e">
        <f>#REF!+#REF!</f>
        <v>#REF!</v>
      </c>
      <c r="HS132" s="6" t="e">
        <f>#REF!+#REF!</f>
        <v>#REF!</v>
      </c>
      <c r="HT132" s="6" t="e">
        <f>#REF!+#REF!</f>
        <v>#REF!</v>
      </c>
      <c r="HU132" s="6" t="e">
        <f>#REF!+#REF!</f>
        <v>#REF!</v>
      </c>
      <c r="HV132" s="6" t="e">
        <f>#REF!+#REF!</f>
        <v>#REF!</v>
      </c>
      <c r="HW132" s="6" t="e">
        <f>#REF!+#REF!</f>
        <v>#REF!</v>
      </c>
      <c r="HX132" s="6" t="e">
        <f>#REF!+#REF!</f>
        <v>#REF!</v>
      </c>
      <c r="HY132" s="6" t="e">
        <f>#REF!+#REF!</f>
        <v>#REF!</v>
      </c>
      <c r="HZ132" s="6" t="e">
        <f>#REF!+#REF!</f>
        <v>#REF!</v>
      </c>
      <c r="IA132" s="6" t="e">
        <f>#REF!+#REF!</f>
        <v>#REF!</v>
      </c>
      <c r="IB132" s="6" t="e">
        <f>#REF!+#REF!</f>
        <v>#REF!</v>
      </c>
      <c r="IC132" s="6" t="e">
        <f>#REF!+#REF!</f>
        <v>#REF!</v>
      </c>
      <c r="ID132" s="6" t="e">
        <f>#REF!+#REF!</f>
        <v>#REF!</v>
      </c>
      <c r="IE132" s="6" t="e">
        <f>#REF!+#REF!</f>
        <v>#REF!</v>
      </c>
      <c r="IF132" s="6" t="e">
        <f>#REF!+#REF!</f>
        <v>#REF!</v>
      </c>
      <c r="IG132" s="6" t="e">
        <f>#REF!+#REF!</f>
        <v>#REF!</v>
      </c>
      <c r="IH132" s="6" t="e">
        <f>#REF!+#REF!</f>
        <v>#REF!</v>
      </c>
      <c r="II132" s="6" t="e">
        <f>#REF!+#REF!</f>
        <v>#REF!</v>
      </c>
      <c r="IJ132" s="6" t="e">
        <f>#REF!+#REF!</f>
        <v>#REF!</v>
      </c>
      <c r="IK132" s="6" t="e">
        <f>#REF!+#REF!</f>
        <v>#REF!</v>
      </c>
      <c r="IL132" s="6" t="e">
        <f>#REF!+#REF!</f>
        <v>#REF!</v>
      </c>
      <c r="IM132" s="6" t="e">
        <f>#REF!+#REF!</f>
        <v>#REF!</v>
      </c>
      <c r="IN132" s="6" t="e">
        <f>#REF!+#REF!</f>
        <v>#REF!</v>
      </c>
      <c r="IO132" s="6" t="e">
        <f>#REF!+#REF!</f>
        <v>#REF!</v>
      </c>
      <c r="IP132" s="6" t="e">
        <f>#REF!+#REF!</f>
        <v>#REF!</v>
      </c>
      <c r="IQ132" s="6" t="e">
        <f>#REF!+#REF!</f>
        <v>#REF!</v>
      </c>
      <c r="IR132" s="6" t="e">
        <f>#REF!+#REF!</f>
        <v>#REF!</v>
      </c>
      <c r="IS132" s="6" t="e">
        <f>#REF!+#REF!</f>
        <v>#REF!</v>
      </c>
      <c r="IT132" s="6" t="e">
        <f>#REF!+#REF!</f>
        <v>#REF!</v>
      </c>
      <c r="IU132" s="6" t="e">
        <f>#REF!+#REF!</f>
        <v>#REF!</v>
      </c>
      <c r="IV132" s="6" t="e">
        <f>#REF!+#REF!</f>
        <v>#REF!</v>
      </c>
      <c r="IW132" s="6" t="e">
        <f>#REF!+#REF!</f>
        <v>#REF!</v>
      </c>
      <c r="IX132" s="6" t="e">
        <f>#REF!+#REF!</f>
        <v>#REF!</v>
      </c>
      <c r="IY132" s="6" t="e">
        <f>#REF!+#REF!</f>
        <v>#REF!</v>
      </c>
      <c r="IZ132" s="6" t="e">
        <f>#REF!+#REF!</f>
        <v>#REF!</v>
      </c>
      <c r="JA132" s="6" t="e">
        <f>#REF!+#REF!</f>
        <v>#REF!</v>
      </c>
      <c r="JB132" s="6" t="e">
        <f>#REF!+#REF!</f>
        <v>#REF!</v>
      </c>
      <c r="JC132" s="6" t="e">
        <f>#REF!+#REF!</f>
        <v>#REF!</v>
      </c>
      <c r="JD132" s="6" t="e">
        <f>#REF!+#REF!</f>
        <v>#REF!</v>
      </c>
      <c r="JE132" s="6" t="e">
        <f>#REF!+#REF!</f>
        <v>#REF!</v>
      </c>
      <c r="JF132" s="6" t="e">
        <f>#REF!+#REF!</f>
        <v>#REF!</v>
      </c>
      <c r="JG132" s="6" t="e">
        <f>#REF!+#REF!</f>
        <v>#REF!</v>
      </c>
      <c r="JH132" s="6" t="e">
        <f>#REF!+#REF!</f>
        <v>#REF!</v>
      </c>
      <c r="JI132" s="6" t="e">
        <f>#REF!+#REF!</f>
        <v>#REF!</v>
      </c>
      <c r="JJ132" s="6" t="e">
        <f>#REF!+#REF!</f>
        <v>#REF!</v>
      </c>
      <c r="JK132" s="6" t="e">
        <f>#REF!+#REF!</f>
        <v>#REF!</v>
      </c>
      <c r="JL132" s="6" t="e">
        <f>#REF!+#REF!</f>
        <v>#REF!</v>
      </c>
      <c r="JM132" s="6" t="e">
        <f>#REF!+#REF!</f>
        <v>#REF!</v>
      </c>
      <c r="JN132" s="6" t="e">
        <f>#REF!+#REF!</f>
        <v>#REF!</v>
      </c>
      <c r="JO132" s="6" t="e">
        <f>#REF!+#REF!</f>
        <v>#REF!</v>
      </c>
      <c r="JP132" s="6" t="e">
        <f>#REF!+#REF!</f>
        <v>#REF!</v>
      </c>
      <c r="JQ132" s="6" t="e">
        <f>#REF!+#REF!</f>
        <v>#REF!</v>
      </c>
      <c r="JR132" s="6" t="e">
        <f>#REF!+#REF!</f>
        <v>#REF!</v>
      </c>
      <c r="JS132" s="6" t="e">
        <f>#REF!+#REF!</f>
        <v>#REF!</v>
      </c>
      <c r="JT132" s="6" t="e">
        <f>#REF!+#REF!</f>
        <v>#REF!</v>
      </c>
      <c r="JU132" s="6" t="e">
        <f>#REF!+#REF!</f>
        <v>#REF!</v>
      </c>
      <c r="JV132" s="6" t="e">
        <f>#REF!+#REF!</f>
        <v>#REF!</v>
      </c>
      <c r="JW132" s="6" t="e">
        <f>#REF!+#REF!</f>
        <v>#REF!</v>
      </c>
      <c r="JX132" s="6" t="e">
        <f>#REF!+#REF!</f>
        <v>#REF!</v>
      </c>
      <c r="JY132" s="6" t="e">
        <f>#REF!+#REF!</f>
        <v>#REF!</v>
      </c>
      <c r="JZ132" s="6" t="e">
        <f>#REF!+#REF!</f>
        <v>#REF!</v>
      </c>
      <c r="KA132" s="6" t="e">
        <f>#REF!+#REF!</f>
        <v>#REF!</v>
      </c>
      <c r="KB132" s="6" t="e">
        <f>#REF!+#REF!</f>
        <v>#REF!</v>
      </c>
      <c r="KC132" s="6" t="e">
        <f>#REF!+#REF!</f>
        <v>#REF!</v>
      </c>
      <c r="KD132" s="6" t="e">
        <f>#REF!+#REF!</f>
        <v>#REF!</v>
      </c>
      <c r="KE132" s="6" t="e">
        <f>#REF!+#REF!</f>
        <v>#REF!</v>
      </c>
      <c r="KF132" s="6" t="e">
        <f>#REF!+#REF!</f>
        <v>#REF!</v>
      </c>
      <c r="KG132" s="6" t="e">
        <f>#REF!+#REF!</f>
        <v>#REF!</v>
      </c>
      <c r="KH132" s="6" t="e">
        <f>#REF!+#REF!</f>
        <v>#REF!</v>
      </c>
      <c r="KI132" s="6" t="e">
        <f>#REF!+#REF!</f>
        <v>#REF!</v>
      </c>
      <c r="KJ132" s="6" t="e">
        <f>#REF!+#REF!</f>
        <v>#REF!</v>
      </c>
      <c r="KK132" s="6" t="e">
        <f>#REF!+#REF!</f>
        <v>#REF!</v>
      </c>
      <c r="KL132" s="6" t="e">
        <f>#REF!+#REF!</f>
        <v>#REF!</v>
      </c>
      <c r="KM132" s="6" t="e">
        <f>#REF!+#REF!</f>
        <v>#REF!</v>
      </c>
      <c r="KN132" s="6" t="e">
        <f>#REF!+#REF!</f>
        <v>#REF!</v>
      </c>
      <c r="KO132" s="6" t="e">
        <f>#REF!+#REF!</f>
        <v>#REF!</v>
      </c>
      <c r="KP132" s="6" t="e">
        <f>#REF!+#REF!</f>
        <v>#REF!</v>
      </c>
      <c r="KQ132" s="6" t="e">
        <f>#REF!+#REF!</f>
        <v>#REF!</v>
      </c>
      <c r="KR132" s="6" t="e">
        <f>#REF!+#REF!</f>
        <v>#REF!</v>
      </c>
      <c r="KS132" s="6" t="e">
        <f>#REF!+#REF!</f>
        <v>#REF!</v>
      </c>
    </row>
    <row r="133" spans="2:305" outlineLevel="1">
      <c r="B133" t="s">
        <v>50</v>
      </c>
      <c r="E133" s="6" t="e">
        <f t="shared" ref="E133" si="445">MIN(MAX(E132,0),D131)</f>
        <v>#REF!</v>
      </c>
      <c r="F133" s="6" t="e">
        <f t="shared" ref="F133" si="446">MIN(MAX(F132,0),E131)</f>
        <v>#REF!</v>
      </c>
      <c r="G133" s="6" t="e">
        <f t="shared" ref="G133" si="447">MIN(MAX(G132,0),F131)</f>
        <v>#REF!</v>
      </c>
      <c r="H133" s="6" t="e">
        <f t="shared" ref="H133" si="448">MIN(MAX(H132,0),G131)</f>
        <v>#REF!</v>
      </c>
      <c r="I133" s="6" t="e">
        <f t="shared" ref="I133" si="449">MIN(MAX(I132,0),H131)</f>
        <v>#REF!</v>
      </c>
      <c r="J133" s="6" t="e">
        <f t="shared" ref="J133" si="450">MIN(MAX(J132,0),I131)</f>
        <v>#REF!</v>
      </c>
      <c r="K133" s="6" t="e">
        <f t="shared" ref="K133" si="451">MIN(MAX(K132,0),J131)</f>
        <v>#REF!</v>
      </c>
      <c r="L133" s="6" t="e">
        <f t="shared" ref="L133" si="452">MIN(MAX(L132,0),K131)</f>
        <v>#REF!</v>
      </c>
      <c r="M133" s="6" t="e">
        <f t="shared" ref="M133" si="453">MIN(MAX(M132,0),L131)</f>
        <v>#REF!</v>
      </c>
      <c r="N133" s="6" t="e">
        <f t="shared" ref="N133" si="454">MIN(MAX(N132,0),M131)</f>
        <v>#REF!</v>
      </c>
      <c r="O133" s="6" t="e">
        <f t="shared" ref="O133" si="455">MIN(MAX(O132,0),N131)</f>
        <v>#REF!</v>
      </c>
      <c r="P133" s="6" t="e">
        <f t="shared" ref="P133" si="456">MIN(MAX(P132,0),O131)</f>
        <v>#REF!</v>
      </c>
      <c r="Q133" s="6" t="e">
        <f t="shared" ref="Q133" si="457">MIN(MAX(Q132,0),P131)</f>
        <v>#REF!</v>
      </c>
      <c r="R133" s="6" t="e">
        <f t="shared" ref="R133" si="458">MIN(MAX(R132,0),Q131)</f>
        <v>#REF!</v>
      </c>
      <c r="S133" s="6" t="e">
        <f t="shared" ref="S133" si="459">MIN(MAX(S132,0),R131)</f>
        <v>#REF!</v>
      </c>
      <c r="T133" s="6" t="e">
        <f t="shared" ref="T133" si="460">MIN(MAX(T132,0),S131)</f>
        <v>#REF!</v>
      </c>
      <c r="U133" s="6" t="e">
        <f t="shared" ref="U133" si="461">MIN(MAX(U132,0),T131)</f>
        <v>#REF!</v>
      </c>
      <c r="V133" s="6" t="e">
        <f t="shared" ref="V133" si="462">MIN(MAX(V132,0),U131)</f>
        <v>#REF!</v>
      </c>
      <c r="W133" s="6" t="e">
        <f t="shared" ref="W133" si="463">MIN(MAX(W132,0),V131)</f>
        <v>#REF!</v>
      </c>
      <c r="X133" s="6" t="e">
        <f t="shared" ref="X133" si="464">MIN(MAX(X132,0),W131)</f>
        <v>#REF!</v>
      </c>
      <c r="Y133" s="6" t="e">
        <f t="shared" ref="Y133" si="465">MIN(MAX(Y132,0),X131)</f>
        <v>#REF!</v>
      </c>
      <c r="Z133" s="6" t="e">
        <f t="shared" ref="Z133" si="466">MIN(MAX(Z132,0),Y131)</f>
        <v>#REF!</v>
      </c>
      <c r="AA133" s="6" t="e">
        <f t="shared" ref="AA133" si="467">MIN(MAX(AA132,0),Z131)</f>
        <v>#REF!</v>
      </c>
      <c r="AB133" s="6" t="e">
        <f t="shared" ref="AB133" si="468">MIN(MAX(AB132,0),AA131)</f>
        <v>#REF!</v>
      </c>
      <c r="AC133" s="6" t="e">
        <f t="shared" ref="AC133" si="469">MIN(MAX(AC132,0),AB131)</f>
        <v>#REF!</v>
      </c>
      <c r="AD133" s="6" t="e">
        <f t="shared" ref="AD133" si="470">MIN(MAX(AD132,0),AC131)</f>
        <v>#REF!</v>
      </c>
      <c r="AE133" s="6" t="e">
        <f t="shared" ref="AE133" si="471">MIN(MAX(AE132,0),AD131)</f>
        <v>#REF!</v>
      </c>
      <c r="AF133" s="6" t="e">
        <f t="shared" ref="AF133" si="472">MIN(MAX(AF132,0),AE131)</f>
        <v>#REF!</v>
      </c>
      <c r="AG133" s="6" t="e">
        <f t="shared" ref="AG133" si="473">MIN(MAX(AG132,0),AF131)</f>
        <v>#REF!</v>
      </c>
      <c r="AH133" s="6" t="e">
        <f t="shared" ref="AH133" si="474">MIN(MAX(AH132,0),AG131)</f>
        <v>#REF!</v>
      </c>
      <c r="AI133" s="6" t="e">
        <f t="shared" ref="AI133" si="475">MIN(MAX(AI132,0),AH131)</f>
        <v>#REF!</v>
      </c>
      <c r="AJ133" s="6" t="e">
        <f t="shared" ref="AJ133" si="476">MIN(MAX(AJ132,0),AI131)</f>
        <v>#REF!</v>
      </c>
      <c r="AK133" s="6" t="e">
        <f t="shared" ref="AK133" si="477">MIN(MAX(AK132,0),AJ131)</f>
        <v>#REF!</v>
      </c>
      <c r="AL133" s="6" t="e">
        <f t="shared" ref="AL133" si="478">MIN(MAX(AL132,0),AK131)</f>
        <v>#REF!</v>
      </c>
      <c r="AM133" s="6" t="e">
        <f t="shared" ref="AM133" si="479">MIN(MAX(AM132,0),AL131)</f>
        <v>#REF!</v>
      </c>
      <c r="AN133" s="6" t="e">
        <f t="shared" ref="AN133" si="480">MIN(MAX(AN132,0),AM131)</f>
        <v>#REF!</v>
      </c>
      <c r="AO133" s="6" t="e">
        <f t="shared" ref="AO133" si="481">MIN(MAX(AO132,0),AN131)</f>
        <v>#REF!</v>
      </c>
      <c r="AP133" s="6" t="e">
        <f t="shared" ref="AP133" si="482">MIN(MAX(AP132,0),AO131)</f>
        <v>#REF!</v>
      </c>
      <c r="AQ133" s="6" t="e">
        <f t="shared" ref="AQ133" si="483">MIN(MAX(AQ132,0),AP131)</f>
        <v>#REF!</v>
      </c>
      <c r="AR133" s="6" t="e">
        <f t="shared" ref="AR133" si="484">MIN(MAX(AR132,0),AQ131)</f>
        <v>#REF!</v>
      </c>
      <c r="AS133" s="6" t="e">
        <f t="shared" ref="AS133" si="485">MIN(MAX(AS132,0),AR131)</f>
        <v>#REF!</v>
      </c>
      <c r="AT133" s="6" t="e">
        <f t="shared" ref="AT133" si="486">MIN(MAX(AT132,0),AS131)</f>
        <v>#REF!</v>
      </c>
      <c r="AU133" s="6" t="e">
        <f t="shared" ref="AU133" si="487">MIN(MAX(AU132,0),AT131)</f>
        <v>#REF!</v>
      </c>
      <c r="AV133" s="6" t="e">
        <f t="shared" ref="AV133" si="488">MIN(MAX(AV132,0),AU131)</f>
        <v>#REF!</v>
      </c>
      <c r="AW133" s="6" t="e">
        <f t="shared" ref="AW133" si="489">MIN(MAX(AW132,0),AV131)</f>
        <v>#REF!</v>
      </c>
      <c r="AX133" s="6" t="e">
        <f t="shared" ref="AX133" si="490">MIN(MAX(AX132,0),AW131)</f>
        <v>#REF!</v>
      </c>
      <c r="AY133" s="6" t="e">
        <f t="shared" ref="AY133" si="491">MIN(MAX(AY132,0),AX131)</f>
        <v>#REF!</v>
      </c>
      <c r="AZ133" s="6" t="e">
        <f t="shared" ref="AZ133" si="492">MIN(MAX(AZ132,0),AY131)</f>
        <v>#REF!</v>
      </c>
      <c r="BA133" s="6" t="e">
        <f t="shared" ref="BA133" si="493">MIN(MAX(BA132,0),AZ131)</f>
        <v>#REF!</v>
      </c>
      <c r="BB133" s="6" t="e">
        <f t="shared" ref="BB133" si="494">MIN(MAX(BB132,0),BA131)</f>
        <v>#REF!</v>
      </c>
      <c r="BC133" s="6" t="e">
        <f t="shared" ref="BC133" si="495">MIN(MAX(BC132,0),BB131)</f>
        <v>#REF!</v>
      </c>
      <c r="BD133" s="6" t="e">
        <f t="shared" ref="BD133" si="496">MIN(MAX(BD132,0),BC131)</f>
        <v>#REF!</v>
      </c>
      <c r="BE133" s="6" t="e">
        <f t="shared" ref="BE133" si="497">MIN(MAX(BE132,0),BD131)</f>
        <v>#REF!</v>
      </c>
      <c r="BF133" s="6" t="e">
        <f t="shared" ref="BF133" si="498">MIN(MAX(BF132,0),BE131)</f>
        <v>#REF!</v>
      </c>
      <c r="BG133" s="6" t="e">
        <f t="shared" ref="BG133" si="499">MIN(MAX(BG132,0),BF131)</f>
        <v>#REF!</v>
      </c>
      <c r="BH133" s="6" t="e">
        <f t="shared" ref="BH133" si="500">MIN(MAX(BH132,0),BG131)</f>
        <v>#REF!</v>
      </c>
      <c r="BI133" s="6" t="e">
        <f t="shared" ref="BI133" si="501">MIN(MAX(BI132,0),BH131)</f>
        <v>#REF!</v>
      </c>
      <c r="BJ133" s="6" t="e">
        <f t="shared" ref="BJ133" si="502">MIN(MAX(BJ132,0),BI131)</f>
        <v>#REF!</v>
      </c>
      <c r="BK133" s="6" t="e">
        <f t="shared" ref="BK133" si="503">MIN(MAX(BK132,0),BJ131)</f>
        <v>#REF!</v>
      </c>
      <c r="BL133" s="6" t="e">
        <f t="shared" ref="BL133" si="504">MIN(MAX(BL132,0),BK131)</f>
        <v>#REF!</v>
      </c>
      <c r="BM133" s="6" t="e">
        <f t="shared" ref="BM133" si="505">MIN(MAX(BM132,0),BL131)</f>
        <v>#REF!</v>
      </c>
      <c r="BN133" s="6" t="e">
        <f t="shared" ref="BN133" si="506">MIN(MAX(BN132,0),BM131)</f>
        <v>#REF!</v>
      </c>
      <c r="BO133" s="6" t="e">
        <f t="shared" ref="BO133" si="507">MIN(MAX(BO132,0),BN131)</f>
        <v>#REF!</v>
      </c>
      <c r="BP133" s="6" t="e">
        <f t="shared" ref="BP133" si="508">MIN(MAX(BP132,0),BO131)</f>
        <v>#REF!</v>
      </c>
      <c r="BQ133" s="6" t="e">
        <f t="shared" ref="BQ133" si="509">MIN(MAX(BQ132,0),BP131)</f>
        <v>#REF!</v>
      </c>
      <c r="BR133" s="6" t="e">
        <f t="shared" ref="BR133" si="510">MIN(MAX(BR132,0),BQ131)</f>
        <v>#REF!</v>
      </c>
      <c r="BS133" s="6" t="e">
        <f t="shared" ref="BS133" si="511">MIN(MAX(BS132,0),BR131)</f>
        <v>#REF!</v>
      </c>
      <c r="BT133" s="6" t="e">
        <f t="shared" ref="BT133" si="512">MIN(MAX(BT132,0),BS131)</f>
        <v>#REF!</v>
      </c>
      <c r="BU133" s="6" t="e">
        <f t="shared" ref="BU133" si="513">MIN(MAX(BU132,0),BT131)</f>
        <v>#REF!</v>
      </c>
      <c r="BV133" s="6" t="e">
        <f t="shared" ref="BV133" si="514">MIN(MAX(BV132,0),BU131)</f>
        <v>#REF!</v>
      </c>
      <c r="BW133" s="6" t="e">
        <f t="shared" ref="BW133" si="515">MIN(MAX(BW132,0),BV131)</f>
        <v>#REF!</v>
      </c>
      <c r="BX133" s="6" t="e">
        <f t="shared" ref="BX133" si="516">MIN(MAX(BX132,0),BW131)</f>
        <v>#REF!</v>
      </c>
      <c r="BY133" s="6" t="e">
        <f t="shared" ref="BY133" si="517">MIN(MAX(BY132,0),BX131)</f>
        <v>#REF!</v>
      </c>
      <c r="BZ133" s="6" t="e">
        <f t="shared" ref="BZ133" si="518">MIN(MAX(BZ132,0),BY131)</f>
        <v>#REF!</v>
      </c>
      <c r="CA133" s="6" t="e">
        <f t="shared" ref="CA133" si="519">MIN(MAX(CA132,0),BZ131)</f>
        <v>#REF!</v>
      </c>
      <c r="CB133" s="6" t="e">
        <f t="shared" ref="CB133" si="520">MIN(MAX(CB132,0),CA131)</f>
        <v>#REF!</v>
      </c>
      <c r="CC133" s="6" t="e">
        <f t="shared" ref="CC133" si="521">MIN(MAX(CC132,0),CB131)</f>
        <v>#REF!</v>
      </c>
      <c r="CD133" s="6" t="e">
        <f t="shared" ref="CD133" si="522">MIN(MAX(CD132,0),CC131)</f>
        <v>#REF!</v>
      </c>
      <c r="CE133" s="6" t="e">
        <f t="shared" ref="CE133" si="523">MIN(MAX(CE132,0),CD131)</f>
        <v>#REF!</v>
      </c>
      <c r="CF133" s="6" t="e">
        <f t="shared" ref="CF133" si="524">MIN(MAX(CF132,0),CE131)</f>
        <v>#REF!</v>
      </c>
      <c r="CG133" s="6" t="e">
        <f t="shared" ref="CG133" si="525">MIN(MAX(CG132,0),CF131)</f>
        <v>#REF!</v>
      </c>
      <c r="CH133" s="6" t="e">
        <f t="shared" ref="CH133" si="526">MIN(MAX(CH132,0),CG131)</f>
        <v>#REF!</v>
      </c>
      <c r="CI133" s="6" t="e">
        <f t="shared" ref="CI133" si="527">MIN(MAX(CI132,0),CH131)</f>
        <v>#REF!</v>
      </c>
      <c r="CJ133" s="6" t="e">
        <f t="shared" ref="CJ133" si="528">MIN(MAX(CJ132,0),CI131)</f>
        <v>#REF!</v>
      </c>
      <c r="CK133" s="6" t="e">
        <f t="shared" ref="CK133" si="529">MIN(MAX(CK132,0),CJ131)</f>
        <v>#REF!</v>
      </c>
      <c r="CL133" s="6" t="e">
        <f t="shared" ref="CL133" si="530">MIN(MAX(CL132,0),CK131)</f>
        <v>#REF!</v>
      </c>
      <c r="CM133" s="6" t="e">
        <f t="shared" ref="CM133" si="531">MIN(MAX(CM132,0),CL131)</f>
        <v>#REF!</v>
      </c>
      <c r="CN133" s="6" t="e">
        <f t="shared" ref="CN133" si="532">MIN(MAX(CN132,0),CM131)</f>
        <v>#REF!</v>
      </c>
      <c r="CO133" s="6" t="e">
        <f t="shared" ref="CO133" si="533">MIN(MAX(CO132,0),CN131)</f>
        <v>#REF!</v>
      </c>
      <c r="CP133" s="6" t="e">
        <f t="shared" ref="CP133" si="534">MIN(MAX(CP132,0),CO131)</f>
        <v>#REF!</v>
      </c>
      <c r="CQ133" s="6" t="e">
        <f t="shared" ref="CQ133" si="535">MIN(MAX(CQ132,0),CP131)</f>
        <v>#REF!</v>
      </c>
      <c r="CR133" s="6" t="e">
        <f t="shared" ref="CR133" si="536">MIN(MAX(CR132,0),CQ131)</f>
        <v>#REF!</v>
      </c>
      <c r="CS133" s="6" t="e">
        <f t="shared" ref="CS133" si="537">MIN(MAX(CS132,0),CR131)</f>
        <v>#REF!</v>
      </c>
      <c r="CT133" s="6" t="e">
        <f t="shared" ref="CT133" si="538">MIN(MAX(CT132,0),CS131)</f>
        <v>#REF!</v>
      </c>
      <c r="CU133" s="6" t="e">
        <f t="shared" ref="CU133" si="539">MIN(MAX(CU132,0),CT131)</f>
        <v>#REF!</v>
      </c>
      <c r="CV133" s="6" t="e">
        <f t="shared" ref="CV133" si="540">MIN(MAX(CV132,0),CU131)</f>
        <v>#REF!</v>
      </c>
      <c r="CW133" s="6" t="e">
        <f t="shared" ref="CW133" si="541">MIN(MAX(CW132,0),CV131)</f>
        <v>#REF!</v>
      </c>
      <c r="CX133" s="6" t="e">
        <f t="shared" ref="CX133" si="542">MIN(MAX(CX132,0),CW131)</f>
        <v>#REF!</v>
      </c>
      <c r="CY133" s="6" t="e">
        <f t="shared" ref="CY133" si="543">MIN(MAX(CY132,0),CX131)</f>
        <v>#REF!</v>
      </c>
      <c r="CZ133" s="6" t="e">
        <f t="shared" ref="CZ133" si="544">MIN(MAX(CZ132,0),CY131)</f>
        <v>#REF!</v>
      </c>
      <c r="DA133" s="6" t="e">
        <f t="shared" ref="DA133" si="545">MIN(MAX(DA132,0),CZ131)</f>
        <v>#REF!</v>
      </c>
      <c r="DB133" s="6" t="e">
        <f t="shared" ref="DB133" si="546">MIN(MAX(DB132,0),DA131)</f>
        <v>#REF!</v>
      </c>
      <c r="DC133" s="6" t="e">
        <f t="shared" ref="DC133" si="547">MIN(MAX(DC132,0),DB131)</f>
        <v>#REF!</v>
      </c>
      <c r="DD133" s="6" t="e">
        <f t="shared" ref="DD133" si="548">MIN(MAX(DD132,0),DC131)</f>
        <v>#REF!</v>
      </c>
      <c r="DE133" s="6" t="e">
        <f t="shared" ref="DE133" si="549">MIN(MAX(DE132,0),DD131)</f>
        <v>#REF!</v>
      </c>
      <c r="DF133" s="6" t="e">
        <f t="shared" ref="DF133" si="550">MIN(MAX(DF132,0),DE131)</f>
        <v>#REF!</v>
      </c>
      <c r="DG133" s="6" t="e">
        <f t="shared" ref="DG133" si="551">MIN(MAX(DG132,0),DF131)</f>
        <v>#REF!</v>
      </c>
      <c r="DH133" s="6" t="e">
        <f t="shared" ref="DH133" si="552">MIN(MAX(DH132,0),DG131)</f>
        <v>#REF!</v>
      </c>
      <c r="DI133" s="6" t="e">
        <f t="shared" ref="DI133" si="553">MIN(MAX(DI132,0),DH131)</f>
        <v>#REF!</v>
      </c>
      <c r="DJ133" s="6" t="e">
        <f t="shared" ref="DJ133" si="554">MIN(MAX(DJ132,0),DI131)</f>
        <v>#REF!</v>
      </c>
      <c r="DK133" s="6" t="e">
        <f t="shared" ref="DK133" si="555">MIN(MAX(DK132,0),DJ131)</f>
        <v>#REF!</v>
      </c>
      <c r="DL133" s="6" t="e">
        <f t="shared" ref="DL133" si="556">MIN(MAX(DL132,0),DK131)</f>
        <v>#REF!</v>
      </c>
      <c r="DM133" s="6" t="e">
        <f t="shared" ref="DM133" si="557">MIN(MAX(DM132,0),DL131)</f>
        <v>#REF!</v>
      </c>
      <c r="DN133" s="6" t="e">
        <f t="shared" ref="DN133" si="558">MIN(MAX(DN132,0),DM131)</f>
        <v>#REF!</v>
      </c>
      <c r="DO133" s="6" t="e">
        <f t="shared" ref="DO133" si="559">MIN(MAX(DO132,0),DN131)</f>
        <v>#REF!</v>
      </c>
      <c r="DP133" s="6" t="e">
        <f t="shared" ref="DP133" si="560">MIN(MAX(DP132,0),DO131)</f>
        <v>#REF!</v>
      </c>
      <c r="DQ133" s="6" t="e">
        <f t="shared" ref="DQ133" si="561">MIN(MAX(DQ132,0),DP131)</f>
        <v>#REF!</v>
      </c>
      <c r="DR133" s="6" t="e">
        <f t="shared" ref="DR133" si="562">MIN(MAX(DR132,0),DQ131)</f>
        <v>#REF!</v>
      </c>
      <c r="DS133" s="6" t="e">
        <f t="shared" ref="DS133" si="563">MIN(MAX(DS132,0),DR131)</f>
        <v>#REF!</v>
      </c>
      <c r="DT133" s="6" t="e">
        <f t="shared" ref="DT133" si="564">MIN(MAX(DT132,0),DS131)</f>
        <v>#REF!</v>
      </c>
      <c r="DU133" s="6" t="e">
        <f t="shared" ref="DU133" si="565">MIN(MAX(DU132,0),DT131)</f>
        <v>#REF!</v>
      </c>
      <c r="DV133" s="6" t="e">
        <f t="shared" ref="DV133" si="566">MIN(MAX(DV132,0),DU131)</f>
        <v>#REF!</v>
      </c>
      <c r="DW133" s="6" t="e">
        <f t="shared" ref="DW133" si="567">MIN(MAX(DW132,0),DV131)</f>
        <v>#REF!</v>
      </c>
      <c r="DX133" s="6" t="e">
        <f t="shared" ref="DX133" si="568">MIN(MAX(DX132,0),DW131)</f>
        <v>#REF!</v>
      </c>
      <c r="DY133" s="6" t="e">
        <f t="shared" ref="DY133" si="569">MIN(MAX(DY132,0),DX131)</f>
        <v>#REF!</v>
      </c>
      <c r="DZ133" s="6" t="e">
        <f t="shared" ref="DZ133" si="570">MIN(MAX(DZ132,0),DY131)</f>
        <v>#REF!</v>
      </c>
      <c r="EA133" s="6" t="e">
        <f t="shared" ref="EA133" si="571">MIN(MAX(EA132,0),DZ131)</f>
        <v>#REF!</v>
      </c>
      <c r="EB133" s="6" t="e">
        <f t="shared" ref="EB133" si="572">MIN(MAX(EB132,0),EA131)</f>
        <v>#REF!</v>
      </c>
      <c r="EC133" s="6" t="e">
        <f t="shared" ref="EC133" si="573">MIN(MAX(EC132,0),EB131)</f>
        <v>#REF!</v>
      </c>
      <c r="ED133" s="6" t="e">
        <f t="shared" ref="ED133" si="574">MIN(MAX(ED132,0),EC131)</f>
        <v>#REF!</v>
      </c>
      <c r="EE133" s="6" t="e">
        <f t="shared" ref="EE133" si="575">MIN(MAX(EE132,0),ED131)</f>
        <v>#REF!</v>
      </c>
      <c r="EF133" s="6" t="e">
        <f t="shared" ref="EF133" si="576">MIN(MAX(EF132,0),EE131)</f>
        <v>#REF!</v>
      </c>
      <c r="EG133" s="6" t="e">
        <f t="shared" ref="EG133" si="577">MIN(MAX(EG132,0),EF131)</f>
        <v>#REF!</v>
      </c>
      <c r="EH133" s="6" t="e">
        <f t="shared" ref="EH133" si="578">MIN(MAX(EH132,0),EG131)</f>
        <v>#REF!</v>
      </c>
      <c r="EI133" s="6" t="e">
        <f t="shared" ref="EI133" si="579">MIN(MAX(EI132,0),EH131)</f>
        <v>#REF!</v>
      </c>
      <c r="EJ133" s="6" t="e">
        <f t="shared" ref="EJ133" si="580">MIN(MAX(EJ132,0),EI131)</f>
        <v>#REF!</v>
      </c>
      <c r="EK133" s="6" t="e">
        <f t="shared" ref="EK133" si="581">MIN(MAX(EK132,0),EJ131)</f>
        <v>#REF!</v>
      </c>
      <c r="EL133" s="6" t="e">
        <f t="shared" ref="EL133" si="582">MIN(MAX(EL132,0),EK131)</f>
        <v>#REF!</v>
      </c>
      <c r="EM133" s="6" t="e">
        <f t="shared" ref="EM133" si="583">MIN(MAX(EM132,0),EL131)</f>
        <v>#REF!</v>
      </c>
      <c r="EN133" s="6" t="e">
        <f t="shared" ref="EN133" si="584">MIN(MAX(EN132,0),EM131)</f>
        <v>#REF!</v>
      </c>
      <c r="EO133" s="6" t="e">
        <f t="shared" ref="EO133" si="585">MIN(MAX(EO132,0),EN131)</f>
        <v>#REF!</v>
      </c>
      <c r="EP133" s="6" t="e">
        <f t="shared" ref="EP133" si="586">MIN(MAX(EP132,0),EO131)</f>
        <v>#REF!</v>
      </c>
      <c r="EQ133" s="6" t="e">
        <f t="shared" ref="EQ133" si="587">MIN(MAX(EQ132,0),EP131)</f>
        <v>#REF!</v>
      </c>
      <c r="ER133" s="6" t="e">
        <f t="shared" ref="ER133" si="588">MIN(MAX(ER132,0),EQ131)</f>
        <v>#REF!</v>
      </c>
      <c r="ES133" s="6" t="e">
        <f t="shared" ref="ES133" si="589">MIN(MAX(ES132,0),ER131)</f>
        <v>#REF!</v>
      </c>
      <c r="ET133" s="6" t="e">
        <f t="shared" ref="ET133" si="590">MIN(MAX(ET132,0),ES131)</f>
        <v>#REF!</v>
      </c>
      <c r="EU133" s="6" t="e">
        <f t="shared" ref="EU133" si="591">MIN(MAX(EU132,0),ET131)</f>
        <v>#REF!</v>
      </c>
      <c r="EV133" s="6" t="e">
        <f t="shared" ref="EV133" si="592">MIN(MAX(EV132,0),EU131)</f>
        <v>#REF!</v>
      </c>
      <c r="EW133" s="6" t="e">
        <f t="shared" ref="EW133" si="593">MIN(MAX(EW132,0),EV131)</f>
        <v>#REF!</v>
      </c>
      <c r="EX133" s="6" t="e">
        <f t="shared" ref="EX133" si="594">MIN(MAX(EX132,0),EW131)</f>
        <v>#REF!</v>
      </c>
      <c r="EY133" s="6" t="e">
        <f t="shared" ref="EY133" si="595">MIN(MAX(EY132,0),EX131)</f>
        <v>#REF!</v>
      </c>
      <c r="EZ133" s="6" t="e">
        <f t="shared" ref="EZ133" si="596">MIN(MAX(EZ132,0),EY131)</f>
        <v>#REF!</v>
      </c>
      <c r="FA133" s="6" t="e">
        <f t="shared" ref="FA133" si="597">MIN(MAX(FA132,0),EZ131)</f>
        <v>#REF!</v>
      </c>
      <c r="FB133" s="6" t="e">
        <f t="shared" ref="FB133" si="598">MIN(MAX(FB132,0),FA131)</f>
        <v>#REF!</v>
      </c>
      <c r="FC133" s="6" t="e">
        <f t="shared" ref="FC133" si="599">MIN(MAX(FC132,0),FB131)</f>
        <v>#REF!</v>
      </c>
      <c r="FD133" s="6" t="e">
        <f t="shared" ref="FD133" si="600">MIN(MAX(FD132,0),FC131)</f>
        <v>#REF!</v>
      </c>
      <c r="FE133" s="6" t="e">
        <f t="shared" ref="FE133" si="601">MIN(MAX(FE132,0),FD131)</f>
        <v>#REF!</v>
      </c>
      <c r="FF133" s="6" t="e">
        <f t="shared" ref="FF133" si="602">MIN(MAX(FF132,0),FE131)</f>
        <v>#REF!</v>
      </c>
      <c r="FG133" s="6" t="e">
        <f t="shared" ref="FG133" si="603">MIN(MAX(FG132,0),FF131)</f>
        <v>#REF!</v>
      </c>
      <c r="FH133" s="6" t="e">
        <f t="shared" ref="FH133" si="604">MIN(MAX(FH132,0),FG131)</f>
        <v>#REF!</v>
      </c>
      <c r="FI133" s="6" t="e">
        <f t="shared" ref="FI133" si="605">MIN(MAX(FI132,0),FH131)</f>
        <v>#REF!</v>
      </c>
      <c r="FJ133" s="6" t="e">
        <f t="shared" ref="FJ133" si="606">MIN(MAX(FJ132,0),FI131)</f>
        <v>#REF!</v>
      </c>
      <c r="FK133" s="6" t="e">
        <f t="shared" ref="FK133" si="607">MIN(MAX(FK132,0),FJ131)</f>
        <v>#REF!</v>
      </c>
      <c r="FL133" s="6" t="e">
        <f t="shared" ref="FL133" si="608">MIN(MAX(FL132,0),FK131)</f>
        <v>#REF!</v>
      </c>
      <c r="FM133" s="6" t="e">
        <f t="shared" ref="FM133" si="609">MIN(MAX(FM132,0),FL131)</f>
        <v>#REF!</v>
      </c>
      <c r="FN133" s="6" t="e">
        <f t="shared" ref="FN133" si="610">MIN(MAX(FN132,0),FM131)</f>
        <v>#REF!</v>
      </c>
      <c r="FO133" s="6" t="e">
        <f t="shared" ref="FO133" si="611">MIN(MAX(FO132,0),FN131)</f>
        <v>#REF!</v>
      </c>
      <c r="FP133" s="6" t="e">
        <f t="shared" ref="FP133" si="612">MIN(MAX(FP132,0),FO131)</f>
        <v>#REF!</v>
      </c>
      <c r="FQ133" s="6" t="e">
        <f t="shared" ref="FQ133" si="613">MIN(MAX(FQ132,0),FP131)</f>
        <v>#REF!</v>
      </c>
      <c r="FR133" s="6" t="e">
        <f t="shared" ref="FR133" si="614">MIN(MAX(FR132,0),FQ131)</f>
        <v>#REF!</v>
      </c>
      <c r="FS133" s="6" t="e">
        <f t="shared" ref="FS133" si="615">MIN(MAX(FS132,0),FR131)</f>
        <v>#REF!</v>
      </c>
      <c r="FT133" s="6" t="e">
        <f t="shared" ref="FT133" si="616">MIN(MAX(FT132,0),FS131)</f>
        <v>#REF!</v>
      </c>
      <c r="FU133" s="6" t="e">
        <f t="shared" ref="FU133" si="617">MIN(MAX(FU132,0),FT131)</f>
        <v>#REF!</v>
      </c>
      <c r="FV133" s="6" t="e">
        <f t="shared" ref="FV133" si="618">MIN(MAX(FV132,0),FU131)</f>
        <v>#REF!</v>
      </c>
      <c r="FW133" s="6" t="e">
        <f t="shared" ref="FW133" si="619">MIN(MAX(FW132,0),FV131)</f>
        <v>#REF!</v>
      </c>
      <c r="FX133" s="6" t="e">
        <f t="shared" ref="FX133" si="620">MIN(MAX(FX132,0),FW131)</f>
        <v>#REF!</v>
      </c>
      <c r="FY133" s="6" t="e">
        <f t="shared" ref="FY133" si="621">MIN(MAX(FY132,0),FX131)</f>
        <v>#REF!</v>
      </c>
      <c r="FZ133" s="6" t="e">
        <f t="shared" ref="FZ133" si="622">MIN(MAX(FZ132,0),FY131)</f>
        <v>#REF!</v>
      </c>
      <c r="GA133" s="6" t="e">
        <f t="shared" ref="GA133" si="623">MIN(MAX(GA132,0),FZ131)</f>
        <v>#REF!</v>
      </c>
      <c r="GB133" s="6" t="e">
        <f t="shared" ref="GB133" si="624">MIN(MAX(GB132,0),GA131)</f>
        <v>#REF!</v>
      </c>
      <c r="GC133" s="6" t="e">
        <f t="shared" ref="GC133" si="625">MIN(MAX(GC132,0),GB131)</f>
        <v>#REF!</v>
      </c>
      <c r="GD133" s="6" t="e">
        <f t="shared" ref="GD133" si="626">MIN(MAX(GD132,0),GC131)</f>
        <v>#REF!</v>
      </c>
      <c r="GE133" s="6" t="e">
        <f t="shared" ref="GE133" si="627">MIN(MAX(GE132,0),GD131)</f>
        <v>#REF!</v>
      </c>
      <c r="GF133" s="6" t="e">
        <f t="shared" ref="GF133" si="628">MIN(MAX(GF132,0),GE131)</f>
        <v>#REF!</v>
      </c>
      <c r="GG133" s="6" t="e">
        <f t="shared" ref="GG133" si="629">MIN(MAX(GG132,0),GF131)</f>
        <v>#REF!</v>
      </c>
      <c r="GH133" s="6" t="e">
        <f t="shared" ref="GH133" si="630">MIN(MAX(GH132,0),GG131)</f>
        <v>#REF!</v>
      </c>
      <c r="GI133" s="6" t="e">
        <f t="shared" ref="GI133" si="631">MIN(MAX(GI132,0),GH131)</f>
        <v>#REF!</v>
      </c>
      <c r="GJ133" s="6" t="e">
        <f t="shared" ref="GJ133" si="632">MIN(MAX(GJ132,0),GI131)</f>
        <v>#REF!</v>
      </c>
      <c r="GK133" s="6" t="e">
        <f t="shared" ref="GK133" si="633">MIN(MAX(GK132,0),GJ131)</f>
        <v>#REF!</v>
      </c>
      <c r="GL133" s="6" t="e">
        <f t="shared" ref="GL133" si="634">MIN(MAX(GL132,0),GK131)</f>
        <v>#REF!</v>
      </c>
      <c r="GM133" s="6" t="e">
        <f t="shared" ref="GM133" si="635">MIN(MAX(GM132,0),GL131)</f>
        <v>#REF!</v>
      </c>
      <c r="GN133" s="6" t="e">
        <f t="shared" ref="GN133" si="636">MIN(MAX(GN132,0),GM131)</f>
        <v>#REF!</v>
      </c>
      <c r="GO133" s="6" t="e">
        <f t="shared" ref="GO133" si="637">MIN(MAX(GO132,0),GN131)</f>
        <v>#REF!</v>
      </c>
      <c r="GP133" s="6" t="e">
        <f t="shared" ref="GP133" si="638">MIN(MAX(GP132,0),GO131)</f>
        <v>#REF!</v>
      </c>
      <c r="GQ133" s="6" t="e">
        <f t="shared" ref="GQ133" si="639">MIN(MAX(GQ132,0),GP131)</f>
        <v>#REF!</v>
      </c>
      <c r="GR133" s="6" t="e">
        <f t="shared" ref="GR133" si="640">MIN(MAX(GR132,0),GQ131)</f>
        <v>#REF!</v>
      </c>
      <c r="GS133" s="6" t="e">
        <f t="shared" ref="GS133" si="641">MIN(MAX(GS132,0),GR131)</f>
        <v>#REF!</v>
      </c>
      <c r="GT133" s="6" t="e">
        <f t="shared" ref="GT133" si="642">MIN(MAX(GT132,0),GS131)</f>
        <v>#REF!</v>
      </c>
      <c r="GU133" s="6" t="e">
        <f t="shared" ref="GU133" si="643">MIN(MAX(GU132,0),GT131)</f>
        <v>#REF!</v>
      </c>
      <c r="GV133" s="6" t="e">
        <f t="shared" ref="GV133" si="644">MIN(MAX(GV132,0),GU131)</f>
        <v>#REF!</v>
      </c>
      <c r="GW133" s="6" t="e">
        <f t="shared" ref="GW133" si="645">MIN(MAX(GW132,0),GV131)</f>
        <v>#REF!</v>
      </c>
      <c r="GX133" s="6" t="e">
        <f t="shared" ref="GX133" si="646">MIN(MAX(GX132,0),GW131)</f>
        <v>#REF!</v>
      </c>
      <c r="GY133" s="6" t="e">
        <f t="shared" ref="GY133" si="647">MIN(MAX(GY132,0),GX131)</f>
        <v>#REF!</v>
      </c>
      <c r="GZ133" s="6" t="e">
        <f t="shared" ref="GZ133" si="648">MIN(MAX(GZ132,0),GY131)</f>
        <v>#REF!</v>
      </c>
      <c r="HA133" s="6" t="e">
        <f t="shared" ref="HA133" si="649">MIN(MAX(HA132,0),GZ131)</f>
        <v>#REF!</v>
      </c>
      <c r="HB133" s="6" t="e">
        <f t="shared" ref="HB133" si="650">MIN(MAX(HB132,0),HA131)</f>
        <v>#REF!</v>
      </c>
      <c r="HC133" s="6" t="e">
        <f t="shared" ref="HC133" si="651">MIN(MAX(HC132,0),HB131)</f>
        <v>#REF!</v>
      </c>
      <c r="HD133" s="6" t="e">
        <f t="shared" ref="HD133" si="652">MIN(MAX(HD132,0),HC131)</f>
        <v>#REF!</v>
      </c>
      <c r="HE133" s="6" t="e">
        <f t="shared" ref="HE133" si="653">MIN(MAX(HE132,0),HD131)</f>
        <v>#REF!</v>
      </c>
      <c r="HF133" s="6" t="e">
        <f t="shared" ref="HF133" si="654">MIN(MAX(HF132,0),HE131)</f>
        <v>#REF!</v>
      </c>
      <c r="HG133" s="6" t="e">
        <f t="shared" ref="HG133" si="655">MIN(MAX(HG132,0),HF131)</f>
        <v>#REF!</v>
      </c>
      <c r="HH133" s="6" t="e">
        <f t="shared" ref="HH133" si="656">MIN(MAX(HH132,0),HG131)</f>
        <v>#REF!</v>
      </c>
      <c r="HI133" s="6" t="e">
        <f t="shared" ref="HI133" si="657">MIN(MAX(HI132,0),HH131)</f>
        <v>#REF!</v>
      </c>
      <c r="HJ133" s="6" t="e">
        <f t="shared" ref="HJ133" si="658">MIN(MAX(HJ132,0),HI131)</f>
        <v>#REF!</v>
      </c>
      <c r="HK133" s="6" t="e">
        <f t="shared" ref="HK133" si="659">MIN(MAX(HK132,0),HJ131)</f>
        <v>#REF!</v>
      </c>
      <c r="HL133" s="6" t="e">
        <f t="shared" ref="HL133" si="660">MIN(MAX(HL132,0),HK131)</f>
        <v>#REF!</v>
      </c>
      <c r="HM133" s="6" t="e">
        <f t="shared" ref="HM133" si="661">MIN(MAX(HM132,0),HL131)</f>
        <v>#REF!</v>
      </c>
      <c r="HN133" s="6" t="e">
        <f t="shared" ref="HN133" si="662">MIN(MAX(HN132,0),HM131)</f>
        <v>#REF!</v>
      </c>
      <c r="HO133" s="6" t="e">
        <f t="shared" ref="HO133" si="663">MIN(MAX(HO132,0),HN131)</f>
        <v>#REF!</v>
      </c>
      <c r="HP133" s="6" t="e">
        <f t="shared" ref="HP133" si="664">MIN(MAX(HP132,0),HO131)</f>
        <v>#REF!</v>
      </c>
      <c r="HQ133" s="6" t="e">
        <f t="shared" ref="HQ133" si="665">MIN(MAX(HQ132,0),HP131)</f>
        <v>#REF!</v>
      </c>
      <c r="HR133" s="6" t="e">
        <f t="shared" ref="HR133" si="666">MIN(MAX(HR132,0),HQ131)</f>
        <v>#REF!</v>
      </c>
      <c r="HS133" s="6" t="e">
        <f t="shared" ref="HS133" si="667">MIN(MAX(HS132,0),HR131)</f>
        <v>#REF!</v>
      </c>
      <c r="HT133" s="6" t="e">
        <f t="shared" ref="HT133" si="668">MIN(MAX(HT132,0),HS131)</f>
        <v>#REF!</v>
      </c>
      <c r="HU133" s="6" t="e">
        <f t="shared" ref="HU133" si="669">MIN(MAX(HU132,0),HT131)</f>
        <v>#REF!</v>
      </c>
      <c r="HV133" s="6" t="e">
        <f t="shared" ref="HV133" si="670">MIN(MAX(HV132,0),HU131)</f>
        <v>#REF!</v>
      </c>
      <c r="HW133" s="6" t="e">
        <f t="shared" ref="HW133" si="671">MIN(MAX(HW132,0),HV131)</f>
        <v>#REF!</v>
      </c>
      <c r="HX133" s="6" t="e">
        <f t="shared" ref="HX133" si="672">MIN(MAX(HX132,0),HW131)</f>
        <v>#REF!</v>
      </c>
      <c r="HY133" s="6" t="e">
        <f t="shared" ref="HY133" si="673">MIN(MAX(HY132,0),HX131)</f>
        <v>#REF!</v>
      </c>
      <c r="HZ133" s="6" t="e">
        <f t="shared" ref="HZ133" si="674">MIN(MAX(HZ132,0),HY131)</f>
        <v>#REF!</v>
      </c>
      <c r="IA133" s="6" t="e">
        <f t="shared" ref="IA133" si="675">MIN(MAX(IA132,0),HZ131)</f>
        <v>#REF!</v>
      </c>
      <c r="IB133" s="6" t="e">
        <f t="shared" ref="IB133" si="676">MIN(MAX(IB132,0),IA131)</f>
        <v>#REF!</v>
      </c>
      <c r="IC133" s="6" t="e">
        <f t="shared" ref="IC133" si="677">MIN(MAX(IC132,0),IB131)</f>
        <v>#REF!</v>
      </c>
      <c r="ID133" s="6" t="e">
        <f t="shared" ref="ID133" si="678">MIN(MAX(ID132,0),IC131)</f>
        <v>#REF!</v>
      </c>
      <c r="IE133" s="6" t="e">
        <f t="shared" ref="IE133" si="679">MIN(MAX(IE132,0),ID131)</f>
        <v>#REF!</v>
      </c>
      <c r="IF133" s="6" t="e">
        <f t="shared" ref="IF133" si="680">MIN(MAX(IF132,0),IE131)</f>
        <v>#REF!</v>
      </c>
      <c r="IG133" s="6" t="e">
        <f t="shared" ref="IG133" si="681">MIN(MAX(IG132,0),IF131)</f>
        <v>#REF!</v>
      </c>
      <c r="IH133" s="6" t="e">
        <f t="shared" ref="IH133" si="682">MIN(MAX(IH132,0),IG131)</f>
        <v>#REF!</v>
      </c>
      <c r="II133" s="6" t="e">
        <f t="shared" ref="II133" si="683">MIN(MAX(II132,0),IH131)</f>
        <v>#REF!</v>
      </c>
      <c r="IJ133" s="6" t="e">
        <f t="shared" ref="IJ133" si="684">MIN(MAX(IJ132,0),II131)</f>
        <v>#REF!</v>
      </c>
      <c r="IK133" s="6" t="e">
        <f t="shared" ref="IK133" si="685">MIN(MAX(IK132,0),IJ131)</f>
        <v>#REF!</v>
      </c>
      <c r="IL133" s="6" t="e">
        <f t="shared" ref="IL133" si="686">MIN(MAX(IL132,0),IK131)</f>
        <v>#REF!</v>
      </c>
      <c r="IM133" s="6" t="e">
        <f t="shared" ref="IM133" si="687">MIN(MAX(IM132,0),IL131)</f>
        <v>#REF!</v>
      </c>
      <c r="IN133" s="6" t="e">
        <f t="shared" ref="IN133" si="688">MIN(MAX(IN132,0),IM131)</f>
        <v>#REF!</v>
      </c>
      <c r="IO133" s="6" t="e">
        <f t="shared" ref="IO133" si="689">MIN(MAX(IO132,0),IN131)</f>
        <v>#REF!</v>
      </c>
      <c r="IP133" s="6" t="e">
        <f t="shared" ref="IP133" si="690">MIN(MAX(IP132,0),IO131)</f>
        <v>#REF!</v>
      </c>
      <c r="IQ133" s="6" t="e">
        <f t="shared" ref="IQ133" si="691">MIN(MAX(IQ132,0),IP131)</f>
        <v>#REF!</v>
      </c>
      <c r="IR133" s="6" t="e">
        <f t="shared" ref="IR133" si="692">MIN(MAX(IR132,0),IQ131)</f>
        <v>#REF!</v>
      </c>
      <c r="IS133" s="6" t="e">
        <f t="shared" ref="IS133" si="693">MIN(MAX(IS132,0),IR131)</f>
        <v>#REF!</v>
      </c>
      <c r="IT133" s="6" t="e">
        <f t="shared" ref="IT133" si="694">MIN(MAX(IT132,0),IS131)</f>
        <v>#REF!</v>
      </c>
      <c r="IU133" s="6" t="e">
        <f t="shared" ref="IU133" si="695">MIN(MAX(IU132,0),IT131)</f>
        <v>#REF!</v>
      </c>
      <c r="IV133" s="6" t="e">
        <f t="shared" ref="IV133" si="696">MIN(MAX(IV132,0),IU131)</f>
        <v>#REF!</v>
      </c>
      <c r="IW133" s="6" t="e">
        <f t="shared" ref="IW133" si="697">MIN(MAX(IW132,0),IV131)</f>
        <v>#REF!</v>
      </c>
      <c r="IX133" s="6" t="e">
        <f t="shared" ref="IX133" si="698">MIN(MAX(IX132,0),IW131)</f>
        <v>#REF!</v>
      </c>
      <c r="IY133" s="6" t="e">
        <f t="shared" ref="IY133" si="699">MIN(MAX(IY132,0),IX131)</f>
        <v>#REF!</v>
      </c>
      <c r="IZ133" s="6" t="e">
        <f t="shared" ref="IZ133" si="700">MIN(MAX(IZ132,0),IY131)</f>
        <v>#REF!</v>
      </c>
      <c r="JA133" s="6" t="e">
        <f t="shared" ref="JA133" si="701">MIN(MAX(JA132,0),IZ131)</f>
        <v>#REF!</v>
      </c>
      <c r="JB133" s="6" t="e">
        <f t="shared" ref="JB133" si="702">MIN(MAX(JB132,0),JA131)</f>
        <v>#REF!</v>
      </c>
      <c r="JC133" s="6" t="e">
        <f t="shared" ref="JC133" si="703">MIN(MAX(JC132,0),JB131)</f>
        <v>#REF!</v>
      </c>
      <c r="JD133" s="6" t="e">
        <f t="shared" ref="JD133" si="704">MIN(MAX(JD132,0),JC131)</f>
        <v>#REF!</v>
      </c>
      <c r="JE133" s="6" t="e">
        <f t="shared" ref="JE133" si="705">MIN(MAX(JE132,0),JD131)</f>
        <v>#REF!</v>
      </c>
      <c r="JF133" s="6" t="e">
        <f t="shared" ref="JF133" si="706">MIN(MAX(JF132,0),JE131)</f>
        <v>#REF!</v>
      </c>
      <c r="JG133" s="6" t="e">
        <f t="shared" ref="JG133" si="707">MIN(MAX(JG132,0),JF131)</f>
        <v>#REF!</v>
      </c>
      <c r="JH133" s="6" t="e">
        <f t="shared" ref="JH133" si="708">MIN(MAX(JH132,0),JG131)</f>
        <v>#REF!</v>
      </c>
      <c r="JI133" s="6" t="e">
        <f t="shared" ref="JI133" si="709">MIN(MAX(JI132,0),JH131)</f>
        <v>#REF!</v>
      </c>
      <c r="JJ133" s="6" t="e">
        <f t="shared" ref="JJ133" si="710">MIN(MAX(JJ132,0),JI131)</f>
        <v>#REF!</v>
      </c>
      <c r="JK133" s="6" t="e">
        <f t="shared" ref="JK133" si="711">MIN(MAX(JK132,0),JJ131)</f>
        <v>#REF!</v>
      </c>
      <c r="JL133" s="6" t="e">
        <f t="shared" ref="JL133" si="712">MIN(MAX(JL132,0),JK131)</f>
        <v>#REF!</v>
      </c>
      <c r="JM133" s="6" t="e">
        <f t="shared" ref="JM133" si="713">MIN(MAX(JM132,0),JL131)</f>
        <v>#REF!</v>
      </c>
      <c r="JN133" s="6" t="e">
        <f t="shared" ref="JN133" si="714">MIN(MAX(JN132,0),JM131)</f>
        <v>#REF!</v>
      </c>
      <c r="JO133" s="6" t="e">
        <f t="shared" ref="JO133" si="715">MIN(MAX(JO132,0),JN131)</f>
        <v>#REF!</v>
      </c>
      <c r="JP133" s="6" t="e">
        <f t="shared" ref="JP133" si="716">MIN(MAX(JP132,0),JO131)</f>
        <v>#REF!</v>
      </c>
      <c r="JQ133" s="6" t="e">
        <f t="shared" ref="JQ133" si="717">MIN(MAX(JQ132,0),JP131)</f>
        <v>#REF!</v>
      </c>
      <c r="JR133" s="6" t="e">
        <f t="shared" ref="JR133" si="718">MIN(MAX(JR132,0),JQ131)</f>
        <v>#REF!</v>
      </c>
      <c r="JS133" s="6" t="e">
        <f t="shared" ref="JS133" si="719">MIN(MAX(JS132,0),JR131)</f>
        <v>#REF!</v>
      </c>
      <c r="JT133" s="6" t="e">
        <f t="shared" ref="JT133" si="720">MIN(MAX(JT132,0),JS131)</f>
        <v>#REF!</v>
      </c>
      <c r="JU133" s="6" t="e">
        <f t="shared" ref="JU133" si="721">MIN(MAX(JU132,0),JT131)</f>
        <v>#REF!</v>
      </c>
      <c r="JV133" s="6" t="e">
        <f t="shared" ref="JV133" si="722">MIN(MAX(JV132,0),JU131)</f>
        <v>#REF!</v>
      </c>
      <c r="JW133" s="6" t="e">
        <f t="shared" ref="JW133" si="723">MIN(MAX(JW132,0),JV131)</f>
        <v>#REF!</v>
      </c>
      <c r="JX133" s="6" t="e">
        <f t="shared" ref="JX133" si="724">MIN(MAX(JX132,0),JW131)</f>
        <v>#REF!</v>
      </c>
      <c r="JY133" s="6" t="e">
        <f t="shared" ref="JY133" si="725">MIN(MAX(JY132,0),JX131)</f>
        <v>#REF!</v>
      </c>
      <c r="JZ133" s="6" t="e">
        <f t="shared" ref="JZ133" si="726">MIN(MAX(JZ132,0),JY131)</f>
        <v>#REF!</v>
      </c>
      <c r="KA133" s="6" t="e">
        <f t="shared" ref="KA133" si="727">MIN(MAX(KA132,0),JZ131)</f>
        <v>#REF!</v>
      </c>
      <c r="KB133" s="6" t="e">
        <f t="shared" ref="KB133" si="728">MIN(MAX(KB132,0),KA131)</f>
        <v>#REF!</v>
      </c>
      <c r="KC133" s="6" t="e">
        <f t="shared" ref="KC133" si="729">MIN(MAX(KC132,0),KB131)</f>
        <v>#REF!</v>
      </c>
      <c r="KD133" s="6" t="e">
        <f t="shared" ref="KD133" si="730">MIN(MAX(KD132,0),KC131)</f>
        <v>#REF!</v>
      </c>
      <c r="KE133" s="6" t="e">
        <f t="shared" ref="KE133" si="731">MIN(MAX(KE132,0),KD131)</f>
        <v>#REF!</v>
      </c>
      <c r="KF133" s="6" t="e">
        <f t="shared" ref="KF133" si="732">MIN(MAX(KF132,0),KE131)</f>
        <v>#REF!</v>
      </c>
      <c r="KG133" s="6" t="e">
        <f t="shared" ref="KG133" si="733">MIN(MAX(KG132,0),KF131)</f>
        <v>#REF!</v>
      </c>
      <c r="KH133" s="6" t="e">
        <f t="shared" ref="KH133" si="734">MIN(MAX(KH132,0),KG131)</f>
        <v>#REF!</v>
      </c>
      <c r="KI133" s="6" t="e">
        <f t="shared" ref="KI133" si="735">MIN(MAX(KI132,0),KH131)</f>
        <v>#REF!</v>
      </c>
      <c r="KJ133" s="6" t="e">
        <f t="shared" ref="KJ133" si="736">MIN(MAX(KJ132,0),KI131)</f>
        <v>#REF!</v>
      </c>
      <c r="KK133" s="6" t="e">
        <f t="shared" ref="KK133" si="737">MIN(MAX(KK132,0),KJ131)</f>
        <v>#REF!</v>
      </c>
      <c r="KL133" s="6" t="e">
        <f t="shared" ref="KL133" si="738">MIN(MAX(KL132,0),KK131)</f>
        <v>#REF!</v>
      </c>
      <c r="KM133" s="6" t="e">
        <f t="shared" ref="KM133" si="739">MIN(MAX(KM132,0),KL131)</f>
        <v>#REF!</v>
      </c>
      <c r="KN133" s="6" t="e">
        <f t="shared" ref="KN133" si="740">MIN(MAX(KN132,0),KM131)</f>
        <v>#REF!</v>
      </c>
      <c r="KO133" s="6" t="e">
        <f t="shared" ref="KO133" si="741">MIN(MAX(KO132,0),KN131)</f>
        <v>#REF!</v>
      </c>
      <c r="KP133" s="6" t="e">
        <f t="shared" ref="KP133" si="742">MIN(MAX(KP132,0),KO131)</f>
        <v>#REF!</v>
      </c>
      <c r="KQ133" s="6" t="e">
        <f t="shared" ref="KQ133" si="743">MIN(MAX(KQ132,0),KP131)</f>
        <v>#REF!</v>
      </c>
      <c r="KR133" s="6" t="e">
        <f t="shared" ref="KR133" si="744">MIN(MAX(KR132,0),KQ131)</f>
        <v>#REF!</v>
      </c>
      <c r="KS133" s="6" t="e">
        <f t="shared" ref="KS133" si="745">MIN(MAX(KS132,0),KR131)</f>
        <v>#REF!</v>
      </c>
    </row>
    <row r="134" spans="2:305" outlineLevel="1"/>
    <row r="135" spans="2:305" outlineLevel="1">
      <c r="B135" t="s">
        <v>15</v>
      </c>
      <c r="E135" s="6" t="e">
        <f>#REF!+#REF!</f>
        <v>#REF!</v>
      </c>
      <c r="F135" s="6" t="e">
        <f>#REF!+#REF!</f>
        <v>#REF!</v>
      </c>
      <c r="G135" s="6" t="e">
        <f>#REF!+#REF!</f>
        <v>#REF!</v>
      </c>
      <c r="H135" s="6" t="e">
        <f>#REF!+#REF!</f>
        <v>#REF!</v>
      </c>
      <c r="I135" s="6" t="e">
        <f>#REF!+#REF!</f>
        <v>#REF!</v>
      </c>
      <c r="J135" s="6" t="e">
        <f>#REF!+#REF!</f>
        <v>#REF!</v>
      </c>
      <c r="K135" s="6" t="e">
        <f>#REF!+#REF!</f>
        <v>#REF!</v>
      </c>
      <c r="L135" s="6" t="e">
        <f>#REF!+#REF!</f>
        <v>#REF!</v>
      </c>
      <c r="M135" s="6" t="e">
        <f>#REF!+#REF!</f>
        <v>#REF!</v>
      </c>
      <c r="N135" s="6" t="e">
        <f>#REF!+#REF!</f>
        <v>#REF!</v>
      </c>
      <c r="O135" s="6" t="e">
        <f>#REF!+#REF!</f>
        <v>#REF!</v>
      </c>
      <c r="P135" s="6" t="e">
        <f>#REF!+#REF!</f>
        <v>#REF!</v>
      </c>
      <c r="Q135" s="6" t="e">
        <f>#REF!+#REF!</f>
        <v>#REF!</v>
      </c>
      <c r="R135" s="6" t="e">
        <f>#REF!+#REF!</f>
        <v>#REF!</v>
      </c>
      <c r="S135" s="6" t="e">
        <f>#REF!+#REF!</f>
        <v>#REF!</v>
      </c>
      <c r="T135" s="6" t="e">
        <f>#REF!+#REF!</f>
        <v>#REF!</v>
      </c>
      <c r="U135" s="6" t="e">
        <f>#REF!+#REF!</f>
        <v>#REF!</v>
      </c>
      <c r="V135" s="6" t="e">
        <f>#REF!+#REF!</f>
        <v>#REF!</v>
      </c>
      <c r="W135" s="6" t="e">
        <f>#REF!+#REF!</f>
        <v>#REF!</v>
      </c>
      <c r="X135" s="6" t="e">
        <f>#REF!+#REF!</f>
        <v>#REF!</v>
      </c>
      <c r="Y135" s="6" t="e">
        <f>#REF!+#REF!</f>
        <v>#REF!</v>
      </c>
      <c r="Z135" s="6" t="e">
        <f>#REF!+#REF!</f>
        <v>#REF!</v>
      </c>
      <c r="AA135" s="6" t="e">
        <f>#REF!+#REF!</f>
        <v>#REF!</v>
      </c>
      <c r="AB135" s="6" t="e">
        <f>#REF!+#REF!</f>
        <v>#REF!</v>
      </c>
      <c r="AC135" s="6" t="e">
        <f>#REF!+#REF!</f>
        <v>#REF!</v>
      </c>
      <c r="AD135" s="6" t="e">
        <f>#REF!+#REF!</f>
        <v>#REF!</v>
      </c>
      <c r="AE135" s="6" t="e">
        <f>#REF!+#REF!</f>
        <v>#REF!</v>
      </c>
      <c r="AF135" s="6" t="e">
        <f>#REF!+#REF!</f>
        <v>#REF!</v>
      </c>
      <c r="AG135" s="6" t="e">
        <f>#REF!+#REF!</f>
        <v>#REF!</v>
      </c>
      <c r="AH135" s="6" t="e">
        <f>#REF!+#REF!</f>
        <v>#REF!</v>
      </c>
      <c r="AI135" s="6" t="e">
        <f>#REF!+#REF!</f>
        <v>#REF!</v>
      </c>
      <c r="AJ135" s="6" t="e">
        <f>#REF!+#REF!</f>
        <v>#REF!</v>
      </c>
      <c r="AK135" s="6" t="e">
        <f>#REF!+#REF!</f>
        <v>#REF!</v>
      </c>
      <c r="AL135" s="6" t="e">
        <f>#REF!+#REF!</f>
        <v>#REF!</v>
      </c>
      <c r="AM135" s="6" t="e">
        <f>#REF!+#REF!</f>
        <v>#REF!</v>
      </c>
      <c r="AN135" s="6" t="e">
        <f>#REF!+#REF!</f>
        <v>#REF!</v>
      </c>
      <c r="AO135" s="6" t="e">
        <f>#REF!+#REF!</f>
        <v>#REF!</v>
      </c>
      <c r="AP135" s="6" t="e">
        <f>#REF!+#REF!</f>
        <v>#REF!</v>
      </c>
      <c r="AQ135" s="6" t="e">
        <f>#REF!+#REF!</f>
        <v>#REF!</v>
      </c>
      <c r="AR135" s="6" t="e">
        <f>#REF!+#REF!</f>
        <v>#REF!</v>
      </c>
      <c r="AS135" s="6" t="e">
        <f>#REF!+#REF!</f>
        <v>#REF!</v>
      </c>
      <c r="AT135" s="6" t="e">
        <f>#REF!+#REF!</f>
        <v>#REF!</v>
      </c>
      <c r="AU135" s="6" t="e">
        <f>#REF!+#REF!</f>
        <v>#REF!</v>
      </c>
      <c r="AV135" s="6" t="e">
        <f>#REF!+#REF!</f>
        <v>#REF!</v>
      </c>
      <c r="AW135" s="6" t="e">
        <f>#REF!+#REF!</f>
        <v>#REF!</v>
      </c>
      <c r="AX135" s="6" t="e">
        <f>#REF!+#REF!</f>
        <v>#REF!</v>
      </c>
      <c r="AY135" s="6" t="e">
        <f>#REF!+#REF!</f>
        <v>#REF!</v>
      </c>
      <c r="AZ135" s="6" t="e">
        <f>#REF!+#REF!</f>
        <v>#REF!</v>
      </c>
      <c r="BA135" s="6" t="e">
        <f>#REF!+#REF!</f>
        <v>#REF!</v>
      </c>
      <c r="BB135" s="6" t="e">
        <f>#REF!+#REF!</f>
        <v>#REF!</v>
      </c>
      <c r="BC135" s="6" t="e">
        <f>#REF!+#REF!</f>
        <v>#REF!</v>
      </c>
      <c r="BD135" s="6" t="e">
        <f>#REF!+#REF!</f>
        <v>#REF!</v>
      </c>
      <c r="BE135" s="6" t="e">
        <f>#REF!+#REF!</f>
        <v>#REF!</v>
      </c>
      <c r="BF135" s="6" t="e">
        <f>#REF!+#REF!</f>
        <v>#REF!</v>
      </c>
      <c r="BG135" s="6" t="e">
        <f>#REF!+#REF!</f>
        <v>#REF!</v>
      </c>
      <c r="BH135" s="6" t="e">
        <f>#REF!+#REF!</f>
        <v>#REF!</v>
      </c>
      <c r="BI135" s="6" t="e">
        <f>#REF!+#REF!</f>
        <v>#REF!</v>
      </c>
      <c r="BJ135" s="6" t="e">
        <f>#REF!+#REF!</f>
        <v>#REF!</v>
      </c>
      <c r="BK135" s="6" t="e">
        <f>#REF!+#REF!</f>
        <v>#REF!</v>
      </c>
      <c r="BL135" s="6" t="e">
        <f>#REF!+#REF!</f>
        <v>#REF!</v>
      </c>
      <c r="BM135" s="6" t="e">
        <f>#REF!+#REF!</f>
        <v>#REF!</v>
      </c>
      <c r="BN135" s="6" t="e">
        <f>#REF!+#REF!</f>
        <v>#REF!</v>
      </c>
      <c r="BO135" s="6" t="e">
        <f>#REF!+#REF!</f>
        <v>#REF!</v>
      </c>
      <c r="BP135" s="6" t="e">
        <f>#REF!+#REF!</f>
        <v>#REF!</v>
      </c>
      <c r="BQ135" s="6" t="e">
        <f>#REF!+#REF!</f>
        <v>#REF!</v>
      </c>
      <c r="BR135" s="6" t="e">
        <f>#REF!+#REF!</f>
        <v>#REF!</v>
      </c>
      <c r="BS135" s="6" t="e">
        <f>#REF!+#REF!</f>
        <v>#REF!</v>
      </c>
      <c r="BT135" s="6" t="e">
        <f>#REF!+#REF!</f>
        <v>#REF!</v>
      </c>
      <c r="BU135" s="6" t="e">
        <f>#REF!+#REF!</f>
        <v>#REF!</v>
      </c>
      <c r="BV135" s="6" t="e">
        <f>#REF!+#REF!</f>
        <v>#REF!</v>
      </c>
      <c r="BW135" s="6" t="e">
        <f>#REF!+#REF!</f>
        <v>#REF!</v>
      </c>
      <c r="BX135" s="6" t="e">
        <f>#REF!+#REF!</f>
        <v>#REF!</v>
      </c>
      <c r="BY135" s="6" t="e">
        <f>#REF!+#REF!</f>
        <v>#REF!</v>
      </c>
      <c r="BZ135" s="6" t="e">
        <f>#REF!+#REF!</f>
        <v>#REF!</v>
      </c>
      <c r="CA135" s="6" t="e">
        <f>#REF!+#REF!</f>
        <v>#REF!</v>
      </c>
      <c r="CB135" s="6" t="e">
        <f>#REF!+#REF!</f>
        <v>#REF!</v>
      </c>
      <c r="CC135" s="6" t="e">
        <f>#REF!+#REF!</f>
        <v>#REF!</v>
      </c>
      <c r="CD135" s="6" t="e">
        <f>#REF!+#REF!</f>
        <v>#REF!</v>
      </c>
      <c r="CE135" s="6" t="e">
        <f>#REF!+#REF!</f>
        <v>#REF!</v>
      </c>
      <c r="CF135" s="6" t="e">
        <f>#REF!+#REF!</f>
        <v>#REF!</v>
      </c>
      <c r="CG135" s="6" t="e">
        <f>#REF!+#REF!</f>
        <v>#REF!</v>
      </c>
      <c r="CH135" s="6" t="e">
        <f>#REF!+#REF!</f>
        <v>#REF!</v>
      </c>
      <c r="CI135" s="6" t="e">
        <f>#REF!+#REF!</f>
        <v>#REF!</v>
      </c>
      <c r="CJ135" s="6" t="e">
        <f>#REF!+#REF!</f>
        <v>#REF!</v>
      </c>
      <c r="CK135" s="6" t="e">
        <f>#REF!+#REF!</f>
        <v>#REF!</v>
      </c>
      <c r="CL135" s="6" t="e">
        <f>#REF!+#REF!</f>
        <v>#REF!</v>
      </c>
      <c r="CM135" s="6" t="e">
        <f>#REF!+#REF!</f>
        <v>#REF!</v>
      </c>
      <c r="CN135" s="6" t="e">
        <f>#REF!+#REF!</f>
        <v>#REF!</v>
      </c>
      <c r="CO135" s="6" t="e">
        <f>#REF!+#REF!</f>
        <v>#REF!</v>
      </c>
      <c r="CP135" s="6" t="e">
        <f>#REF!+#REF!</f>
        <v>#REF!</v>
      </c>
      <c r="CQ135" s="6" t="e">
        <f>#REF!+#REF!</f>
        <v>#REF!</v>
      </c>
      <c r="CR135" s="6" t="e">
        <f>#REF!+#REF!</f>
        <v>#REF!</v>
      </c>
      <c r="CS135" s="6" t="e">
        <f>#REF!+#REF!</f>
        <v>#REF!</v>
      </c>
      <c r="CT135" s="6" t="e">
        <f>#REF!+#REF!</f>
        <v>#REF!</v>
      </c>
      <c r="CU135" s="6" t="e">
        <f>#REF!+#REF!</f>
        <v>#REF!</v>
      </c>
      <c r="CV135" s="6" t="e">
        <f>#REF!+#REF!</f>
        <v>#REF!</v>
      </c>
      <c r="CW135" s="6" t="e">
        <f>#REF!+#REF!</f>
        <v>#REF!</v>
      </c>
      <c r="CX135" s="6" t="e">
        <f>#REF!+#REF!</f>
        <v>#REF!</v>
      </c>
      <c r="CY135" s="6" t="e">
        <f>#REF!+#REF!</f>
        <v>#REF!</v>
      </c>
      <c r="CZ135" s="6" t="e">
        <f>#REF!+#REF!</f>
        <v>#REF!</v>
      </c>
      <c r="DA135" s="6" t="e">
        <f>#REF!+#REF!</f>
        <v>#REF!</v>
      </c>
      <c r="DB135" s="6" t="e">
        <f>#REF!+#REF!</f>
        <v>#REF!</v>
      </c>
      <c r="DC135" s="6" t="e">
        <f>#REF!+#REF!</f>
        <v>#REF!</v>
      </c>
      <c r="DD135" s="6" t="e">
        <f>#REF!+#REF!</f>
        <v>#REF!</v>
      </c>
      <c r="DE135" s="6" t="e">
        <f>#REF!+#REF!</f>
        <v>#REF!</v>
      </c>
      <c r="DF135" s="6" t="e">
        <f>#REF!+#REF!</f>
        <v>#REF!</v>
      </c>
      <c r="DG135" s="6" t="e">
        <f>#REF!+#REF!</f>
        <v>#REF!</v>
      </c>
      <c r="DH135" s="6" t="e">
        <f>#REF!+#REF!</f>
        <v>#REF!</v>
      </c>
      <c r="DI135" s="6" t="e">
        <f>#REF!+#REF!</f>
        <v>#REF!</v>
      </c>
      <c r="DJ135" s="6" t="e">
        <f>#REF!+#REF!</f>
        <v>#REF!</v>
      </c>
      <c r="DK135" s="6" t="e">
        <f>#REF!+#REF!</f>
        <v>#REF!</v>
      </c>
      <c r="DL135" s="6" t="e">
        <f>#REF!+#REF!</f>
        <v>#REF!</v>
      </c>
      <c r="DM135" s="6" t="e">
        <f>#REF!+#REF!</f>
        <v>#REF!</v>
      </c>
      <c r="DN135" s="6" t="e">
        <f>#REF!+#REF!</f>
        <v>#REF!</v>
      </c>
      <c r="DO135" s="6" t="e">
        <f>#REF!+#REF!</f>
        <v>#REF!</v>
      </c>
      <c r="DP135" s="6" t="e">
        <f>#REF!+#REF!</f>
        <v>#REF!</v>
      </c>
      <c r="DQ135" s="6" t="e">
        <f>#REF!+#REF!</f>
        <v>#REF!</v>
      </c>
      <c r="DR135" s="6" t="e">
        <f>#REF!+#REF!</f>
        <v>#REF!</v>
      </c>
      <c r="DS135" s="6" t="e">
        <f>#REF!+#REF!</f>
        <v>#REF!</v>
      </c>
      <c r="DT135" s="6" t="e">
        <f>#REF!+#REF!</f>
        <v>#REF!</v>
      </c>
      <c r="DU135" s="6" t="e">
        <f>#REF!+#REF!</f>
        <v>#REF!</v>
      </c>
      <c r="DV135" s="6" t="e">
        <f>#REF!+#REF!</f>
        <v>#REF!</v>
      </c>
      <c r="DW135" s="6" t="e">
        <f>#REF!+#REF!</f>
        <v>#REF!</v>
      </c>
      <c r="DX135" s="6" t="e">
        <f>#REF!+#REF!</f>
        <v>#REF!</v>
      </c>
      <c r="DY135" s="6" t="e">
        <f>#REF!+#REF!</f>
        <v>#REF!</v>
      </c>
      <c r="DZ135" s="6" t="e">
        <f>#REF!+#REF!</f>
        <v>#REF!</v>
      </c>
      <c r="EA135" s="6" t="e">
        <f>#REF!+#REF!</f>
        <v>#REF!</v>
      </c>
      <c r="EB135" s="6" t="e">
        <f>#REF!+#REF!</f>
        <v>#REF!</v>
      </c>
      <c r="EC135" s="6" t="e">
        <f>#REF!+#REF!</f>
        <v>#REF!</v>
      </c>
      <c r="ED135" s="6" t="e">
        <f>#REF!+#REF!</f>
        <v>#REF!</v>
      </c>
      <c r="EE135" s="6" t="e">
        <f>#REF!+#REF!</f>
        <v>#REF!</v>
      </c>
      <c r="EF135" s="6" t="e">
        <f>#REF!+#REF!</f>
        <v>#REF!</v>
      </c>
      <c r="EG135" s="6" t="e">
        <f>#REF!+#REF!</f>
        <v>#REF!</v>
      </c>
      <c r="EH135" s="6" t="e">
        <f>#REF!+#REF!</f>
        <v>#REF!</v>
      </c>
      <c r="EI135" s="6" t="e">
        <f>#REF!+#REF!</f>
        <v>#REF!</v>
      </c>
      <c r="EJ135" s="6" t="e">
        <f>#REF!+#REF!</f>
        <v>#REF!</v>
      </c>
      <c r="EK135" s="6" t="e">
        <f>#REF!+#REF!</f>
        <v>#REF!</v>
      </c>
      <c r="EL135" s="6" t="e">
        <f>#REF!+#REF!</f>
        <v>#REF!</v>
      </c>
      <c r="EM135" s="6" t="e">
        <f>#REF!+#REF!</f>
        <v>#REF!</v>
      </c>
      <c r="EN135" s="6" t="e">
        <f>#REF!+#REF!</f>
        <v>#REF!</v>
      </c>
      <c r="EO135" s="6" t="e">
        <f>#REF!+#REF!</f>
        <v>#REF!</v>
      </c>
      <c r="EP135" s="6" t="e">
        <f>#REF!+#REF!</f>
        <v>#REF!</v>
      </c>
      <c r="EQ135" s="6" t="e">
        <f>#REF!+#REF!</f>
        <v>#REF!</v>
      </c>
      <c r="ER135" s="6" t="e">
        <f>#REF!+#REF!</f>
        <v>#REF!</v>
      </c>
      <c r="ES135" s="6" t="e">
        <f>#REF!+#REF!</f>
        <v>#REF!</v>
      </c>
      <c r="ET135" s="6" t="e">
        <f>#REF!+#REF!</f>
        <v>#REF!</v>
      </c>
      <c r="EU135" s="6" t="e">
        <f>#REF!+#REF!</f>
        <v>#REF!</v>
      </c>
      <c r="EV135" s="6" t="e">
        <f>#REF!+#REF!</f>
        <v>#REF!</v>
      </c>
      <c r="EW135" s="6" t="e">
        <f>#REF!+#REF!</f>
        <v>#REF!</v>
      </c>
      <c r="EX135" s="6" t="e">
        <f>#REF!+#REF!</f>
        <v>#REF!</v>
      </c>
      <c r="EY135" s="6" t="e">
        <f>#REF!+#REF!</f>
        <v>#REF!</v>
      </c>
      <c r="EZ135" s="6" t="e">
        <f>#REF!+#REF!</f>
        <v>#REF!</v>
      </c>
      <c r="FA135" s="6" t="e">
        <f>#REF!+#REF!</f>
        <v>#REF!</v>
      </c>
      <c r="FB135" s="6" t="e">
        <f>#REF!+#REF!</f>
        <v>#REF!</v>
      </c>
      <c r="FC135" s="6" t="e">
        <f>#REF!+#REF!</f>
        <v>#REF!</v>
      </c>
      <c r="FD135" s="6" t="e">
        <f>#REF!+#REF!</f>
        <v>#REF!</v>
      </c>
      <c r="FE135" s="6" t="e">
        <f>#REF!+#REF!</f>
        <v>#REF!</v>
      </c>
      <c r="FF135" s="6" t="e">
        <f>#REF!+#REF!</f>
        <v>#REF!</v>
      </c>
      <c r="FG135" s="6" t="e">
        <f>#REF!+#REF!</f>
        <v>#REF!</v>
      </c>
      <c r="FH135" s="6" t="e">
        <f>#REF!+#REF!</f>
        <v>#REF!</v>
      </c>
      <c r="FI135" s="6" t="e">
        <f>#REF!+#REF!</f>
        <v>#REF!</v>
      </c>
      <c r="FJ135" s="6" t="e">
        <f>#REF!+#REF!</f>
        <v>#REF!</v>
      </c>
      <c r="FK135" s="6" t="e">
        <f>#REF!+#REF!</f>
        <v>#REF!</v>
      </c>
      <c r="FL135" s="6" t="e">
        <f>#REF!+#REF!</f>
        <v>#REF!</v>
      </c>
      <c r="FM135" s="6" t="e">
        <f>#REF!+#REF!</f>
        <v>#REF!</v>
      </c>
      <c r="FN135" s="6" t="e">
        <f>#REF!+#REF!</f>
        <v>#REF!</v>
      </c>
      <c r="FO135" s="6" t="e">
        <f>#REF!+#REF!</f>
        <v>#REF!</v>
      </c>
      <c r="FP135" s="6" t="e">
        <f>#REF!+#REF!</f>
        <v>#REF!</v>
      </c>
      <c r="FQ135" s="6" t="e">
        <f>#REF!+#REF!</f>
        <v>#REF!</v>
      </c>
      <c r="FR135" s="6" t="e">
        <f>#REF!+#REF!</f>
        <v>#REF!</v>
      </c>
      <c r="FS135" s="6" t="e">
        <f>#REF!+#REF!</f>
        <v>#REF!</v>
      </c>
      <c r="FT135" s="6" t="e">
        <f>#REF!+#REF!</f>
        <v>#REF!</v>
      </c>
      <c r="FU135" s="6" t="e">
        <f>#REF!+#REF!</f>
        <v>#REF!</v>
      </c>
      <c r="FV135" s="6" t="e">
        <f>#REF!+#REF!</f>
        <v>#REF!</v>
      </c>
      <c r="FW135" s="6" t="e">
        <f>#REF!+#REF!</f>
        <v>#REF!</v>
      </c>
      <c r="FX135" s="6" t="e">
        <f>#REF!+#REF!</f>
        <v>#REF!</v>
      </c>
      <c r="FY135" s="6" t="e">
        <f>#REF!+#REF!</f>
        <v>#REF!</v>
      </c>
      <c r="FZ135" s="6" t="e">
        <f>#REF!+#REF!</f>
        <v>#REF!</v>
      </c>
      <c r="GA135" s="6" t="e">
        <f>#REF!+#REF!</f>
        <v>#REF!</v>
      </c>
      <c r="GB135" s="6" t="e">
        <f>#REF!+#REF!</f>
        <v>#REF!</v>
      </c>
      <c r="GC135" s="6" t="e">
        <f>#REF!+#REF!</f>
        <v>#REF!</v>
      </c>
      <c r="GD135" s="6" t="e">
        <f>#REF!+#REF!</f>
        <v>#REF!</v>
      </c>
      <c r="GE135" s="6" t="e">
        <f>#REF!+#REF!</f>
        <v>#REF!</v>
      </c>
      <c r="GF135" s="6" t="e">
        <f>#REF!+#REF!</f>
        <v>#REF!</v>
      </c>
      <c r="GG135" s="6" t="e">
        <f>#REF!+#REF!</f>
        <v>#REF!</v>
      </c>
      <c r="GH135" s="6" t="e">
        <f>#REF!+#REF!</f>
        <v>#REF!</v>
      </c>
      <c r="GI135" s="6" t="e">
        <f>#REF!+#REF!</f>
        <v>#REF!</v>
      </c>
      <c r="GJ135" s="6" t="e">
        <f>#REF!+#REF!</f>
        <v>#REF!</v>
      </c>
      <c r="GK135" s="6" t="e">
        <f>#REF!+#REF!</f>
        <v>#REF!</v>
      </c>
      <c r="GL135" s="6" t="e">
        <f>#REF!+#REF!</f>
        <v>#REF!</v>
      </c>
      <c r="GM135" s="6" t="e">
        <f>#REF!+#REF!</f>
        <v>#REF!</v>
      </c>
      <c r="GN135" s="6" t="e">
        <f>#REF!+#REF!</f>
        <v>#REF!</v>
      </c>
      <c r="GO135" s="6" t="e">
        <f>#REF!+#REF!</f>
        <v>#REF!</v>
      </c>
      <c r="GP135" s="6" t="e">
        <f>#REF!+#REF!</f>
        <v>#REF!</v>
      </c>
      <c r="GQ135" s="6" t="e">
        <f>#REF!+#REF!</f>
        <v>#REF!</v>
      </c>
      <c r="GR135" s="6" t="e">
        <f>#REF!+#REF!</f>
        <v>#REF!</v>
      </c>
      <c r="GS135" s="6" t="e">
        <f>#REF!+#REF!</f>
        <v>#REF!</v>
      </c>
      <c r="GT135" s="6" t="e">
        <f>#REF!+#REF!</f>
        <v>#REF!</v>
      </c>
      <c r="GU135" s="6" t="e">
        <f>#REF!+#REF!</f>
        <v>#REF!</v>
      </c>
      <c r="GV135" s="6" t="e">
        <f>#REF!+#REF!</f>
        <v>#REF!</v>
      </c>
      <c r="GW135" s="6" t="e">
        <f>#REF!+#REF!</f>
        <v>#REF!</v>
      </c>
      <c r="GX135" s="6" t="e">
        <f>#REF!+#REF!</f>
        <v>#REF!</v>
      </c>
      <c r="GY135" s="6" t="e">
        <f>#REF!+#REF!</f>
        <v>#REF!</v>
      </c>
      <c r="GZ135" s="6" t="e">
        <f>#REF!+#REF!</f>
        <v>#REF!</v>
      </c>
      <c r="HA135" s="6" t="e">
        <f>#REF!+#REF!</f>
        <v>#REF!</v>
      </c>
      <c r="HB135" s="6" t="e">
        <f>#REF!+#REF!</f>
        <v>#REF!</v>
      </c>
      <c r="HC135" s="6" t="e">
        <f>#REF!+#REF!</f>
        <v>#REF!</v>
      </c>
      <c r="HD135" s="6" t="e">
        <f>#REF!+#REF!</f>
        <v>#REF!</v>
      </c>
      <c r="HE135" s="6" t="e">
        <f>#REF!+#REF!</f>
        <v>#REF!</v>
      </c>
      <c r="HF135" s="6" t="e">
        <f>#REF!+#REF!</f>
        <v>#REF!</v>
      </c>
      <c r="HG135" s="6" t="e">
        <f>#REF!+#REF!</f>
        <v>#REF!</v>
      </c>
      <c r="HH135" s="6" t="e">
        <f>#REF!+#REF!</f>
        <v>#REF!</v>
      </c>
      <c r="HI135" s="6" t="e">
        <f>#REF!+#REF!</f>
        <v>#REF!</v>
      </c>
      <c r="HJ135" s="6" t="e">
        <f>#REF!+#REF!</f>
        <v>#REF!</v>
      </c>
      <c r="HK135" s="6" t="e">
        <f>#REF!+#REF!</f>
        <v>#REF!</v>
      </c>
      <c r="HL135" s="6" t="e">
        <f>#REF!+#REF!</f>
        <v>#REF!</v>
      </c>
      <c r="HM135" s="6" t="e">
        <f>#REF!+#REF!</f>
        <v>#REF!</v>
      </c>
      <c r="HN135" s="6" t="e">
        <f>#REF!+#REF!</f>
        <v>#REF!</v>
      </c>
      <c r="HO135" s="6" t="e">
        <f>#REF!+#REF!</f>
        <v>#REF!</v>
      </c>
      <c r="HP135" s="6" t="e">
        <f>#REF!+#REF!</f>
        <v>#REF!</v>
      </c>
      <c r="HQ135" s="6" t="e">
        <f>#REF!+#REF!</f>
        <v>#REF!</v>
      </c>
      <c r="HR135" s="6" t="e">
        <f>#REF!+#REF!</f>
        <v>#REF!</v>
      </c>
      <c r="HS135" s="6" t="e">
        <f>#REF!+#REF!</f>
        <v>#REF!</v>
      </c>
      <c r="HT135" s="6" t="e">
        <f>#REF!+#REF!</f>
        <v>#REF!</v>
      </c>
      <c r="HU135" s="6" t="e">
        <f>#REF!+#REF!</f>
        <v>#REF!</v>
      </c>
      <c r="HV135" s="6" t="e">
        <f>#REF!+#REF!</f>
        <v>#REF!</v>
      </c>
      <c r="HW135" s="6" t="e">
        <f>#REF!+#REF!</f>
        <v>#REF!</v>
      </c>
      <c r="HX135" s="6" t="e">
        <f>#REF!+#REF!</f>
        <v>#REF!</v>
      </c>
      <c r="HY135" s="6" t="e">
        <f>#REF!+#REF!</f>
        <v>#REF!</v>
      </c>
      <c r="HZ135" s="6" t="e">
        <f>#REF!+#REF!</f>
        <v>#REF!</v>
      </c>
      <c r="IA135" s="6" t="e">
        <f>#REF!+#REF!</f>
        <v>#REF!</v>
      </c>
      <c r="IB135" s="6" t="e">
        <f>#REF!+#REF!</f>
        <v>#REF!</v>
      </c>
      <c r="IC135" s="6" t="e">
        <f>#REF!+#REF!</f>
        <v>#REF!</v>
      </c>
      <c r="ID135" s="6" t="e">
        <f>#REF!+#REF!</f>
        <v>#REF!</v>
      </c>
      <c r="IE135" s="6" t="e">
        <f>#REF!+#REF!</f>
        <v>#REF!</v>
      </c>
      <c r="IF135" s="6" t="e">
        <f>#REF!+#REF!</f>
        <v>#REF!</v>
      </c>
      <c r="IG135" s="6" t="e">
        <f>#REF!+#REF!</f>
        <v>#REF!</v>
      </c>
      <c r="IH135" s="6" t="e">
        <f>#REF!+#REF!</f>
        <v>#REF!</v>
      </c>
      <c r="II135" s="6" t="e">
        <f>#REF!+#REF!</f>
        <v>#REF!</v>
      </c>
      <c r="IJ135" s="6" t="e">
        <f>#REF!+#REF!</f>
        <v>#REF!</v>
      </c>
      <c r="IK135" s="6" t="e">
        <f>#REF!+#REF!</f>
        <v>#REF!</v>
      </c>
      <c r="IL135" s="6" t="e">
        <f>#REF!+#REF!</f>
        <v>#REF!</v>
      </c>
      <c r="IM135" s="6" t="e">
        <f>#REF!+#REF!</f>
        <v>#REF!</v>
      </c>
      <c r="IN135" s="6" t="e">
        <f>#REF!+#REF!</f>
        <v>#REF!</v>
      </c>
      <c r="IO135" s="6" t="e">
        <f>#REF!+#REF!</f>
        <v>#REF!</v>
      </c>
      <c r="IP135" s="6" t="e">
        <f>#REF!+#REF!</f>
        <v>#REF!</v>
      </c>
      <c r="IQ135" s="6" t="e">
        <f>#REF!+#REF!</f>
        <v>#REF!</v>
      </c>
      <c r="IR135" s="6" t="e">
        <f>#REF!+#REF!</f>
        <v>#REF!</v>
      </c>
      <c r="IS135" s="6" t="e">
        <f>#REF!+#REF!</f>
        <v>#REF!</v>
      </c>
      <c r="IT135" s="6" t="e">
        <f>#REF!+#REF!</f>
        <v>#REF!</v>
      </c>
      <c r="IU135" s="6" t="e">
        <f>#REF!+#REF!</f>
        <v>#REF!</v>
      </c>
      <c r="IV135" s="6" t="e">
        <f>#REF!+#REF!</f>
        <v>#REF!</v>
      </c>
      <c r="IW135" s="6" t="e">
        <f>#REF!+#REF!</f>
        <v>#REF!</v>
      </c>
      <c r="IX135" s="6" t="e">
        <f>#REF!+#REF!</f>
        <v>#REF!</v>
      </c>
      <c r="IY135" s="6" t="e">
        <f>#REF!+#REF!</f>
        <v>#REF!</v>
      </c>
      <c r="IZ135" s="6" t="e">
        <f>#REF!+#REF!</f>
        <v>#REF!</v>
      </c>
      <c r="JA135" s="6" t="e">
        <f>#REF!+#REF!</f>
        <v>#REF!</v>
      </c>
      <c r="JB135" s="6" t="e">
        <f>#REF!+#REF!</f>
        <v>#REF!</v>
      </c>
      <c r="JC135" s="6" t="e">
        <f>#REF!+#REF!</f>
        <v>#REF!</v>
      </c>
      <c r="JD135" s="6" t="e">
        <f>#REF!+#REF!</f>
        <v>#REF!</v>
      </c>
      <c r="JE135" s="6" t="e">
        <f>#REF!+#REF!</f>
        <v>#REF!</v>
      </c>
      <c r="JF135" s="6" t="e">
        <f>#REF!+#REF!</f>
        <v>#REF!</v>
      </c>
      <c r="JG135" s="6" t="e">
        <f>#REF!+#REF!</f>
        <v>#REF!</v>
      </c>
      <c r="JH135" s="6" t="e">
        <f>#REF!+#REF!</f>
        <v>#REF!</v>
      </c>
      <c r="JI135" s="6" t="e">
        <f>#REF!+#REF!</f>
        <v>#REF!</v>
      </c>
      <c r="JJ135" s="6" t="e">
        <f>#REF!+#REF!</f>
        <v>#REF!</v>
      </c>
      <c r="JK135" s="6" t="e">
        <f>#REF!+#REF!</f>
        <v>#REF!</v>
      </c>
      <c r="JL135" s="6" t="e">
        <f>#REF!+#REF!</f>
        <v>#REF!</v>
      </c>
      <c r="JM135" s="6" t="e">
        <f>#REF!+#REF!</f>
        <v>#REF!</v>
      </c>
      <c r="JN135" s="6" t="e">
        <f>#REF!+#REF!</f>
        <v>#REF!</v>
      </c>
      <c r="JO135" s="6" t="e">
        <f>#REF!+#REF!</f>
        <v>#REF!</v>
      </c>
      <c r="JP135" s="6" t="e">
        <f>#REF!+#REF!</f>
        <v>#REF!</v>
      </c>
      <c r="JQ135" s="6" t="e">
        <f>#REF!+#REF!</f>
        <v>#REF!</v>
      </c>
      <c r="JR135" s="6" t="e">
        <f>#REF!+#REF!</f>
        <v>#REF!</v>
      </c>
      <c r="JS135" s="6" t="e">
        <f>#REF!+#REF!</f>
        <v>#REF!</v>
      </c>
      <c r="JT135" s="6" t="e">
        <f>#REF!+#REF!</f>
        <v>#REF!</v>
      </c>
      <c r="JU135" s="6" t="e">
        <f>#REF!+#REF!</f>
        <v>#REF!</v>
      </c>
      <c r="JV135" s="6" t="e">
        <f>#REF!+#REF!</f>
        <v>#REF!</v>
      </c>
      <c r="JW135" s="6" t="e">
        <f>#REF!+#REF!</f>
        <v>#REF!</v>
      </c>
      <c r="JX135" s="6" t="e">
        <f>#REF!+#REF!</f>
        <v>#REF!</v>
      </c>
      <c r="JY135" s="6" t="e">
        <f>#REF!+#REF!</f>
        <v>#REF!</v>
      </c>
      <c r="JZ135" s="6" t="e">
        <f>#REF!+#REF!</f>
        <v>#REF!</v>
      </c>
      <c r="KA135" s="6" t="e">
        <f>#REF!+#REF!</f>
        <v>#REF!</v>
      </c>
      <c r="KB135" s="6" t="e">
        <f>#REF!+#REF!</f>
        <v>#REF!</v>
      </c>
      <c r="KC135" s="6" t="e">
        <f>#REF!+#REF!</f>
        <v>#REF!</v>
      </c>
      <c r="KD135" s="6" t="e">
        <f>#REF!+#REF!</f>
        <v>#REF!</v>
      </c>
      <c r="KE135" s="6" t="e">
        <f>#REF!+#REF!</f>
        <v>#REF!</v>
      </c>
      <c r="KF135" s="6" t="e">
        <f>#REF!+#REF!</f>
        <v>#REF!</v>
      </c>
      <c r="KG135" s="6" t="e">
        <f>#REF!+#REF!</f>
        <v>#REF!</v>
      </c>
      <c r="KH135" s="6" t="e">
        <f>#REF!+#REF!</f>
        <v>#REF!</v>
      </c>
      <c r="KI135" s="6" t="e">
        <f>#REF!+#REF!</f>
        <v>#REF!</v>
      </c>
      <c r="KJ135" s="6" t="e">
        <f>#REF!+#REF!</f>
        <v>#REF!</v>
      </c>
      <c r="KK135" s="6" t="e">
        <f>#REF!+#REF!</f>
        <v>#REF!</v>
      </c>
      <c r="KL135" s="6" t="e">
        <f>#REF!+#REF!</f>
        <v>#REF!</v>
      </c>
      <c r="KM135" s="6" t="e">
        <f>#REF!+#REF!</f>
        <v>#REF!</v>
      </c>
      <c r="KN135" s="6" t="e">
        <f>#REF!+#REF!</f>
        <v>#REF!</v>
      </c>
      <c r="KO135" s="6" t="e">
        <f>#REF!+#REF!</f>
        <v>#REF!</v>
      </c>
      <c r="KP135" s="6" t="e">
        <f>#REF!+#REF!</f>
        <v>#REF!</v>
      </c>
      <c r="KQ135" s="6" t="e">
        <f>#REF!+#REF!</f>
        <v>#REF!</v>
      </c>
      <c r="KR135" s="6" t="e">
        <f>#REF!+#REF!</f>
        <v>#REF!</v>
      </c>
      <c r="KS135" s="6" t="e">
        <f>#REF!+#REF!</f>
        <v>#REF!</v>
      </c>
    </row>
    <row r="136" spans="2:305" outlineLevel="1"/>
    <row r="137" spans="2:305" outlineLevel="1">
      <c r="B137" t="s">
        <v>18</v>
      </c>
      <c r="E137" s="6" t="e" cm="1">
        <f t="array" ref="E137">ROUND(-IF(E2&gt;Inputs!#REF!,0,SUMPRODUCT((E$2&gt;Inputs!#REF!)*(E$2&lt;Inputs!#REF!)*Inputs!#REF!)),5)*IF(Inputs!#REF!=1,0,1)</f>
        <v>#REF!</v>
      </c>
      <c r="F137" s="6" t="e" cm="1">
        <f t="array" ref="F137">ROUND(-IF(F2&gt;Inputs!#REF!,0,SUMPRODUCT((F$2&gt;Inputs!#REF!)*(F$2&lt;Inputs!#REF!)*Inputs!#REF!)),5)*IF(Inputs!#REF!=1,0,1)</f>
        <v>#REF!</v>
      </c>
      <c r="G137" s="6" t="e" cm="1">
        <f t="array" ref="G137">ROUND(-IF(G2&gt;Inputs!#REF!,0,SUMPRODUCT((G$2&gt;Inputs!#REF!)*(G$2&lt;Inputs!#REF!)*Inputs!#REF!)),5)*IF(Inputs!#REF!=1,0,1)</f>
        <v>#REF!</v>
      </c>
      <c r="H137" s="6" t="e" cm="1">
        <f t="array" ref="H137">ROUND(-IF(H2&gt;Inputs!#REF!,0,SUMPRODUCT((H$2&gt;Inputs!#REF!)*(H$2&lt;Inputs!#REF!)*Inputs!#REF!)),5)*IF(Inputs!#REF!=1,0,1)</f>
        <v>#REF!</v>
      </c>
      <c r="I137" s="6" t="e" cm="1">
        <f t="array" ref="I137">ROUND(-IF(I2&gt;Inputs!#REF!,0,SUMPRODUCT((I$2&gt;Inputs!#REF!)*(I$2&lt;Inputs!#REF!)*Inputs!#REF!)),5)*IF(Inputs!#REF!=1,0,1)</f>
        <v>#REF!</v>
      </c>
      <c r="J137" s="6" t="e" cm="1">
        <f t="array" ref="J137">ROUND(-IF(J2&gt;Inputs!#REF!,0,SUMPRODUCT((J$2&gt;Inputs!#REF!)*(J$2&lt;Inputs!#REF!)*Inputs!#REF!)),5)*IF(Inputs!#REF!=1,0,1)</f>
        <v>#REF!</v>
      </c>
      <c r="K137" s="6" t="e" cm="1">
        <f t="array" ref="K137">ROUND(-IF(K2&gt;Inputs!#REF!,0,SUMPRODUCT((K$2&gt;Inputs!#REF!)*(K$2&lt;Inputs!#REF!)*Inputs!#REF!)),5)*IF(Inputs!#REF!=1,0,1)</f>
        <v>#REF!</v>
      </c>
      <c r="L137" s="6" t="e" cm="1">
        <f t="array" ref="L137">ROUND(-IF(L2&gt;Inputs!#REF!,0,SUMPRODUCT((L$2&gt;Inputs!#REF!)*(L$2&lt;Inputs!#REF!)*Inputs!#REF!)),5)*IF(Inputs!#REF!=1,0,1)</f>
        <v>#REF!</v>
      </c>
      <c r="M137" s="6" t="e" cm="1">
        <f t="array" ref="M137">ROUND(-IF(M2&gt;Inputs!#REF!,0,SUMPRODUCT((M$2&gt;Inputs!#REF!)*(M$2&lt;Inputs!#REF!)*Inputs!#REF!)),5)*IF(Inputs!#REF!=1,0,1)</f>
        <v>#REF!</v>
      </c>
      <c r="N137" s="6" t="e" cm="1">
        <f t="array" ref="N137">ROUND(-IF(N2&gt;Inputs!#REF!,0,SUMPRODUCT((N$2&gt;Inputs!#REF!)*(N$2&lt;Inputs!#REF!)*Inputs!#REF!)),5)*IF(Inputs!#REF!=1,0,1)</f>
        <v>#REF!</v>
      </c>
      <c r="O137" s="6" t="e" cm="1">
        <f t="array" ref="O137">ROUND(-IF(O2&gt;Inputs!#REF!,0,SUMPRODUCT((O$2&gt;Inputs!#REF!)*(O$2&lt;Inputs!#REF!)*Inputs!#REF!)),5)*IF(Inputs!#REF!=1,0,1)</f>
        <v>#REF!</v>
      </c>
      <c r="P137" s="6" t="e" cm="1">
        <f t="array" ref="P137">ROUND(-IF(P2&gt;Inputs!#REF!,0,SUMPRODUCT((P$2&gt;Inputs!#REF!)*(P$2&lt;Inputs!#REF!)*Inputs!#REF!)),5)*IF(Inputs!#REF!=1,0,1)</f>
        <v>#REF!</v>
      </c>
      <c r="Q137" s="6" t="e" cm="1">
        <f t="array" ref="Q137">ROUND(-IF(Q2&gt;Inputs!#REF!,0,SUMPRODUCT((Q$2&gt;Inputs!#REF!)*(Q$2&lt;Inputs!#REF!)*Inputs!#REF!)),5)*IF(Inputs!#REF!=1,0,1)</f>
        <v>#REF!</v>
      </c>
      <c r="R137" s="6" t="e" cm="1">
        <f t="array" ref="R137">ROUND(-IF(R2&gt;Inputs!#REF!,0,SUMPRODUCT((R$2&gt;Inputs!#REF!)*(R$2&lt;Inputs!#REF!)*Inputs!#REF!)),5)*IF(Inputs!#REF!=1,0,1)</f>
        <v>#REF!</v>
      </c>
      <c r="S137" s="6" t="e" cm="1">
        <f t="array" ref="S137">ROUND(-IF(S2&gt;Inputs!#REF!,0,SUMPRODUCT((S$2&gt;Inputs!#REF!)*(S$2&lt;Inputs!#REF!)*Inputs!#REF!)),5)*IF(Inputs!#REF!=1,0,1)</f>
        <v>#REF!</v>
      </c>
      <c r="T137" s="6" t="e" cm="1">
        <f t="array" ref="T137">ROUND(-IF(T2&gt;Inputs!#REF!,0,SUMPRODUCT((T$2&gt;Inputs!#REF!)*(T$2&lt;Inputs!#REF!)*Inputs!#REF!)),5)*IF(Inputs!#REF!=1,0,1)</f>
        <v>#REF!</v>
      </c>
      <c r="U137" s="6" t="e" cm="1">
        <f t="array" ref="U137">ROUND(-IF(U2&gt;Inputs!#REF!,0,SUMPRODUCT((U$2&gt;Inputs!#REF!)*(U$2&lt;Inputs!#REF!)*Inputs!#REF!)),5)*IF(Inputs!#REF!=1,0,1)</f>
        <v>#REF!</v>
      </c>
      <c r="V137" s="6" t="e" cm="1">
        <f t="array" ref="V137">ROUND(-IF(V2&gt;Inputs!#REF!,0,SUMPRODUCT((V$2&gt;Inputs!#REF!)*(V$2&lt;Inputs!#REF!)*Inputs!#REF!)),5)*IF(Inputs!#REF!=1,0,1)</f>
        <v>#REF!</v>
      </c>
      <c r="W137" s="6" t="e" cm="1">
        <f t="array" ref="W137">ROUND(-IF(W2&gt;Inputs!#REF!,0,SUMPRODUCT((W$2&gt;Inputs!#REF!)*(W$2&lt;Inputs!#REF!)*Inputs!#REF!)),5)*IF(Inputs!#REF!=1,0,1)</f>
        <v>#REF!</v>
      </c>
      <c r="X137" s="6" t="e" cm="1">
        <f t="array" ref="X137">ROUND(-IF(X2&gt;Inputs!#REF!,0,SUMPRODUCT((X$2&gt;Inputs!#REF!)*(X$2&lt;Inputs!#REF!)*Inputs!#REF!)),5)*IF(Inputs!#REF!=1,0,1)</f>
        <v>#REF!</v>
      </c>
      <c r="Y137" s="6" t="e" cm="1">
        <f t="array" ref="Y137">ROUND(-IF(Y2&gt;Inputs!#REF!,0,SUMPRODUCT((Y$2&gt;Inputs!#REF!)*(Y$2&lt;Inputs!#REF!)*Inputs!#REF!)),5)*IF(Inputs!#REF!=1,0,1)</f>
        <v>#REF!</v>
      </c>
      <c r="Z137" s="6" t="e" cm="1">
        <f t="array" ref="Z137">ROUND(-IF(Z2&gt;Inputs!#REF!,0,SUMPRODUCT((Z$2&gt;Inputs!#REF!)*(Z$2&lt;Inputs!#REF!)*Inputs!#REF!)),5)*IF(Inputs!#REF!=1,0,1)</f>
        <v>#REF!</v>
      </c>
      <c r="AA137" s="6" t="e" cm="1">
        <f t="array" ref="AA137">ROUND(-IF(AA2&gt;Inputs!#REF!,0,SUMPRODUCT((AA$2&gt;Inputs!#REF!)*(AA$2&lt;Inputs!#REF!)*Inputs!#REF!)),5)*IF(Inputs!#REF!=1,0,1)</f>
        <v>#REF!</v>
      </c>
      <c r="AB137" s="6" t="e" cm="1">
        <f t="array" ref="AB137">ROUND(-IF(AB2&gt;Inputs!#REF!,0,SUMPRODUCT((AB$2&gt;Inputs!#REF!)*(AB$2&lt;Inputs!#REF!)*Inputs!#REF!)),5)*IF(Inputs!#REF!=1,0,1)</f>
        <v>#REF!</v>
      </c>
      <c r="AC137" s="6" t="e" cm="1">
        <f t="array" ref="AC137">ROUND(-IF(AC2&gt;Inputs!#REF!,0,SUMPRODUCT((AC$2&gt;Inputs!#REF!)*(AC$2&lt;Inputs!#REF!)*Inputs!#REF!)),5)*IF(Inputs!#REF!=1,0,1)</f>
        <v>#REF!</v>
      </c>
      <c r="AD137" s="6" t="e" cm="1">
        <f t="array" ref="AD137">ROUND(-IF(AD2&gt;Inputs!#REF!,0,SUMPRODUCT((AD$2&gt;Inputs!#REF!)*(AD$2&lt;Inputs!#REF!)*Inputs!#REF!)),5)*IF(Inputs!#REF!=1,0,1)</f>
        <v>#REF!</v>
      </c>
      <c r="AE137" s="6" t="e" cm="1">
        <f t="array" ref="AE137">ROUND(-IF(AE2&gt;Inputs!#REF!,0,SUMPRODUCT((AE$2&gt;Inputs!#REF!)*(AE$2&lt;Inputs!#REF!)*Inputs!#REF!)),5)*IF(Inputs!#REF!=1,0,1)</f>
        <v>#REF!</v>
      </c>
      <c r="AF137" s="6" t="e" cm="1">
        <f t="array" ref="AF137">ROUND(-IF(AF2&gt;Inputs!#REF!,0,SUMPRODUCT((AF$2&gt;Inputs!#REF!)*(AF$2&lt;Inputs!#REF!)*Inputs!#REF!)),5)*IF(Inputs!#REF!=1,0,1)</f>
        <v>#REF!</v>
      </c>
      <c r="AG137" s="6" t="e" cm="1">
        <f t="array" ref="AG137">ROUND(-IF(AG2&gt;Inputs!#REF!,0,SUMPRODUCT((AG$2&gt;Inputs!#REF!)*(AG$2&lt;Inputs!#REF!)*Inputs!#REF!)),5)*IF(Inputs!#REF!=1,0,1)</f>
        <v>#REF!</v>
      </c>
      <c r="AH137" s="6" t="e" cm="1">
        <f t="array" ref="AH137">ROUND(-IF(AH2&gt;Inputs!#REF!,0,SUMPRODUCT((AH$2&gt;Inputs!#REF!)*(AH$2&lt;Inputs!#REF!)*Inputs!#REF!)),5)*IF(Inputs!#REF!=1,0,1)</f>
        <v>#REF!</v>
      </c>
      <c r="AI137" s="6" t="e" cm="1">
        <f t="array" ref="AI137">ROUND(-IF(AI2&gt;Inputs!#REF!,0,SUMPRODUCT((AI$2&gt;Inputs!#REF!)*(AI$2&lt;Inputs!#REF!)*Inputs!#REF!)),5)*IF(Inputs!#REF!=1,0,1)</f>
        <v>#REF!</v>
      </c>
      <c r="AJ137" s="6" t="e" cm="1">
        <f t="array" ref="AJ137">ROUND(-IF(AJ2&gt;Inputs!#REF!,0,SUMPRODUCT((AJ$2&gt;Inputs!#REF!)*(AJ$2&lt;Inputs!#REF!)*Inputs!#REF!)),5)*IF(Inputs!#REF!=1,0,1)</f>
        <v>#REF!</v>
      </c>
      <c r="AK137" s="6" t="e" cm="1">
        <f t="array" ref="AK137">ROUND(-IF(AK2&gt;Inputs!#REF!,0,SUMPRODUCT((AK$2&gt;Inputs!#REF!)*(AK$2&lt;Inputs!#REF!)*Inputs!#REF!)),5)*IF(Inputs!#REF!=1,0,1)</f>
        <v>#REF!</v>
      </c>
      <c r="AL137" s="6" t="e" cm="1">
        <f t="array" ref="AL137">ROUND(-IF(AL2&gt;Inputs!#REF!,0,SUMPRODUCT((AL$2&gt;Inputs!#REF!)*(AL$2&lt;Inputs!#REF!)*Inputs!#REF!)),5)*IF(Inputs!#REF!=1,0,1)</f>
        <v>#REF!</v>
      </c>
      <c r="AM137" s="6" t="e" cm="1">
        <f t="array" ref="AM137">ROUND(-IF(AM2&gt;Inputs!#REF!,0,SUMPRODUCT((AM$2&gt;Inputs!#REF!)*(AM$2&lt;Inputs!#REF!)*Inputs!#REF!)),5)*IF(Inputs!#REF!=1,0,1)</f>
        <v>#REF!</v>
      </c>
      <c r="AN137" s="6" t="e" cm="1">
        <f t="array" ref="AN137">ROUND(-IF(AN2&gt;Inputs!#REF!,0,SUMPRODUCT((AN$2&gt;Inputs!#REF!)*(AN$2&lt;Inputs!#REF!)*Inputs!#REF!)),5)*IF(Inputs!#REF!=1,0,1)</f>
        <v>#REF!</v>
      </c>
      <c r="AO137" s="6" t="e" cm="1">
        <f t="array" ref="AO137">ROUND(-IF(AO2&gt;Inputs!#REF!,0,SUMPRODUCT((AO$2&gt;Inputs!#REF!)*(AO$2&lt;Inputs!#REF!)*Inputs!#REF!)),5)*IF(Inputs!#REF!=1,0,1)</f>
        <v>#REF!</v>
      </c>
      <c r="AP137" s="6" t="e" cm="1">
        <f t="array" ref="AP137">ROUND(-IF(AP2&gt;Inputs!#REF!,0,SUMPRODUCT((AP$2&gt;Inputs!#REF!)*(AP$2&lt;Inputs!#REF!)*Inputs!#REF!)),5)*IF(Inputs!#REF!=1,0,1)</f>
        <v>#REF!</v>
      </c>
      <c r="AQ137" s="6" t="e" cm="1">
        <f t="array" ref="AQ137">ROUND(-IF(AQ2&gt;Inputs!#REF!,0,SUMPRODUCT((AQ$2&gt;Inputs!#REF!)*(AQ$2&lt;Inputs!#REF!)*Inputs!#REF!)),5)*IF(Inputs!#REF!=1,0,1)</f>
        <v>#REF!</v>
      </c>
      <c r="AR137" s="6" t="e" cm="1">
        <f t="array" ref="AR137">ROUND(-IF(AR2&gt;Inputs!#REF!,0,SUMPRODUCT((AR$2&gt;Inputs!#REF!)*(AR$2&lt;Inputs!#REF!)*Inputs!#REF!)),5)*IF(Inputs!#REF!=1,0,1)</f>
        <v>#REF!</v>
      </c>
      <c r="AS137" s="6" t="e" cm="1">
        <f t="array" ref="AS137">ROUND(-IF(AS2&gt;Inputs!#REF!,0,SUMPRODUCT((AS$2&gt;Inputs!#REF!)*(AS$2&lt;Inputs!#REF!)*Inputs!#REF!)),5)*IF(Inputs!#REF!=1,0,1)</f>
        <v>#REF!</v>
      </c>
      <c r="AT137" s="6" t="e" cm="1">
        <f t="array" ref="AT137">ROUND(-IF(AT2&gt;Inputs!#REF!,0,SUMPRODUCT((AT$2&gt;Inputs!#REF!)*(AT$2&lt;Inputs!#REF!)*Inputs!#REF!)),5)*IF(Inputs!#REF!=1,0,1)</f>
        <v>#REF!</v>
      </c>
      <c r="AU137" s="6" t="e" cm="1">
        <f t="array" ref="AU137">ROUND(-IF(AU2&gt;Inputs!#REF!,0,SUMPRODUCT((AU$2&gt;Inputs!#REF!)*(AU$2&lt;Inputs!#REF!)*Inputs!#REF!)),5)*IF(Inputs!#REF!=1,0,1)</f>
        <v>#REF!</v>
      </c>
      <c r="AV137" s="6" t="e" cm="1">
        <f t="array" ref="AV137">ROUND(-IF(AV2&gt;Inputs!#REF!,0,SUMPRODUCT((AV$2&gt;Inputs!#REF!)*(AV$2&lt;Inputs!#REF!)*Inputs!#REF!)),5)*IF(Inputs!#REF!=1,0,1)</f>
        <v>#REF!</v>
      </c>
      <c r="AW137" s="6" t="e" cm="1">
        <f t="array" ref="AW137">ROUND(-IF(AW2&gt;Inputs!#REF!,0,SUMPRODUCT((AW$2&gt;Inputs!#REF!)*(AW$2&lt;Inputs!#REF!)*Inputs!#REF!)),5)*IF(Inputs!#REF!=1,0,1)</f>
        <v>#REF!</v>
      </c>
      <c r="AX137" s="6" t="e" cm="1">
        <f t="array" ref="AX137">ROUND(-IF(AX2&gt;Inputs!#REF!,0,SUMPRODUCT((AX$2&gt;Inputs!#REF!)*(AX$2&lt;Inputs!#REF!)*Inputs!#REF!)),5)*IF(Inputs!#REF!=1,0,1)</f>
        <v>#REF!</v>
      </c>
      <c r="AY137" s="6" t="e" cm="1">
        <f t="array" ref="AY137">ROUND(-IF(AY2&gt;Inputs!#REF!,0,SUMPRODUCT((AY$2&gt;Inputs!#REF!)*(AY$2&lt;Inputs!#REF!)*Inputs!#REF!)),5)*IF(Inputs!#REF!=1,0,1)</f>
        <v>#REF!</v>
      </c>
      <c r="AZ137" s="6" t="e" cm="1">
        <f t="array" ref="AZ137">ROUND(-IF(AZ2&gt;Inputs!#REF!,0,SUMPRODUCT((AZ$2&gt;Inputs!#REF!)*(AZ$2&lt;Inputs!#REF!)*Inputs!#REF!)),5)*IF(Inputs!#REF!=1,0,1)</f>
        <v>#REF!</v>
      </c>
      <c r="BA137" s="6" t="e" cm="1">
        <f t="array" ref="BA137">ROUND(-IF(BA2&gt;Inputs!#REF!,0,SUMPRODUCT((BA$2&gt;Inputs!#REF!)*(BA$2&lt;Inputs!#REF!)*Inputs!#REF!)),5)*IF(Inputs!#REF!=1,0,1)</f>
        <v>#REF!</v>
      </c>
      <c r="BB137" s="6" t="e" cm="1">
        <f t="array" ref="BB137">ROUND(-IF(BB2&gt;Inputs!#REF!,0,SUMPRODUCT((BB$2&gt;Inputs!#REF!)*(BB$2&lt;Inputs!#REF!)*Inputs!#REF!)),5)*IF(Inputs!#REF!=1,0,1)</f>
        <v>#REF!</v>
      </c>
      <c r="BC137" s="6" t="e" cm="1">
        <f t="array" ref="BC137">ROUND(-IF(BC2&gt;Inputs!#REF!,0,SUMPRODUCT((BC$2&gt;Inputs!#REF!)*(BC$2&lt;Inputs!#REF!)*Inputs!#REF!)),5)*IF(Inputs!#REF!=1,0,1)</f>
        <v>#REF!</v>
      </c>
      <c r="BD137" s="6" t="e" cm="1">
        <f t="array" ref="BD137">ROUND(-IF(BD2&gt;Inputs!#REF!,0,SUMPRODUCT((BD$2&gt;Inputs!#REF!)*(BD$2&lt;Inputs!#REF!)*Inputs!#REF!)),5)*IF(Inputs!#REF!=1,0,1)</f>
        <v>#REF!</v>
      </c>
      <c r="BE137" s="6" t="e" cm="1">
        <f t="array" ref="BE137">ROUND(-IF(BE2&gt;Inputs!#REF!,0,SUMPRODUCT((BE$2&gt;Inputs!#REF!)*(BE$2&lt;Inputs!#REF!)*Inputs!#REF!)),5)*IF(Inputs!#REF!=1,0,1)</f>
        <v>#REF!</v>
      </c>
      <c r="BF137" s="6" t="e" cm="1">
        <f t="array" ref="BF137">ROUND(-IF(BF2&gt;Inputs!#REF!,0,SUMPRODUCT((BF$2&gt;Inputs!#REF!)*(BF$2&lt;Inputs!#REF!)*Inputs!#REF!)),5)*IF(Inputs!#REF!=1,0,1)</f>
        <v>#REF!</v>
      </c>
      <c r="BG137" s="6" t="e" cm="1">
        <f t="array" ref="BG137">ROUND(-IF(BG2&gt;Inputs!#REF!,0,SUMPRODUCT((BG$2&gt;Inputs!#REF!)*(BG$2&lt;Inputs!#REF!)*Inputs!#REF!)),5)*IF(Inputs!#REF!=1,0,1)</f>
        <v>#REF!</v>
      </c>
      <c r="BH137" s="6" t="e" cm="1">
        <f t="array" ref="BH137">ROUND(-IF(BH2&gt;Inputs!#REF!,0,SUMPRODUCT((BH$2&gt;Inputs!#REF!)*(BH$2&lt;Inputs!#REF!)*Inputs!#REF!)),5)*IF(Inputs!#REF!=1,0,1)</f>
        <v>#REF!</v>
      </c>
      <c r="BI137" s="6" t="e" cm="1">
        <f t="array" ref="BI137">ROUND(-IF(BI2&gt;Inputs!#REF!,0,SUMPRODUCT((BI$2&gt;Inputs!#REF!)*(BI$2&lt;Inputs!#REF!)*Inputs!#REF!)),5)*IF(Inputs!#REF!=1,0,1)</f>
        <v>#REF!</v>
      </c>
      <c r="BJ137" s="6" t="e" cm="1">
        <f t="array" ref="BJ137">ROUND(-IF(BJ2&gt;Inputs!#REF!,0,SUMPRODUCT((BJ$2&gt;Inputs!#REF!)*(BJ$2&lt;Inputs!#REF!)*Inputs!#REF!)),5)*IF(Inputs!#REF!=1,0,1)</f>
        <v>#REF!</v>
      </c>
      <c r="BK137" s="6" t="e" cm="1">
        <f t="array" ref="BK137">ROUND(-IF(BK2&gt;Inputs!#REF!,0,SUMPRODUCT((BK$2&gt;Inputs!#REF!)*(BK$2&lt;Inputs!#REF!)*Inputs!#REF!)),5)*IF(Inputs!#REF!=1,0,1)</f>
        <v>#REF!</v>
      </c>
      <c r="BL137" s="6" t="e" cm="1">
        <f t="array" ref="BL137">ROUND(-IF(BL2&gt;Inputs!#REF!,0,SUMPRODUCT((BL$2&gt;Inputs!#REF!)*(BL$2&lt;Inputs!#REF!)*Inputs!#REF!)),5)*IF(Inputs!#REF!=1,0,1)</f>
        <v>#REF!</v>
      </c>
      <c r="BM137" s="6" t="e" cm="1">
        <f t="array" ref="BM137">ROUND(-IF(BM2&gt;Inputs!#REF!,0,SUMPRODUCT((BM$2&gt;Inputs!#REF!)*(BM$2&lt;Inputs!#REF!)*Inputs!#REF!)),5)*IF(Inputs!#REF!=1,0,1)</f>
        <v>#REF!</v>
      </c>
      <c r="BN137" s="6" t="e" cm="1">
        <f t="array" ref="BN137">ROUND(-IF(BN2&gt;Inputs!#REF!,0,SUMPRODUCT((BN$2&gt;Inputs!#REF!)*(BN$2&lt;Inputs!#REF!)*Inputs!#REF!)),5)*IF(Inputs!#REF!=1,0,1)</f>
        <v>#REF!</v>
      </c>
      <c r="BO137" s="6" t="e" cm="1">
        <f t="array" ref="BO137">ROUND(-IF(BO2&gt;Inputs!#REF!,0,SUMPRODUCT((BO$2&gt;Inputs!#REF!)*(BO$2&lt;Inputs!#REF!)*Inputs!#REF!)),5)*IF(Inputs!#REF!=1,0,1)</f>
        <v>#REF!</v>
      </c>
      <c r="BP137" s="6" t="e" cm="1">
        <f t="array" ref="BP137">ROUND(-IF(BP2&gt;Inputs!#REF!,0,SUMPRODUCT((BP$2&gt;Inputs!#REF!)*(BP$2&lt;Inputs!#REF!)*Inputs!#REF!)),5)*IF(Inputs!#REF!=1,0,1)</f>
        <v>#REF!</v>
      </c>
      <c r="BQ137" s="6" t="e" cm="1">
        <f t="array" ref="BQ137">ROUND(-IF(BQ2&gt;Inputs!#REF!,0,SUMPRODUCT((BQ$2&gt;Inputs!#REF!)*(BQ$2&lt;Inputs!#REF!)*Inputs!#REF!)),5)*IF(Inputs!#REF!=1,0,1)</f>
        <v>#REF!</v>
      </c>
      <c r="BR137" s="6" t="e" cm="1">
        <f t="array" ref="BR137">ROUND(-IF(BR2&gt;Inputs!#REF!,0,SUMPRODUCT((BR$2&gt;Inputs!#REF!)*(BR$2&lt;Inputs!#REF!)*Inputs!#REF!)),5)*IF(Inputs!#REF!=1,0,1)</f>
        <v>#REF!</v>
      </c>
      <c r="BS137" s="6" t="e" cm="1">
        <f t="array" ref="BS137">ROUND(-IF(BS2&gt;Inputs!#REF!,0,SUMPRODUCT((BS$2&gt;Inputs!#REF!)*(BS$2&lt;Inputs!#REF!)*Inputs!#REF!)),5)*IF(Inputs!#REF!=1,0,1)</f>
        <v>#REF!</v>
      </c>
      <c r="BT137" s="6" t="e" cm="1">
        <f t="array" ref="BT137">ROUND(-IF(BT2&gt;Inputs!#REF!,0,SUMPRODUCT((BT$2&gt;Inputs!#REF!)*(BT$2&lt;Inputs!#REF!)*Inputs!#REF!)),5)*IF(Inputs!#REF!=1,0,1)</f>
        <v>#REF!</v>
      </c>
      <c r="BU137" s="6" t="e" cm="1">
        <f t="array" ref="BU137">ROUND(-IF(BU2&gt;Inputs!#REF!,0,SUMPRODUCT((BU$2&gt;Inputs!#REF!)*(BU$2&lt;Inputs!#REF!)*Inputs!#REF!)),5)*IF(Inputs!#REF!=1,0,1)</f>
        <v>#REF!</v>
      </c>
      <c r="BV137" s="6" t="e" cm="1">
        <f t="array" ref="BV137">ROUND(-IF(BV2&gt;Inputs!#REF!,0,SUMPRODUCT((BV$2&gt;Inputs!#REF!)*(BV$2&lt;Inputs!#REF!)*Inputs!#REF!)),5)*IF(Inputs!#REF!=1,0,1)</f>
        <v>#REF!</v>
      </c>
      <c r="BW137" s="6" t="e" cm="1">
        <f t="array" ref="BW137">ROUND(-IF(BW2&gt;Inputs!#REF!,0,SUMPRODUCT((BW$2&gt;Inputs!#REF!)*(BW$2&lt;Inputs!#REF!)*Inputs!#REF!)),5)*IF(Inputs!#REF!=1,0,1)</f>
        <v>#REF!</v>
      </c>
      <c r="BX137" s="6" t="e" cm="1">
        <f t="array" ref="BX137">ROUND(-IF(BX2&gt;Inputs!#REF!,0,SUMPRODUCT((BX$2&gt;Inputs!#REF!)*(BX$2&lt;Inputs!#REF!)*Inputs!#REF!)),5)*IF(Inputs!#REF!=1,0,1)</f>
        <v>#REF!</v>
      </c>
      <c r="BY137" s="6" t="e" cm="1">
        <f t="array" ref="BY137">ROUND(-IF(BY2&gt;Inputs!#REF!,0,SUMPRODUCT((BY$2&gt;Inputs!#REF!)*(BY$2&lt;Inputs!#REF!)*Inputs!#REF!)),5)*IF(Inputs!#REF!=1,0,1)</f>
        <v>#REF!</v>
      </c>
      <c r="BZ137" s="6" t="e" cm="1">
        <f t="array" ref="BZ137">ROUND(-IF(BZ2&gt;Inputs!#REF!,0,SUMPRODUCT((BZ$2&gt;Inputs!#REF!)*(BZ$2&lt;Inputs!#REF!)*Inputs!#REF!)),5)*IF(Inputs!#REF!=1,0,1)</f>
        <v>#REF!</v>
      </c>
      <c r="CA137" s="6" t="e" cm="1">
        <f t="array" ref="CA137">ROUND(-IF(CA2&gt;Inputs!#REF!,0,SUMPRODUCT((CA$2&gt;Inputs!#REF!)*(CA$2&lt;Inputs!#REF!)*Inputs!#REF!)),5)*IF(Inputs!#REF!=1,0,1)</f>
        <v>#REF!</v>
      </c>
      <c r="CB137" s="6" t="e" cm="1">
        <f t="array" ref="CB137">ROUND(-IF(CB2&gt;Inputs!#REF!,0,SUMPRODUCT((CB$2&gt;Inputs!#REF!)*(CB$2&lt;Inputs!#REF!)*Inputs!#REF!)),5)*IF(Inputs!#REF!=1,0,1)</f>
        <v>#REF!</v>
      </c>
      <c r="CC137" s="6" t="e" cm="1">
        <f t="array" ref="CC137">ROUND(-IF(CC2&gt;Inputs!#REF!,0,SUMPRODUCT((CC$2&gt;Inputs!#REF!)*(CC$2&lt;Inputs!#REF!)*Inputs!#REF!)),5)*IF(Inputs!#REF!=1,0,1)</f>
        <v>#REF!</v>
      </c>
      <c r="CD137" s="6" t="e" cm="1">
        <f t="array" ref="CD137">ROUND(-IF(CD2&gt;Inputs!#REF!,0,SUMPRODUCT((CD$2&gt;Inputs!#REF!)*(CD$2&lt;Inputs!#REF!)*Inputs!#REF!)),5)*IF(Inputs!#REF!=1,0,1)</f>
        <v>#REF!</v>
      </c>
      <c r="CE137" s="6" t="e" cm="1">
        <f t="array" ref="CE137">ROUND(-IF(CE2&gt;Inputs!#REF!,0,SUMPRODUCT((CE$2&gt;Inputs!#REF!)*(CE$2&lt;Inputs!#REF!)*Inputs!#REF!)),5)*IF(Inputs!#REF!=1,0,1)</f>
        <v>#REF!</v>
      </c>
      <c r="CF137" s="6" t="e" cm="1">
        <f t="array" ref="CF137">ROUND(-IF(CF2&gt;Inputs!#REF!,0,SUMPRODUCT((CF$2&gt;Inputs!#REF!)*(CF$2&lt;Inputs!#REF!)*Inputs!#REF!)),5)*IF(Inputs!#REF!=1,0,1)</f>
        <v>#REF!</v>
      </c>
      <c r="CG137" s="6" t="e" cm="1">
        <f t="array" ref="CG137">ROUND(-IF(CG2&gt;Inputs!#REF!,0,SUMPRODUCT((CG$2&gt;Inputs!#REF!)*(CG$2&lt;Inputs!#REF!)*Inputs!#REF!)),5)*IF(Inputs!#REF!=1,0,1)</f>
        <v>#REF!</v>
      </c>
      <c r="CH137" s="6" t="e" cm="1">
        <f t="array" ref="CH137">ROUND(-IF(CH2&gt;Inputs!#REF!,0,SUMPRODUCT((CH$2&gt;Inputs!#REF!)*(CH$2&lt;Inputs!#REF!)*Inputs!#REF!)),5)*IF(Inputs!#REF!=1,0,1)</f>
        <v>#REF!</v>
      </c>
      <c r="CI137" s="6" t="e" cm="1">
        <f t="array" ref="CI137">ROUND(-IF(CI2&gt;Inputs!#REF!,0,SUMPRODUCT((CI$2&gt;Inputs!#REF!)*(CI$2&lt;Inputs!#REF!)*Inputs!#REF!)),5)*IF(Inputs!#REF!=1,0,1)</f>
        <v>#REF!</v>
      </c>
      <c r="CJ137" s="6" t="e" cm="1">
        <f t="array" ref="CJ137">ROUND(-IF(CJ2&gt;Inputs!#REF!,0,SUMPRODUCT((CJ$2&gt;Inputs!#REF!)*(CJ$2&lt;Inputs!#REF!)*Inputs!#REF!)),5)*IF(Inputs!#REF!=1,0,1)</f>
        <v>#REF!</v>
      </c>
      <c r="CK137" s="6" t="e" cm="1">
        <f t="array" ref="CK137">ROUND(-IF(CK2&gt;Inputs!#REF!,0,SUMPRODUCT((CK$2&gt;Inputs!#REF!)*(CK$2&lt;Inputs!#REF!)*Inputs!#REF!)),5)*IF(Inputs!#REF!=1,0,1)</f>
        <v>#REF!</v>
      </c>
      <c r="CL137" s="6" t="e" cm="1">
        <f t="array" ref="CL137">ROUND(-IF(CL2&gt;Inputs!#REF!,0,SUMPRODUCT((CL$2&gt;Inputs!#REF!)*(CL$2&lt;Inputs!#REF!)*Inputs!#REF!)),5)*IF(Inputs!#REF!=1,0,1)</f>
        <v>#REF!</v>
      </c>
      <c r="CM137" s="6" t="e" cm="1">
        <f t="array" ref="CM137">ROUND(-IF(CM2&gt;Inputs!#REF!,0,SUMPRODUCT((CM$2&gt;Inputs!#REF!)*(CM$2&lt;Inputs!#REF!)*Inputs!#REF!)),5)*IF(Inputs!#REF!=1,0,1)</f>
        <v>#REF!</v>
      </c>
      <c r="CN137" s="6" t="e" cm="1">
        <f t="array" ref="CN137">ROUND(-IF(CN2&gt;Inputs!#REF!,0,SUMPRODUCT((CN$2&gt;Inputs!#REF!)*(CN$2&lt;Inputs!#REF!)*Inputs!#REF!)),5)*IF(Inputs!#REF!=1,0,1)</f>
        <v>#REF!</v>
      </c>
      <c r="CO137" s="6" t="e" cm="1">
        <f t="array" ref="CO137">ROUND(-IF(CO2&gt;Inputs!#REF!,0,SUMPRODUCT((CO$2&gt;Inputs!#REF!)*(CO$2&lt;Inputs!#REF!)*Inputs!#REF!)),5)*IF(Inputs!#REF!=1,0,1)</f>
        <v>#REF!</v>
      </c>
      <c r="CP137" s="6" t="e" cm="1">
        <f t="array" ref="CP137">ROUND(-IF(CP2&gt;Inputs!#REF!,0,SUMPRODUCT((CP$2&gt;Inputs!#REF!)*(CP$2&lt;Inputs!#REF!)*Inputs!#REF!)),5)*IF(Inputs!#REF!=1,0,1)</f>
        <v>#REF!</v>
      </c>
      <c r="CQ137" s="6" t="e" cm="1">
        <f t="array" ref="CQ137">ROUND(-IF(CQ2&gt;Inputs!#REF!,0,SUMPRODUCT((CQ$2&gt;Inputs!#REF!)*(CQ$2&lt;Inputs!#REF!)*Inputs!#REF!)),5)*IF(Inputs!#REF!=1,0,1)</f>
        <v>#REF!</v>
      </c>
      <c r="CR137" s="6" t="e" cm="1">
        <f t="array" ref="CR137">ROUND(-IF(CR2&gt;Inputs!#REF!,0,SUMPRODUCT((CR$2&gt;Inputs!#REF!)*(CR$2&lt;Inputs!#REF!)*Inputs!#REF!)),5)*IF(Inputs!#REF!=1,0,1)</f>
        <v>#REF!</v>
      </c>
      <c r="CS137" s="6" t="e" cm="1">
        <f t="array" ref="CS137">ROUND(-IF(CS2&gt;Inputs!#REF!,0,SUMPRODUCT((CS$2&gt;Inputs!#REF!)*(CS$2&lt;Inputs!#REF!)*Inputs!#REF!)),5)*IF(Inputs!#REF!=1,0,1)</f>
        <v>#REF!</v>
      </c>
      <c r="CT137" s="6" t="e" cm="1">
        <f t="array" ref="CT137">ROUND(-IF(CT2&gt;Inputs!#REF!,0,SUMPRODUCT((CT$2&gt;Inputs!#REF!)*(CT$2&lt;Inputs!#REF!)*Inputs!#REF!)),5)*IF(Inputs!#REF!=1,0,1)</f>
        <v>#REF!</v>
      </c>
      <c r="CU137" s="6" t="e" cm="1">
        <f t="array" ref="CU137">ROUND(-IF(CU2&gt;Inputs!#REF!,0,SUMPRODUCT((CU$2&gt;Inputs!#REF!)*(CU$2&lt;Inputs!#REF!)*Inputs!#REF!)),5)*IF(Inputs!#REF!=1,0,1)</f>
        <v>#REF!</v>
      </c>
      <c r="CV137" s="6" t="e" cm="1">
        <f t="array" ref="CV137">ROUND(-IF(CV2&gt;Inputs!#REF!,0,SUMPRODUCT((CV$2&gt;Inputs!#REF!)*(CV$2&lt;Inputs!#REF!)*Inputs!#REF!)),5)*IF(Inputs!#REF!=1,0,1)</f>
        <v>#REF!</v>
      </c>
      <c r="CW137" s="6" t="e" cm="1">
        <f t="array" ref="CW137">ROUND(-IF(CW2&gt;Inputs!#REF!,0,SUMPRODUCT((CW$2&gt;Inputs!#REF!)*(CW$2&lt;Inputs!#REF!)*Inputs!#REF!)),5)*IF(Inputs!#REF!=1,0,1)</f>
        <v>#REF!</v>
      </c>
      <c r="CX137" s="6" t="e" cm="1">
        <f t="array" ref="CX137">ROUND(-IF(CX2&gt;Inputs!#REF!,0,SUMPRODUCT((CX$2&gt;Inputs!#REF!)*(CX$2&lt;Inputs!#REF!)*Inputs!#REF!)),5)*IF(Inputs!#REF!=1,0,1)</f>
        <v>#REF!</v>
      </c>
      <c r="CY137" s="6" t="e" cm="1">
        <f t="array" ref="CY137">ROUND(-IF(CY2&gt;Inputs!#REF!,0,SUMPRODUCT((CY$2&gt;Inputs!#REF!)*(CY$2&lt;Inputs!#REF!)*Inputs!#REF!)),5)*IF(Inputs!#REF!=1,0,1)</f>
        <v>#REF!</v>
      </c>
      <c r="CZ137" s="6" t="e" cm="1">
        <f t="array" ref="CZ137">ROUND(-IF(CZ2&gt;Inputs!#REF!,0,SUMPRODUCT((CZ$2&gt;Inputs!#REF!)*(CZ$2&lt;Inputs!#REF!)*Inputs!#REF!)),5)*IF(Inputs!#REF!=1,0,1)</f>
        <v>#REF!</v>
      </c>
      <c r="DA137" s="6" t="e" cm="1">
        <f t="array" ref="DA137">ROUND(-IF(DA2&gt;Inputs!#REF!,0,SUMPRODUCT((DA$2&gt;Inputs!#REF!)*(DA$2&lt;Inputs!#REF!)*Inputs!#REF!)),5)*IF(Inputs!#REF!=1,0,1)</f>
        <v>#REF!</v>
      </c>
      <c r="DB137" s="6" t="e" cm="1">
        <f t="array" ref="DB137">ROUND(-IF(DB2&gt;Inputs!#REF!,0,SUMPRODUCT((DB$2&gt;Inputs!#REF!)*(DB$2&lt;Inputs!#REF!)*Inputs!#REF!)),5)*IF(Inputs!#REF!=1,0,1)</f>
        <v>#REF!</v>
      </c>
      <c r="DC137" s="6" t="e" cm="1">
        <f t="array" ref="DC137">ROUND(-IF(DC2&gt;Inputs!#REF!,0,SUMPRODUCT((DC$2&gt;Inputs!#REF!)*(DC$2&lt;Inputs!#REF!)*Inputs!#REF!)),5)*IF(Inputs!#REF!=1,0,1)</f>
        <v>#REF!</v>
      </c>
      <c r="DD137" s="6" t="e" cm="1">
        <f t="array" ref="DD137">ROUND(-IF(DD2&gt;Inputs!#REF!,0,SUMPRODUCT((DD$2&gt;Inputs!#REF!)*(DD$2&lt;Inputs!#REF!)*Inputs!#REF!)),5)*IF(Inputs!#REF!=1,0,1)</f>
        <v>#REF!</v>
      </c>
      <c r="DE137" s="6" t="e" cm="1">
        <f t="array" ref="DE137">ROUND(-IF(DE2&gt;Inputs!#REF!,0,SUMPRODUCT((DE$2&gt;Inputs!#REF!)*(DE$2&lt;Inputs!#REF!)*Inputs!#REF!)),5)*IF(Inputs!#REF!=1,0,1)</f>
        <v>#REF!</v>
      </c>
      <c r="DF137" s="6" t="e" cm="1">
        <f t="array" ref="DF137">ROUND(-IF(DF2&gt;Inputs!#REF!,0,SUMPRODUCT((DF$2&gt;Inputs!#REF!)*(DF$2&lt;Inputs!#REF!)*Inputs!#REF!)),5)*IF(Inputs!#REF!=1,0,1)</f>
        <v>#REF!</v>
      </c>
      <c r="DG137" s="6" t="e" cm="1">
        <f t="array" ref="DG137">ROUND(-IF(DG2&gt;Inputs!#REF!,0,SUMPRODUCT((DG$2&gt;Inputs!#REF!)*(DG$2&lt;Inputs!#REF!)*Inputs!#REF!)),5)*IF(Inputs!#REF!=1,0,1)</f>
        <v>#REF!</v>
      </c>
      <c r="DH137" s="6" t="e" cm="1">
        <f t="array" ref="DH137">ROUND(-IF(DH2&gt;Inputs!#REF!,0,SUMPRODUCT((DH$2&gt;Inputs!#REF!)*(DH$2&lt;Inputs!#REF!)*Inputs!#REF!)),5)*IF(Inputs!#REF!=1,0,1)</f>
        <v>#REF!</v>
      </c>
      <c r="DI137" s="6" t="e" cm="1">
        <f t="array" ref="DI137">ROUND(-IF(DI2&gt;Inputs!#REF!,0,SUMPRODUCT((DI$2&gt;Inputs!#REF!)*(DI$2&lt;Inputs!#REF!)*Inputs!#REF!)),5)*IF(Inputs!#REF!=1,0,1)</f>
        <v>#REF!</v>
      </c>
      <c r="DJ137" s="6" t="e" cm="1">
        <f t="array" ref="DJ137">ROUND(-IF(DJ2&gt;Inputs!#REF!,0,SUMPRODUCT((DJ$2&gt;Inputs!#REF!)*(DJ$2&lt;Inputs!#REF!)*Inputs!#REF!)),5)*IF(Inputs!#REF!=1,0,1)</f>
        <v>#REF!</v>
      </c>
      <c r="DK137" s="6" t="e" cm="1">
        <f t="array" ref="DK137">ROUND(-IF(DK2&gt;Inputs!#REF!,0,SUMPRODUCT((DK$2&gt;Inputs!#REF!)*(DK$2&lt;Inputs!#REF!)*Inputs!#REF!)),5)*IF(Inputs!#REF!=1,0,1)</f>
        <v>#REF!</v>
      </c>
      <c r="DL137" s="6" t="e" cm="1">
        <f t="array" ref="DL137">ROUND(-IF(DL2&gt;Inputs!#REF!,0,SUMPRODUCT((DL$2&gt;Inputs!#REF!)*(DL$2&lt;Inputs!#REF!)*Inputs!#REF!)),5)*IF(Inputs!#REF!=1,0,1)</f>
        <v>#REF!</v>
      </c>
      <c r="DM137" s="6" t="e" cm="1">
        <f t="array" ref="DM137">ROUND(-IF(DM2&gt;Inputs!#REF!,0,SUMPRODUCT((DM$2&gt;Inputs!#REF!)*(DM$2&lt;Inputs!#REF!)*Inputs!#REF!)),5)*IF(Inputs!#REF!=1,0,1)</f>
        <v>#REF!</v>
      </c>
      <c r="DN137" s="6" t="e" cm="1">
        <f t="array" ref="DN137">ROUND(-IF(DN2&gt;Inputs!#REF!,0,SUMPRODUCT((DN$2&gt;Inputs!#REF!)*(DN$2&lt;Inputs!#REF!)*Inputs!#REF!)),5)*IF(Inputs!#REF!=1,0,1)</f>
        <v>#REF!</v>
      </c>
      <c r="DO137" s="6" t="e" cm="1">
        <f t="array" ref="DO137">ROUND(-IF(DO2&gt;Inputs!#REF!,0,SUMPRODUCT((DO$2&gt;Inputs!#REF!)*(DO$2&lt;Inputs!#REF!)*Inputs!#REF!)),5)*IF(Inputs!#REF!=1,0,1)</f>
        <v>#REF!</v>
      </c>
      <c r="DP137" s="6" t="e" cm="1">
        <f t="array" ref="DP137">ROUND(-IF(DP2&gt;Inputs!#REF!,0,SUMPRODUCT((DP$2&gt;Inputs!#REF!)*(DP$2&lt;Inputs!#REF!)*Inputs!#REF!)),5)*IF(Inputs!#REF!=1,0,1)</f>
        <v>#REF!</v>
      </c>
      <c r="DQ137" s="6" t="e" cm="1">
        <f t="array" ref="DQ137">ROUND(-IF(DQ2&gt;Inputs!#REF!,0,SUMPRODUCT((DQ$2&gt;Inputs!#REF!)*(DQ$2&lt;Inputs!#REF!)*Inputs!#REF!)),5)*IF(Inputs!#REF!=1,0,1)</f>
        <v>#REF!</v>
      </c>
      <c r="DR137" s="6" t="e" cm="1">
        <f t="array" ref="DR137">ROUND(-IF(DR2&gt;Inputs!#REF!,0,SUMPRODUCT((DR$2&gt;Inputs!#REF!)*(DR$2&lt;Inputs!#REF!)*Inputs!#REF!)),5)*IF(Inputs!#REF!=1,0,1)</f>
        <v>#REF!</v>
      </c>
      <c r="DS137" s="6" t="e" cm="1">
        <f t="array" ref="DS137">ROUND(-IF(DS2&gt;Inputs!#REF!,0,SUMPRODUCT((DS$2&gt;Inputs!#REF!)*(DS$2&lt;Inputs!#REF!)*Inputs!#REF!)),5)*IF(Inputs!#REF!=1,0,1)</f>
        <v>#REF!</v>
      </c>
      <c r="DT137" s="6" t="e" cm="1">
        <f t="array" ref="DT137">ROUND(-IF(DT2&gt;Inputs!#REF!,0,SUMPRODUCT((DT$2&gt;Inputs!#REF!)*(DT$2&lt;Inputs!#REF!)*Inputs!#REF!)),5)*IF(Inputs!#REF!=1,0,1)</f>
        <v>#REF!</v>
      </c>
      <c r="DU137" s="6" t="e" cm="1">
        <f t="array" ref="DU137">ROUND(-IF(DU2&gt;Inputs!#REF!,0,SUMPRODUCT((DU$2&gt;Inputs!#REF!)*(DU$2&lt;Inputs!#REF!)*Inputs!#REF!)),5)*IF(Inputs!#REF!=1,0,1)</f>
        <v>#REF!</v>
      </c>
      <c r="DV137" s="6" t="e" cm="1">
        <f t="array" ref="DV137">ROUND(-IF(DV2&gt;Inputs!#REF!,0,SUMPRODUCT((DV$2&gt;Inputs!#REF!)*(DV$2&lt;Inputs!#REF!)*Inputs!#REF!)),5)*IF(Inputs!#REF!=1,0,1)</f>
        <v>#REF!</v>
      </c>
      <c r="DW137" s="6" t="e" cm="1">
        <f t="array" ref="DW137">ROUND(-IF(DW2&gt;Inputs!#REF!,0,SUMPRODUCT((DW$2&gt;Inputs!#REF!)*(DW$2&lt;Inputs!#REF!)*Inputs!#REF!)),5)*IF(Inputs!#REF!=1,0,1)</f>
        <v>#REF!</v>
      </c>
      <c r="DX137" s="6" t="e" cm="1">
        <f t="array" ref="DX137">ROUND(-IF(DX2&gt;Inputs!#REF!,0,SUMPRODUCT((DX$2&gt;Inputs!#REF!)*(DX$2&lt;Inputs!#REF!)*Inputs!#REF!)),5)*IF(Inputs!#REF!=1,0,1)</f>
        <v>#REF!</v>
      </c>
      <c r="DY137" s="6" t="e" cm="1">
        <f t="array" ref="DY137">ROUND(-IF(DY2&gt;Inputs!#REF!,0,SUMPRODUCT((DY$2&gt;Inputs!#REF!)*(DY$2&lt;Inputs!#REF!)*Inputs!#REF!)),5)*IF(Inputs!#REF!=1,0,1)</f>
        <v>#REF!</v>
      </c>
      <c r="DZ137" s="6" t="e" cm="1">
        <f t="array" ref="DZ137">ROUND(-IF(DZ2&gt;Inputs!#REF!,0,SUMPRODUCT((DZ$2&gt;Inputs!#REF!)*(DZ$2&lt;Inputs!#REF!)*Inputs!#REF!)),5)*IF(Inputs!#REF!=1,0,1)</f>
        <v>#REF!</v>
      </c>
      <c r="EA137" s="6" t="e" cm="1">
        <f t="array" ref="EA137">ROUND(-IF(EA2&gt;Inputs!#REF!,0,SUMPRODUCT((EA$2&gt;Inputs!#REF!)*(EA$2&lt;Inputs!#REF!)*Inputs!#REF!)),5)*IF(Inputs!#REF!=1,0,1)</f>
        <v>#REF!</v>
      </c>
      <c r="EB137" s="6" t="e" cm="1">
        <f t="array" ref="EB137">ROUND(-IF(EB2&gt;Inputs!#REF!,0,SUMPRODUCT((EB$2&gt;Inputs!#REF!)*(EB$2&lt;Inputs!#REF!)*Inputs!#REF!)),5)*IF(Inputs!#REF!=1,0,1)</f>
        <v>#REF!</v>
      </c>
      <c r="EC137" s="6" t="e" cm="1">
        <f t="array" ref="EC137">ROUND(-IF(EC2&gt;Inputs!#REF!,0,SUMPRODUCT((EC$2&gt;Inputs!#REF!)*(EC$2&lt;Inputs!#REF!)*Inputs!#REF!)),5)*IF(Inputs!#REF!=1,0,1)</f>
        <v>#REF!</v>
      </c>
      <c r="ED137" s="6" t="e" cm="1">
        <f t="array" ref="ED137">ROUND(-IF(ED2&gt;Inputs!#REF!,0,SUMPRODUCT((ED$2&gt;Inputs!#REF!)*(ED$2&lt;Inputs!#REF!)*Inputs!#REF!)),5)*IF(Inputs!#REF!=1,0,1)</f>
        <v>#REF!</v>
      </c>
      <c r="EE137" s="6" t="e" cm="1">
        <f t="array" ref="EE137">ROUND(-IF(EE2&gt;Inputs!#REF!,0,SUMPRODUCT((EE$2&gt;Inputs!#REF!)*(EE$2&lt;Inputs!#REF!)*Inputs!#REF!)),5)*IF(Inputs!#REF!=1,0,1)</f>
        <v>#REF!</v>
      </c>
      <c r="EF137" s="6" t="e" cm="1">
        <f t="array" ref="EF137">ROUND(-IF(EF2&gt;Inputs!#REF!,0,SUMPRODUCT((EF$2&gt;Inputs!#REF!)*(EF$2&lt;Inputs!#REF!)*Inputs!#REF!)),5)*IF(Inputs!#REF!=1,0,1)</f>
        <v>#REF!</v>
      </c>
      <c r="EG137" s="6" t="e" cm="1">
        <f t="array" ref="EG137">ROUND(-IF(EG2&gt;Inputs!#REF!,0,SUMPRODUCT((EG$2&gt;Inputs!#REF!)*(EG$2&lt;Inputs!#REF!)*Inputs!#REF!)),5)*IF(Inputs!#REF!=1,0,1)</f>
        <v>#REF!</v>
      </c>
      <c r="EH137" s="6" t="e" cm="1">
        <f t="array" ref="EH137">ROUND(-IF(EH2&gt;Inputs!#REF!,0,SUMPRODUCT((EH$2&gt;Inputs!#REF!)*(EH$2&lt;Inputs!#REF!)*Inputs!#REF!)),5)*IF(Inputs!#REF!=1,0,1)</f>
        <v>#REF!</v>
      </c>
      <c r="EI137" s="6" t="e" cm="1">
        <f t="array" ref="EI137">ROUND(-IF(EI2&gt;Inputs!#REF!,0,SUMPRODUCT((EI$2&gt;Inputs!#REF!)*(EI$2&lt;Inputs!#REF!)*Inputs!#REF!)),5)*IF(Inputs!#REF!=1,0,1)</f>
        <v>#REF!</v>
      </c>
      <c r="EJ137" s="6" t="e" cm="1">
        <f t="array" ref="EJ137">ROUND(-IF(EJ2&gt;Inputs!#REF!,0,SUMPRODUCT((EJ$2&gt;Inputs!#REF!)*(EJ$2&lt;Inputs!#REF!)*Inputs!#REF!)),5)*IF(Inputs!#REF!=1,0,1)</f>
        <v>#REF!</v>
      </c>
      <c r="EK137" s="6" t="e" cm="1">
        <f t="array" ref="EK137">ROUND(-IF(EK2&gt;Inputs!#REF!,0,SUMPRODUCT((EK$2&gt;Inputs!#REF!)*(EK$2&lt;Inputs!#REF!)*Inputs!#REF!)),5)*IF(Inputs!#REF!=1,0,1)</f>
        <v>#REF!</v>
      </c>
      <c r="EL137" s="6" t="e" cm="1">
        <f t="array" ref="EL137">ROUND(-IF(EL2&gt;Inputs!#REF!,0,SUMPRODUCT((EL$2&gt;Inputs!#REF!)*(EL$2&lt;Inputs!#REF!)*Inputs!#REF!)),5)*IF(Inputs!#REF!=1,0,1)</f>
        <v>#REF!</v>
      </c>
      <c r="EM137" s="6" t="e" cm="1">
        <f t="array" ref="EM137">ROUND(-IF(EM2&gt;Inputs!#REF!,0,SUMPRODUCT((EM$2&gt;Inputs!#REF!)*(EM$2&lt;Inputs!#REF!)*Inputs!#REF!)),5)*IF(Inputs!#REF!=1,0,1)</f>
        <v>#REF!</v>
      </c>
      <c r="EN137" s="6" t="e" cm="1">
        <f t="array" ref="EN137">ROUND(-IF(EN2&gt;Inputs!#REF!,0,SUMPRODUCT((EN$2&gt;Inputs!#REF!)*(EN$2&lt;Inputs!#REF!)*Inputs!#REF!)),5)*IF(Inputs!#REF!=1,0,1)</f>
        <v>#REF!</v>
      </c>
      <c r="EO137" s="6" t="e" cm="1">
        <f t="array" ref="EO137">ROUND(-IF(EO2&gt;Inputs!#REF!,0,SUMPRODUCT((EO$2&gt;Inputs!#REF!)*(EO$2&lt;Inputs!#REF!)*Inputs!#REF!)),5)*IF(Inputs!#REF!=1,0,1)</f>
        <v>#REF!</v>
      </c>
      <c r="EP137" s="6" t="e" cm="1">
        <f t="array" ref="EP137">ROUND(-IF(EP2&gt;Inputs!#REF!,0,SUMPRODUCT((EP$2&gt;Inputs!#REF!)*(EP$2&lt;Inputs!#REF!)*Inputs!#REF!)),5)*IF(Inputs!#REF!=1,0,1)</f>
        <v>#REF!</v>
      </c>
      <c r="EQ137" s="6" t="e" cm="1">
        <f t="array" ref="EQ137">ROUND(-IF(EQ2&gt;Inputs!#REF!,0,SUMPRODUCT((EQ$2&gt;Inputs!#REF!)*(EQ$2&lt;Inputs!#REF!)*Inputs!#REF!)),5)*IF(Inputs!#REF!=1,0,1)</f>
        <v>#REF!</v>
      </c>
      <c r="ER137" s="6" t="e" cm="1">
        <f t="array" ref="ER137">ROUND(-IF(ER2&gt;Inputs!#REF!,0,SUMPRODUCT((ER$2&gt;Inputs!#REF!)*(ER$2&lt;Inputs!#REF!)*Inputs!#REF!)),5)*IF(Inputs!#REF!=1,0,1)</f>
        <v>#REF!</v>
      </c>
      <c r="ES137" s="6" t="e" cm="1">
        <f t="array" ref="ES137">ROUND(-IF(ES2&gt;Inputs!#REF!,0,SUMPRODUCT((ES$2&gt;Inputs!#REF!)*(ES$2&lt;Inputs!#REF!)*Inputs!#REF!)),5)*IF(Inputs!#REF!=1,0,1)</f>
        <v>#REF!</v>
      </c>
      <c r="ET137" s="6" t="e" cm="1">
        <f t="array" ref="ET137">ROUND(-IF(ET2&gt;Inputs!#REF!,0,SUMPRODUCT((ET$2&gt;Inputs!#REF!)*(ET$2&lt;Inputs!#REF!)*Inputs!#REF!)),5)*IF(Inputs!#REF!=1,0,1)</f>
        <v>#REF!</v>
      </c>
      <c r="EU137" s="6" t="e" cm="1">
        <f t="array" ref="EU137">ROUND(-IF(EU2&gt;Inputs!#REF!,0,SUMPRODUCT((EU$2&gt;Inputs!#REF!)*(EU$2&lt;Inputs!#REF!)*Inputs!#REF!)),5)*IF(Inputs!#REF!=1,0,1)</f>
        <v>#REF!</v>
      </c>
      <c r="EV137" s="6" t="e" cm="1">
        <f t="array" ref="EV137">ROUND(-IF(EV2&gt;Inputs!#REF!,0,SUMPRODUCT((EV$2&gt;Inputs!#REF!)*(EV$2&lt;Inputs!#REF!)*Inputs!#REF!)),5)*IF(Inputs!#REF!=1,0,1)</f>
        <v>#REF!</v>
      </c>
      <c r="EW137" s="6" t="e" cm="1">
        <f t="array" ref="EW137">ROUND(-IF(EW2&gt;Inputs!#REF!,0,SUMPRODUCT((EW$2&gt;Inputs!#REF!)*(EW$2&lt;Inputs!#REF!)*Inputs!#REF!)),5)*IF(Inputs!#REF!=1,0,1)</f>
        <v>#REF!</v>
      </c>
      <c r="EX137" s="6" t="e" cm="1">
        <f t="array" ref="EX137">ROUND(-IF(EX2&gt;Inputs!#REF!,0,SUMPRODUCT((EX$2&gt;Inputs!#REF!)*(EX$2&lt;Inputs!#REF!)*Inputs!#REF!)),5)*IF(Inputs!#REF!=1,0,1)</f>
        <v>#REF!</v>
      </c>
      <c r="EY137" s="6" t="e" cm="1">
        <f t="array" ref="EY137">ROUND(-IF(EY2&gt;Inputs!#REF!,0,SUMPRODUCT((EY$2&gt;Inputs!#REF!)*(EY$2&lt;Inputs!#REF!)*Inputs!#REF!)),5)*IF(Inputs!#REF!=1,0,1)</f>
        <v>#REF!</v>
      </c>
      <c r="EZ137" s="6" t="e" cm="1">
        <f t="array" ref="EZ137">ROUND(-IF(EZ2&gt;Inputs!#REF!,0,SUMPRODUCT((EZ$2&gt;Inputs!#REF!)*(EZ$2&lt;Inputs!#REF!)*Inputs!#REF!)),5)*IF(Inputs!#REF!=1,0,1)</f>
        <v>#REF!</v>
      </c>
      <c r="FA137" s="6" t="e" cm="1">
        <f t="array" ref="FA137">ROUND(-IF(FA2&gt;Inputs!#REF!,0,SUMPRODUCT((FA$2&gt;Inputs!#REF!)*(FA$2&lt;Inputs!#REF!)*Inputs!#REF!)),5)*IF(Inputs!#REF!=1,0,1)</f>
        <v>#REF!</v>
      </c>
      <c r="FB137" s="6" t="e" cm="1">
        <f t="array" ref="FB137">ROUND(-IF(FB2&gt;Inputs!#REF!,0,SUMPRODUCT((FB$2&gt;Inputs!#REF!)*(FB$2&lt;Inputs!#REF!)*Inputs!#REF!)),5)*IF(Inputs!#REF!=1,0,1)</f>
        <v>#REF!</v>
      </c>
      <c r="FC137" s="6" t="e" cm="1">
        <f t="array" ref="FC137">ROUND(-IF(FC2&gt;Inputs!#REF!,0,SUMPRODUCT((FC$2&gt;Inputs!#REF!)*(FC$2&lt;Inputs!#REF!)*Inputs!#REF!)),5)*IF(Inputs!#REF!=1,0,1)</f>
        <v>#REF!</v>
      </c>
      <c r="FD137" s="6" t="e" cm="1">
        <f t="array" ref="FD137">ROUND(-IF(FD2&gt;Inputs!#REF!,0,SUMPRODUCT((FD$2&gt;Inputs!#REF!)*(FD$2&lt;Inputs!#REF!)*Inputs!#REF!)),5)*IF(Inputs!#REF!=1,0,1)</f>
        <v>#REF!</v>
      </c>
      <c r="FE137" s="6" t="e" cm="1">
        <f t="array" ref="FE137">ROUND(-IF(FE2&gt;Inputs!#REF!,0,SUMPRODUCT((FE$2&gt;Inputs!#REF!)*(FE$2&lt;Inputs!#REF!)*Inputs!#REF!)),5)*IF(Inputs!#REF!=1,0,1)</f>
        <v>#REF!</v>
      </c>
      <c r="FF137" s="6" t="e" cm="1">
        <f t="array" ref="FF137">ROUND(-IF(FF2&gt;Inputs!#REF!,0,SUMPRODUCT((FF$2&gt;Inputs!#REF!)*(FF$2&lt;Inputs!#REF!)*Inputs!#REF!)),5)*IF(Inputs!#REF!=1,0,1)</f>
        <v>#REF!</v>
      </c>
      <c r="FG137" s="6" t="e" cm="1">
        <f t="array" ref="FG137">ROUND(-IF(FG2&gt;Inputs!#REF!,0,SUMPRODUCT((FG$2&gt;Inputs!#REF!)*(FG$2&lt;Inputs!#REF!)*Inputs!#REF!)),5)*IF(Inputs!#REF!=1,0,1)</f>
        <v>#REF!</v>
      </c>
      <c r="FH137" s="6" t="e" cm="1">
        <f t="array" ref="FH137">ROUND(-IF(FH2&gt;Inputs!#REF!,0,SUMPRODUCT((FH$2&gt;Inputs!#REF!)*(FH$2&lt;Inputs!#REF!)*Inputs!#REF!)),5)*IF(Inputs!#REF!=1,0,1)</f>
        <v>#REF!</v>
      </c>
      <c r="FI137" s="6" t="e" cm="1">
        <f t="array" ref="FI137">ROUND(-IF(FI2&gt;Inputs!#REF!,0,SUMPRODUCT((FI$2&gt;Inputs!#REF!)*(FI$2&lt;Inputs!#REF!)*Inputs!#REF!)),5)*IF(Inputs!#REF!=1,0,1)</f>
        <v>#REF!</v>
      </c>
      <c r="FJ137" s="6" t="e" cm="1">
        <f t="array" ref="FJ137">ROUND(-IF(FJ2&gt;Inputs!#REF!,0,SUMPRODUCT((FJ$2&gt;Inputs!#REF!)*(FJ$2&lt;Inputs!#REF!)*Inputs!#REF!)),5)*IF(Inputs!#REF!=1,0,1)</f>
        <v>#REF!</v>
      </c>
      <c r="FK137" s="6" t="e" cm="1">
        <f t="array" ref="FK137">ROUND(-IF(FK2&gt;Inputs!#REF!,0,SUMPRODUCT((FK$2&gt;Inputs!#REF!)*(FK$2&lt;Inputs!#REF!)*Inputs!#REF!)),5)*IF(Inputs!#REF!=1,0,1)</f>
        <v>#REF!</v>
      </c>
      <c r="FL137" s="6" t="e" cm="1">
        <f t="array" ref="FL137">ROUND(-IF(FL2&gt;Inputs!#REF!,0,SUMPRODUCT((FL$2&gt;Inputs!#REF!)*(FL$2&lt;Inputs!#REF!)*Inputs!#REF!)),5)*IF(Inputs!#REF!=1,0,1)</f>
        <v>#REF!</v>
      </c>
      <c r="FM137" s="6" t="e" cm="1">
        <f t="array" ref="FM137">ROUND(-IF(FM2&gt;Inputs!#REF!,0,SUMPRODUCT((FM$2&gt;Inputs!#REF!)*(FM$2&lt;Inputs!#REF!)*Inputs!#REF!)),5)*IF(Inputs!#REF!=1,0,1)</f>
        <v>#REF!</v>
      </c>
      <c r="FN137" s="6" t="e" cm="1">
        <f t="array" ref="FN137">ROUND(-IF(FN2&gt;Inputs!#REF!,0,SUMPRODUCT((FN$2&gt;Inputs!#REF!)*(FN$2&lt;Inputs!#REF!)*Inputs!#REF!)),5)*IF(Inputs!#REF!=1,0,1)</f>
        <v>#REF!</v>
      </c>
      <c r="FO137" s="6" t="e" cm="1">
        <f t="array" ref="FO137">ROUND(-IF(FO2&gt;Inputs!#REF!,0,SUMPRODUCT((FO$2&gt;Inputs!#REF!)*(FO$2&lt;Inputs!#REF!)*Inputs!#REF!)),5)*IF(Inputs!#REF!=1,0,1)</f>
        <v>#REF!</v>
      </c>
      <c r="FP137" s="6" t="e" cm="1">
        <f t="array" ref="FP137">ROUND(-IF(FP2&gt;Inputs!#REF!,0,SUMPRODUCT((FP$2&gt;Inputs!#REF!)*(FP$2&lt;Inputs!#REF!)*Inputs!#REF!)),5)*IF(Inputs!#REF!=1,0,1)</f>
        <v>#REF!</v>
      </c>
      <c r="FQ137" s="6" t="e" cm="1">
        <f t="array" ref="FQ137">ROUND(-IF(FQ2&gt;Inputs!#REF!,0,SUMPRODUCT((FQ$2&gt;Inputs!#REF!)*(FQ$2&lt;Inputs!#REF!)*Inputs!#REF!)),5)*IF(Inputs!#REF!=1,0,1)</f>
        <v>#REF!</v>
      </c>
      <c r="FR137" s="6" t="e" cm="1">
        <f t="array" ref="FR137">ROUND(-IF(FR2&gt;Inputs!#REF!,0,SUMPRODUCT((FR$2&gt;Inputs!#REF!)*(FR$2&lt;Inputs!#REF!)*Inputs!#REF!)),5)*IF(Inputs!#REF!=1,0,1)</f>
        <v>#REF!</v>
      </c>
      <c r="FS137" s="6" t="e" cm="1">
        <f t="array" ref="FS137">ROUND(-IF(FS2&gt;Inputs!#REF!,0,SUMPRODUCT((FS$2&gt;Inputs!#REF!)*(FS$2&lt;Inputs!#REF!)*Inputs!#REF!)),5)*IF(Inputs!#REF!=1,0,1)</f>
        <v>#REF!</v>
      </c>
      <c r="FT137" s="6" t="e" cm="1">
        <f t="array" ref="FT137">ROUND(-IF(FT2&gt;Inputs!#REF!,0,SUMPRODUCT((FT$2&gt;Inputs!#REF!)*(FT$2&lt;Inputs!#REF!)*Inputs!#REF!)),5)*IF(Inputs!#REF!=1,0,1)</f>
        <v>#REF!</v>
      </c>
      <c r="FU137" s="6" t="e" cm="1">
        <f t="array" ref="FU137">ROUND(-IF(FU2&gt;Inputs!#REF!,0,SUMPRODUCT((FU$2&gt;Inputs!#REF!)*(FU$2&lt;Inputs!#REF!)*Inputs!#REF!)),5)*IF(Inputs!#REF!=1,0,1)</f>
        <v>#REF!</v>
      </c>
      <c r="FV137" s="6" t="e" cm="1">
        <f t="array" ref="FV137">ROUND(-IF(FV2&gt;Inputs!#REF!,0,SUMPRODUCT((FV$2&gt;Inputs!#REF!)*(FV$2&lt;Inputs!#REF!)*Inputs!#REF!)),5)*IF(Inputs!#REF!=1,0,1)</f>
        <v>#REF!</v>
      </c>
      <c r="FW137" s="6" t="e" cm="1">
        <f t="array" ref="FW137">ROUND(-IF(FW2&gt;Inputs!#REF!,0,SUMPRODUCT((FW$2&gt;Inputs!#REF!)*(FW$2&lt;Inputs!#REF!)*Inputs!#REF!)),5)*IF(Inputs!#REF!=1,0,1)</f>
        <v>#REF!</v>
      </c>
      <c r="FX137" s="6" t="e" cm="1">
        <f t="array" ref="FX137">ROUND(-IF(FX2&gt;Inputs!#REF!,0,SUMPRODUCT((FX$2&gt;Inputs!#REF!)*(FX$2&lt;Inputs!#REF!)*Inputs!#REF!)),5)*IF(Inputs!#REF!=1,0,1)</f>
        <v>#REF!</v>
      </c>
      <c r="FY137" s="6" t="e" cm="1">
        <f t="array" ref="FY137">ROUND(-IF(FY2&gt;Inputs!#REF!,0,SUMPRODUCT((FY$2&gt;Inputs!#REF!)*(FY$2&lt;Inputs!#REF!)*Inputs!#REF!)),5)*IF(Inputs!#REF!=1,0,1)</f>
        <v>#REF!</v>
      </c>
      <c r="FZ137" s="6" t="e" cm="1">
        <f t="array" ref="FZ137">ROUND(-IF(FZ2&gt;Inputs!#REF!,0,SUMPRODUCT((FZ$2&gt;Inputs!#REF!)*(FZ$2&lt;Inputs!#REF!)*Inputs!#REF!)),5)*IF(Inputs!#REF!=1,0,1)</f>
        <v>#REF!</v>
      </c>
      <c r="GA137" s="6" t="e" cm="1">
        <f t="array" ref="GA137">ROUND(-IF(GA2&gt;Inputs!#REF!,0,SUMPRODUCT((GA$2&gt;Inputs!#REF!)*(GA$2&lt;Inputs!#REF!)*Inputs!#REF!)),5)*IF(Inputs!#REF!=1,0,1)</f>
        <v>#REF!</v>
      </c>
      <c r="GB137" s="6" t="e" cm="1">
        <f t="array" ref="GB137">ROUND(-IF(GB2&gt;Inputs!#REF!,0,SUMPRODUCT((GB$2&gt;Inputs!#REF!)*(GB$2&lt;Inputs!#REF!)*Inputs!#REF!)),5)*IF(Inputs!#REF!=1,0,1)</f>
        <v>#REF!</v>
      </c>
      <c r="GC137" s="6" t="e" cm="1">
        <f t="array" ref="GC137">ROUND(-IF(GC2&gt;Inputs!#REF!,0,SUMPRODUCT((GC$2&gt;Inputs!#REF!)*(GC$2&lt;Inputs!#REF!)*Inputs!#REF!)),5)*IF(Inputs!#REF!=1,0,1)</f>
        <v>#REF!</v>
      </c>
      <c r="GD137" s="6" t="e" cm="1">
        <f t="array" ref="GD137">ROUND(-IF(GD2&gt;Inputs!#REF!,0,SUMPRODUCT((GD$2&gt;Inputs!#REF!)*(GD$2&lt;Inputs!#REF!)*Inputs!#REF!)),5)*IF(Inputs!#REF!=1,0,1)</f>
        <v>#REF!</v>
      </c>
      <c r="GE137" s="6" t="e" cm="1">
        <f t="array" ref="GE137">ROUND(-IF(GE2&gt;Inputs!#REF!,0,SUMPRODUCT((GE$2&gt;Inputs!#REF!)*(GE$2&lt;Inputs!#REF!)*Inputs!#REF!)),5)*IF(Inputs!#REF!=1,0,1)</f>
        <v>#REF!</v>
      </c>
      <c r="GF137" s="6" t="e" cm="1">
        <f t="array" ref="GF137">ROUND(-IF(GF2&gt;Inputs!#REF!,0,SUMPRODUCT((GF$2&gt;Inputs!#REF!)*(GF$2&lt;Inputs!#REF!)*Inputs!#REF!)),5)*IF(Inputs!#REF!=1,0,1)</f>
        <v>#REF!</v>
      </c>
      <c r="GG137" s="6" t="e" cm="1">
        <f t="array" ref="GG137">ROUND(-IF(GG2&gt;Inputs!#REF!,0,SUMPRODUCT((GG$2&gt;Inputs!#REF!)*(GG$2&lt;Inputs!#REF!)*Inputs!#REF!)),5)*IF(Inputs!#REF!=1,0,1)</f>
        <v>#REF!</v>
      </c>
      <c r="GH137" s="6" t="e" cm="1">
        <f t="array" ref="GH137">ROUND(-IF(GH2&gt;Inputs!#REF!,0,SUMPRODUCT((GH$2&gt;Inputs!#REF!)*(GH$2&lt;Inputs!#REF!)*Inputs!#REF!)),5)*IF(Inputs!#REF!=1,0,1)</f>
        <v>#REF!</v>
      </c>
      <c r="GI137" s="6" t="e" cm="1">
        <f t="array" ref="GI137">ROUND(-IF(GI2&gt;Inputs!#REF!,0,SUMPRODUCT((GI$2&gt;Inputs!#REF!)*(GI$2&lt;Inputs!#REF!)*Inputs!#REF!)),5)*IF(Inputs!#REF!=1,0,1)</f>
        <v>#REF!</v>
      </c>
      <c r="GJ137" s="6" t="e" cm="1">
        <f t="array" ref="GJ137">ROUND(-IF(GJ2&gt;Inputs!#REF!,0,SUMPRODUCT((GJ$2&gt;Inputs!#REF!)*(GJ$2&lt;Inputs!#REF!)*Inputs!#REF!)),5)*IF(Inputs!#REF!=1,0,1)</f>
        <v>#REF!</v>
      </c>
      <c r="GK137" s="6" t="e" cm="1">
        <f t="array" ref="GK137">ROUND(-IF(GK2&gt;Inputs!#REF!,0,SUMPRODUCT((GK$2&gt;Inputs!#REF!)*(GK$2&lt;Inputs!#REF!)*Inputs!#REF!)),5)*IF(Inputs!#REF!=1,0,1)</f>
        <v>#REF!</v>
      </c>
      <c r="GL137" s="6" t="e" cm="1">
        <f t="array" ref="GL137">ROUND(-IF(GL2&gt;Inputs!#REF!,0,SUMPRODUCT((GL$2&gt;Inputs!#REF!)*(GL$2&lt;Inputs!#REF!)*Inputs!#REF!)),5)*IF(Inputs!#REF!=1,0,1)</f>
        <v>#REF!</v>
      </c>
      <c r="GM137" s="6" t="e" cm="1">
        <f t="array" ref="GM137">ROUND(-IF(GM2&gt;Inputs!#REF!,0,SUMPRODUCT((GM$2&gt;Inputs!#REF!)*(GM$2&lt;Inputs!#REF!)*Inputs!#REF!)),5)*IF(Inputs!#REF!=1,0,1)</f>
        <v>#REF!</v>
      </c>
      <c r="GN137" s="6" t="e" cm="1">
        <f t="array" ref="GN137">ROUND(-IF(GN2&gt;Inputs!#REF!,0,SUMPRODUCT((GN$2&gt;Inputs!#REF!)*(GN$2&lt;Inputs!#REF!)*Inputs!#REF!)),5)*IF(Inputs!#REF!=1,0,1)</f>
        <v>#REF!</v>
      </c>
      <c r="GO137" s="6" t="e" cm="1">
        <f t="array" ref="GO137">ROUND(-IF(GO2&gt;Inputs!#REF!,0,SUMPRODUCT((GO$2&gt;Inputs!#REF!)*(GO$2&lt;Inputs!#REF!)*Inputs!#REF!)),5)*IF(Inputs!#REF!=1,0,1)</f>
        <v>#REF!</v>
      </c>
      <c r="GP137" s="6" t="e" cm="1">
        <f t="array" ref="GP137">ROUND(-IF(GP2&gt;Inputs!#REF!,0,SUMPRODUCT((GP$2&gt;Inputs!#REF!)*(GP$2&lt;Inputs!#REF!)*Inputs!#REF!)),5)*IF(Inputs!#REF!=1,0,1)</f>
        <v>#REF!</v>
      </c>
      <c r="GQ137" s="6" t="e" cm="1">
        <f t="array" ref="GQ137">ROUND(-IF(GQ2&gt;Inputs!#REF!,0,SUMPRODUCT((GQ$2&gt;Inputs!#REF!)*(GQ$2&lt;Inputs!#REF!)*Inputs!#REF!)),5)*IF(Inputs!#REF!=1,0,1)</f>
        <v>#REF!</v>
      </c>
      <c r="GR137" s="6" t="e" cm="1">
        <f t="array" ref="GR137">ROUND(-IF(GR2&gt;Inputs!#REF!,0,SUMPRODUCT((GR$2&gt;Inputs!#REF!)*(GR$2&lt;Inputs!#REF!)*Inputs!#REF!)),5)*IF(Inputs!#REF!=1,0,1)</f>
        <v>#REF!</v>
      </c>
      <c r="GS137" s="6" t="e" cm="1">
        <f t="array" ref="GS137">ROUND(-IF(GS2&gt;Inputs!#REF!,0,SUMPRODUCT((GS$2&gt;Inputs!#REF!)*(GS$2&lt;Inputs!#REF!)*Inputs!#REF!)),5)*IF(Inputs!#REF!=1,0,1)</f>
        <v>#REF!</v>
      </c>
      <c r="GT137" s="6" t="e" cm="1">
        <f t="array" ref="GT137">ROUND(-IF(GT2&gt;Inputs!#REF!,0,SUMPRODUCT((GT$2&gt;Inputs!#REF!)*(GT$2&lt;Inputs!#REF!)*Inputs!#REF!)),5)*IF(Inputs!#REF!=1,0,1)</f>
        <v>#REF!</v>
      </c>
      <c r="GU137" s="6" t="e" cm="1">
        <f t="array" ref="GU137">ROUND(-IF(GU2&gt;Inputs!#REF!,0,SUMPRODUCT((GU$2&gt;Inputs!#REF!)*(GU$2&lt;Inputs!#REF!)*Inputs!#REF!)),5)*IF(Inputs!#REF!=1,0,1)</f>
        <v>#REF!</v>
      </c>
      <c r="GV137" s="6" t="e" cm="1">
        <f t="array" ref="GV137">ROUND(-IF(GV2&gt;Inputs!#REF!,0,SUMPRODUCT((GV$2&gt;Inputs!#REF!)*(GV$2&lt;Inputs!#REF!)*Inputs!#REF!)),5)*IF(Inputs!#REF!=1,0,1)</f>
        <v>#REF!</v>
      </c>
      <c r="GW137" s="6" t="e" cm="1">
        <f t="array" ref="GW137">ROUND(-IF(GW2&gt;Inputs!#REF!,0,SUMPRODUCT((GW$2&gt;Inputs!#REF!)*(GW$2&lt;Inputs!#REF!)*Inputs!#REF!)),5)*IF(Inputs!#REF!=1,0,1)</f>
        <v>#REF!</v>
      </c>
      <c r="GX137" s="6" t="e" cm="1">
        <f t="array" ref="GX137">ROUND(-IF(GX2&gt;Inputs!#REF!,0,SUMPRODUCT((GX$2&gt;Inputs!#REF!)*(GX$2&lt;Inputs!#REF!)*Inputs!#REF!)),5)*IF(Inputs!#REF!=1,0,1)</f>
        <v>#REF!</v>
      </c>
      <c r="GY137" s="6" t="e" cm="1">
        <f t="array" ref="GY137">ROUND(-IF(GY2&gt;Inputs!#REF!,0,SUMPRODUCT((GY$2&gt;Inputs!#REF!)*(GY$2&lt;Inputs!#REF!)*Inputs!#REF!)),5)*IF(Inputs!#REF!=1,0,1)</f>
        <v>#REF!</v>
      </c>
      <c r="GZ137" s="6" t="e" cm="1">
        <f t="array" ref="GZ137">ROUND(-IF(GZ2&gt;Inputs!#REF!,0,SUMPRODUCT((GZ$2&gt;Inputs!#REF!)*(GZ$2&lt;Inputs!#REF!)*Inputs!#REF!)),5)*IF(Inputs!#REF!=1,0,1)</f>
        <v>#REF!</v>
      </c>
      <c r="HA137" s="6" t="e" cm="1">
        <f t="array" ref="HA137">ROUND(-IF(HA2&gt;Inputs!#REF!,0,SUMPRODUCT((HA$2&gt;Inputs!#REF!)*(HA$2&lt;Inputs!#REF!)*Inputs!#REF!)),5)*IF(Inputs!#REF!=1,0,1)</f>
        <v>#REF!</v>
      </c>
      <c r="HB137" s="6" t="e" cm="1">
        <f t="array" ref="HB137">ROUND(-IF(HB2&gt;Inputs!#REF!,0,SUMPRODUCT((HB$2&gt;Inputs!#REF!)*(HB$2&lt;Inputs!#REF!)*Inputs!#REF!)),5)*IF(Inputs!#REF!=1,0,1)</f>
        <v>#REF!</v>
      </c>
      <c r="HC137" s="6" t="e" cm="1">
        <f t="array" ref="HC137">ROUND(-IF(HC2&gt;Inputs!#REF!,0,SUMPRODUCT((HC$2&gt;Inputs!#REF!)*(HC$2&lt;Inputs!#REF!)*Inputs!#REF!)),5)*IF(Inputs!#REF!=1,0,1)</f>
        <v>#REF!</v>
      </c>
      <c r="HD137" s="6" t="e" cm="1">
        <f t="array" ref="HD137">ROUND(-IF(HD2&gt;Inputs!#REF!,0,SUMPRODUCT((HD$2&gt;Inputs!#REF!)*(HD$2&lt;Inputs!#REF!)*Inputs!#REF!)),5)*IF(Inputs!#REF!=1,0,1)</f>
        <v>#REF!</v>
      </c>
      <c r="HE137" s="6" t="e" cm="1">
        <f t="array" ref="HE137">ROUND(-IF(HE2&gt;Inputs!#REF!,0,SUMPRODUCT((HE$2&gt;Inputs!#REF!)*(HE$2&lt;Inputs!#REF!)*Inputs!#REF!)),5)*IF(Inputs!#REF!=1,0,1)</f>
        <v>#REF!</v>
      </c>
      <c r="HF137" s="6" t="e" cm="1">
        <f t="array" ref="HF137">ROUND(-IF(HF2&gt;Inputs!#REF!,0,SUMPRODUCT((HF$2&gt;Inputs!#REF!)*(HF$2&lt;Inputs!#REF!)*Inputs!#REF!)),5)*IF(Inputs!#REF!=1,0,1)</f>
        <v>#REF!</v>
      </c>
      <c r="HG137" s="6" t="e" cm="1">
        <f t="array" ref="HG137">ROUND(-IF(HG2&gt;Inputs!#REF!,0,SUMPRODUCT((HG$2&gt;Inputs!#REF!)*(HG$2&lt;Inputs!#REF!)*Inputs!#REF!)),5)*IF(Inputs!#REF!=1,0,1)</f>
        <v>#REF!</v>
      </c>
      <c r="HH137" s="6" t="e" cm="1">
        <f t="array" ref="HH137">ROUND(-IF(HH2&gt;Inputs!#REF!,0,SUMPRODUCT((HH$2&gt;Inputs!#REF!)*(HH$2&lt;Inputs!#REF!)*Inputs!#REF!)),5)*IF(Inputs!#REF!=1,0,1)</f>
        <v>#REF!</v>
      </c>
      <c r="HI137" s="6" t="e" cm="1">
        <f t="array" ref="HI137">ROUND(-IF(HI2&gt;Inputs!#REF!,0,SUMPRODUCT((HI$2&gt;Inputs!#REF!)*(HI$2&lt;Inputs!#REF!)*Inputs!#REF!)),5)*IF(Inputs!#REF!=1,0,1)</f>
        <v>#REF!</v>
      </c>
      <c r="HJ137" s="6" t="e" cm="1">
        <f t="array" ref="HJ137">ROUND(-IF(HJ2&gt;Inputs!#REF!,0,SUMPRODUCT((HJ$2&gt;Inputs!#REF!)*(HJ$2&lt;Inputs!#REF!)*Inputs!#REF!)),5)*IF(Inputs!#REF!=1,0,1)</f>
        <v>#REF!</v>
      </c>
      <c r="HK137" s="6" t="e" cm="1">
        <f t="array" ref="HK137">ROUND(-IF(HK2&gt;Inputs!#REF!,0,SUMPRODUCT((HK$2&gt;Inputs!#REF!)*(HK$2&lt;Inputs!#REF!)*Inputs!#REF!)),5)*IF(Inputs!#REF!=1,0,1)</f>
        <v>#REF!</v>
      </c>
      <c r="HL137" s="6" t="e" cm="1">
        <f t="array" ref="HL137">ROUND(-IF(HL2&gt;Inputs!#REF!,0,SUMPRODUCT((HL$2&gt;Inputs!#REF!)*(HL$2&lt;Inputs!#REF!)*Inputs!#REF!)),5)*IF(Inputs!#REF!=1,0,1)</f>
        <v>#REF!</v>
      </c>
      <c r="HM137" s="6" t="e" cm="1">
        <f t="array" ref="HM137">ROUND(-IF(HM2&gt;Inputs!#REF!,0,SUMPRODUCT((HM$2&gt;Inputs!#REF!)*(HM$2&lt;Inputs!#REF!)*Inputs!#REF!)),5)*IF(Inputs!#REF!=1,0,1)</f>
        <v>#REF!</v>
      </c>
      <c r="HN137" s="6" t="e" cm="1">
        <f t="array" ref="HN137">ROUND(-IF(HN2&gt;Inputs!#REF!,0,SUMPRODUCT((HN$2&gt;Inputs!#REF!)*(HN$2&lt;Inputs!#REF!)*Inputs!#REF!)),5)*IF(Inputs!#REF!=1,0,1)</f>
        <v>#REF!</v>
      </c>
      <c r="HO137" s="6" t="e" cm="1">
        <f t="array" ref="HO137">ROUND(-IF(HO2&gt;Inputs!#REF!,0,SUMPRODUCT((HO$2&gt;Inputs!#REF!)*(HO$2&lt;Inputs!#REF!)*Inputs!#REF!)),5)*IF(Inputs!#REF!=1,0,1)</f>
        <v>#REF!</v>
      </c>
      <c r="HP137" s="6" t="e" cm="1">
        <f t="array" ref="HP137">ROUND(-IF(HP2&gt;Inputs!#REF!,0,SUMPRODUCT((HP$2&gt;Inputs!#REF!)*(HP$2&lt;Inputs!#REF!)*Inputs!#REF!)),5)*IF(Inputs!#REF!=1,0,1)</f>
        <v>#REF!</v>
      </c>
      <c r="HQ137" s="6" t="e" cm="1">
        <f t="array" ref="HQ137">ROUND(-IF(HQ2&gt;Inputs!#REF!,0,SUMPRODUCT((HQ$2&gt;Inputs!#REF!)*(HQ$2&lt;Inputs!#REF!)*Inputs!#REF!)),5)*IF(Inputs!#REF!=1,0,1)</f>
        <v>#REF!</v>
      </c>
      <c r="HR137" s="6" t="e" cm="1">
        <f t="array" ref="HR137">ROUND(-IF(HR2&gt;Inputs!#REF!,0,SUMPRODUCT((HR$2&gt;Inputs!#REF!)*(HR$2&lt;Inputs!#REF!)*Inputs!#REF!)),5)*IF(Inputs!#REF!=1,0,1)</f>
        <v>#REF!</v>
      </c>
      <c r="HS137" s="6" t="e" cm="1">
        <f t="array" ref="HS137">ROUND(-IF(HS2&gt;Inputs!#REF!,0,SUMPRODUCT((HS$2&gt;Inputs!#REF!)*(HS$2&lt;Inputs!#REF!)*Inputs!#REF!)),5)*IF(Inputs!#REF!=1,0,1)</f>
        <v>#REF!</v>
      </c>
      <c r="HT137" s="6" t="e" cm="1">
        <f t="array" ref="HT137">ROUND(-IF(HT2&gt;Inputs!#REF!,0,SUMPRODUCT((HT$2&gt;Inputs!#REF!)*(HT$2&lt;Inputs!#REF!)*Inputs!#REF!)),5)*IF(Inputs!#REF!=1,0,1)</f>
        <v>#REF!</v>
      </c>
      <c r="HU137" s="6" t="e" cm="1">
        <f t="array" ref="HU137">ROUND(-IF(HU2&gt;Inputs!#REF!,0,SUMPRODUCT((HU$2&gt;Inputs!#REF!)*(HU$2&lt;Inputs!#REF!)*Inputs!#REF!)),5)*IF(Inputs!#REF!=1,0,1)</f>
        <v>#REF!</v>
      </c>
      <c r="HV137" s="6" t="e" cm="1">
        <f t="array" ref="HV137">ROUND(-IF(HV2&gt;Inputs!#REF!,0,SUMPRODUCT((HV$2&gt;Inputs!#REF!)*(HV$2&lt;Inputs!#REF!)*Inputs!#REF!)),5)*IF(Inputs!#REF!=1,0,1)</f>
        <v>#REF!</v>
      </c>
      <c r="HW137" s="6" t="e" cm="1">
        <f t="array" ref="HW137">ROUND(-IF(HW2&gt;Inputs!#REF!,0,SUMPRODUCT((HW$2&gt;Inputs!#REF!)*(HW$2&lt;Inputs!#REF!)*Inputs!#REF!)),5)*IF(Inputs!#REF!=1,0,1)</f>
        <v>#REF!</v>
      </c>
      <c r="HX137" s="6" t="e" cm="1">
        <f t="array" ref="HX137">ROUND(-IF(HX2&gt;Inputs!#REF!,0,SUMPRODUCT((HX$2&gt;Inputs!#REF!)*(HX$2&lt;Inputs!#REF!)*Inputs!#REF!)),5)*IF(Inputs!#REF!=1,0,1)</f>
        <v>#REF!</v>
      </c>
      <c r="HY137" s="6" t="e" cm="1">
        <f t="array" ref="HY137">ROUND(-IF(HY2&gt;Inputs!#REF!,0,SUMPRODUCT((HY$2&gt;Inputs!#REF!)*(HY$2&lt;Inputs!#REF!)*Inputs!#REF!)),5)*IF(Inputs!#REF!=1,0,1)</f>
        <v>#REF!</v>
      </c>
      <c r="HZ137" s="6" t="e" cm="1">
        <f t="array" ref="HZ137">ROUND(-IF(HZ2&gt;Inputs!#REF!,0,SUMPRODUCT((HZ$2&gt;Inputs!#REF!)*(HZ$2&lt;Inputs!#REF!)*Inputs!#REF!)),5)*IF(Inputs!#REF!=1,0,1)</f>
        <v>#REF!</v>
      </c>
      <c r="IA137" s="6" t="e" cm="1">
        <f t="array" ref="IA137">ROUND(-IF(IA2&gt;Inputs!#REF!,0,SUMPRODUCT((IA$2&gt;Inputs!#REF!)*(IA$2&lt;Inputs!#REF!)*Inputs!#REF!)),5)*IF(Inputs!#REF!=1,0,1)</f>
        <v>#REF!</v>
      </c>
      <c r="IB137" s="6" t="e" cm="1">
        <f t="array" ref="IB137">ROUND(-IF(IB2&gt;Inputs!#REF!,0,SUMPRODUCT((IB$2&gt;Inputs!#REF!)*(IB$2&lt;Inputs!#REF!)*Inputs!#REF!)),5)*IF(Inputs!#REF!=1,0,1)</f>
        <v>#REF!</v>
      </c>
      <c r="IC137" s="6" t="e" cm="1">
        <f t="array" ref="IC137">ROUND(-IF(IC2&gt;Inputs!#REF!,0,SUMPRODUCT((IC$2&gt;Inputs!#REF!)*(IC$2&lt;Inputs!#REF!)*Inputs!#REF!)),5)*IF(Inputs!#REF!=1,0,1)</f>
        <v>#REF!</v>
      </c>
      <c r="ID137" s="6" t="e" cm="1">
        <f t="array" ref="ID137">ROUND(-IF(ID2&gt;Inputs!#REF!,0,SUMPRODUCT((ID$2&gt;Inputs!#REF!)*(ID$2&lt;Inputs!#REF!)*Inputs!#REF!)),5)*IF(Inputs!#REF!=1,0,1)</f>
        <v>#REF!</v>
      </c>
      <c r="IE137" s="6" t="e" cm="1">
        <f t="array" ref="IE137">ROUND(-IF(IE2&gt;Inputs!#REF!,0,SUMPRODUCT((IE$2&gt;Inputs!#REF!)*(IE$2&lt;Inputs!#REF!)*Inputs!#REF!)),5)*IF(Inputs!#REF!=1,0,1)</f>
        <v>#REF!</v>
      </c>
      <c r="IF137" s="6" t="e" cm="1">
        <f t="array" ref="IF137">ROUND(-IF(IF2&gt;Inputs!#REF!,0,SUMPRODUCT((IF$2&gt;Inputs!#REF!)*(IF$2&lt;Inputs!#REF!)*Inputs!#REF!)),5)*IF(Inputs!#REF!=1,0,1)</f>
        <v>#REF!</v>
      </c>
      <c r="IG137" s="6" t="e" cm="1">
        <f t="array" ref="IG137">ROUND(-IF(IG2&gt;Inputs!#REF!,0,SUMPRODUCT((IG$2&gt;Inputs!#REF!)*(IG$2&lt;Inputs!#REF!)*Inputs!#REF!)),5)*IF(Inputs!#REF!=1,0,1)</f>
        <v>#REF!</v>
      </c>
      <c r="IH137" s="6" t="e" cm="1">
        <f t="array" ref="IH137">ROUND(-IF(IH2&gt;Inputs!#REF!,0,SUMPRODUCT((IH$2&gt;Inputs!#REF!)*(IH$2&lt;Inputs!#REF!)*Inputs!#REF!)),5)*IF(Inputs!#REF!=1,0,1)</f>
        <v>#REF!</v>
      </c>
      <c r="II137" s="6" t="e" cm="1">
        <f t="array" ref="II137">ROUND(-IF(II2&gt;Inputs!#REF!,0,SUMPRODUCT((II$2&gt;Inputs!#REF!)*(II$2&lt;Inputs!#REF!)*Inputs!#REF!)),5)*IF(Inputs!#REF!=1,0,1)</f>
        <v>#REF!</v>
      </c>
      <c r="IJ137" s="6" t="e" cm="1">
        <f t="array" ref="IJ137">ROUND(-IF(IJ2&gt;Inputs!#REF!,0,SUMPRODUCT((IJ$2&gt;Inputs!#REF!)*(IJ$2&lt;Inputs!#REF!)*Inputs!#REF!)),5)*IF(Inputs!#REF!=1,0,1)</f>
        <v>#REF!</v>
      </c>
      <c r="IK137" s="6" t="e" cm="1">
        <f t="array" ref="IK137">ROUND(-IF(IK2&gt;Inputs!#REF!,0,SUMPRODUCT((IK$2&gt;Inputs!#REF!)*(IK$2&lt;Inputs!#REF!)*Inputs!#REF!)),5)*IF(Inputs!#REF!=1,0,1)</f>
        <v>#REF!</v>
      </c>
      <c r="IL137" s="6" t="e" cm="1">
        <f t="array" ref="IL137">ROUND(-IF(IL2&gt;Inputs!#REF!,0,SUMPRODUCT((IL$2&gt;Inputs!#REF!)*(IL$2&lt;Inputs!#REF!)*Inputs!#REF!)),5)*IF(Inputs!#REF!=1,0,1)</f>
        <v>#REF!</v>
      </c>
      <c r="IM137" s="6" t="e" cm="1">
        <f t="array" ref="IM137">ROUND(-IF(IM2&gt;Inputs!#REF!,0,SUMPRODUCT((IM$2&gt;Inputs!#REF!)*(IM$2&lt;Inputs!#REF!)*Inputs!#REF!)),5)*IF(Inputs!#REF!=1,0,1)</f>
        <v>#REF!</v>
      </c>
      <c r="IN137" s="6" t="e" cm="1">
        <f t="array" ref="IN137">ROUND(-IF(IN2&gt;Inputs!#REF!,0,SUMPRODUCT((IN$2&gt;Inputs!#REF!)*(IN$2&lt;Inputs!#REF!)*Inputs!#REF!)),5)*IF(Inputs!#REF!=1,0,1)</f>
        <v>#REF!</v>
      </c>
      <c r="IO137" s="6" t="e" cm="1">
        <f t="array" ref="IO137">ROUND(-IF(IO2&gt;Inputs!#REF!,0,SUMPRODUCT((IO$2&gt;Inputs!#REF!)*(IO$2&lt;Inputs!#REF!)*Inputs!#REF!)),5)*IF(Inputs!#REF!=1,0,1)</f>
        <v>#REF!</v>
      </c>
      <c r="IP137" s="6" t="e" cm="1">
        <f t="array" ref="IP137">ROUND(-IF(IP2&gt;Inputs!#REF!,0,SUMPRODUCT((IP$2&gt;Inputs!#REF!)*(IP$2&lt;Inputs!#REF!)*Inputs!#REF!)),5)*IF(Inputs!#REF!=1,0,1)</f>
        <v>#REF!</v>
      </c>
      <c r="IQ137" s="6" t="e" cm="1">
        <f t="array" ref="IQ137">ROUND(-IF(IQ2&gt;Inputs!#REF!,0,SUMPRODUCT((IQ$2&gt;Inputs!#REF!)*(IQ$2&lt;Inputs!#REF!)*Inputs!#REF!)),5)*IF(Inputs!#REF!=1,0,1)</f>
        <v>#REF!</v>
      </c>
      <c r="IR137" s="6" t="e" cm="1">
        <f t="array" ref="IR137">ROUND(-IF(IR2&gt;Inputs!#REF!,0,SUMPRODUCT((IR$2&gt;Inputs!#REF!)*(IR$2&lt;Inputs!#REF!)*Inputs!#REF!)),5)*IF(Inputs!#REF!=1,0,1)</f>
        <v>#REF!</v>
      </c>
      <c r="IS137" s="6" t="e" cm="1">
        <f t="array" ref="IS137">ROUND(-IF(IS2&gt;Inputs!#REF!,0,SUMPRODUCT((IS$2&gt;Inputs!#REF!)*(IS$2&lt;Inputs!#REF!)*Inputs!#REF!)),5)*IF(Inputs!#REF!=1,0,1)</f>
        <v>#REF!</v>
      </c>
      <c r="IT137" s="6" t="e" cm="1">
        <f t="array" ref="IT137">ROUND(-IF(IT2&gt;Inputs!#REF!,0,SUMPRODUCT((IT$2&gt;Inputs!#REF!)*(IT$2&lt;Inputs!#REF!)*Inputs!#REF!)),5)*IF(Inputs!#REF!=1,0,1)</f>
        <v>#REF!</v>
      </c>
      <c r="IU137" s="6" t="e" cm="1">
        <f t="array" ref="IU137">ROUND(-IF(IU2&gt;Inputs!#REF!,0,SUMPRODUCT((IU$2&gt;Inputs!#REF!)*(IU$2&lt;Inputs!#REF!)*Inputs!#REF!)),5)*IF(Inputs!#REF!=1,0,1)</f>
        <v>#REF!</v>
      </c>
      <c r="IV137" s="6" t="e" cm="1">
        <f t="array" ref="IV137">ROUND(-IF(IV2&gt;Inputs!#REF!,0,SUMPRODUCT((IV$2&gt;Inputs!#REF!)*(IV$2&lt;Inputs!#REF!)*Inputs!#REF!)),5)*IF(Inputs!#REF!=1,0,1)</f>
        <v>#REF!</v>
      </c>
      <c r="IW137" s="6" t="e" cm="1">
        <f t="array" ref="IW137">ROUND(-IF(IW2&gt;Inputs!#REF!,0,SUMPRODUCT((IW$2&gt;Inputs!#REF!)*(IW$2&lt;Inputs!#REF!)*Inputs!#REF!)),5)*IF(Inputs!#REF!=1,0,1)</f>
        <v>#REF!</v>
      </c>
      <c r="IX137" s="6" t="e" cm="1">
        <f t="array" ref="IX137">ROUND(-IF(IX2&gt;Inputs!#REF!,0,SUMPRODUCT((IX$2&gt;Inputs!#REF!)*(IX$2&lt;Inputs!#REF!)*Inputs!#REF!)),5)*IF(Inputs!#REF!=1,0,1)</f>
        <v>#REF!</v>
      </c>
      <c r="IY137" s="6" t="e" cm="1">
        <f t="array" ref="IY137">ROUND(-IF(IY2&gt;Inputs!#REF!,0,SUMPRODUCT((IY$2&gt;Inputs!#REF!)*(IY$2&lt;Inputs!#REF!)*Inputs!#REF!)),5)*IF(Inputs!#REF!=1,0,1)</f>
        <v>#REF!</v>
      </c>
      <c r="IZ137" s="6" t="e" cm="1">
        <f t="array" ref="IZ137">ROUND(-IF(IZ2&gt;Inputs!#REF!,0,SUMPRODUCT((IZ$2&gt;Inputs!#REF!)*(IZ$2&lt;Inputs!#REF!)*Inputs!#REF!)),5)*IF(Inputs!#REF!=1,0,1)</f>
        <v>#REF!</v>
      </c>
      <c r="JA137" s="6" t="e" cm="1">
        <f t="array" ref="JA137">ROUND(-IF(JA2&gt;Inputs!#REF!,0,SUMPRODUCT((JA$2&gt;Inputs!#REF!)*(JA$2&lt;Inputs!#REF!)*Inputs!#REF!)),5)*IF(Inputs!#REF!=1,0,1)</f>
        <v>#REF!</v>
      </c>
      <c r="JB137" s="6" t="e" cm="1">
        <f t="array" ref="JB137">ROUND(-IF(JB2&gt;Inputs!#REF!,0,SUMPRODUCT((JB$2&gt;Inputs!#REF!)*(JB$2&lt;Inputs!#REF!)*Inputs!#REF!)),5)*IF(Inputs!#REF!=1,0,1)</f>
        <v>#REF!</v>
      </c>
      <c r="JC137" s="6" t="e" cm="1">
        <f t="array" ref="JC137">ROUND(-IF(JC2&gt;Inputs!#REF!,0,SUMPRODUCT((JC$2&gt;Inputs!#REF!)*(JC$2&lt;Inputs!#REF!)*Inputs!#REF!)),5)*IF(Inputs!#REF!=1,0,1)</f>
        <v>#REF!</v>
      </c>
      <c r="JD137" s="6" t="e" cm="1">
        <f t="array" ref="JD137">ROUND(-IF(JD2&gt;Inputs!#REF!,0,SUMPRODUCT((JD$2&gt;Inputs!#REF!)*(JD$2&lt;Inputs!#REF!)*Inputs!#REF!)),5)*IF(Inputs!#REF!=1,0,1)</f>
        <v>#REF!</v>
      </c>
      <c r="JE137" s="6" t="e" cm="1">
        <f t="array" ref="JE137">ROUND(-IF(JE2&gt;Inputs!#REF!,0,SUMPRODUCT((JE$2&gt;Inputs!#REF!)*(JE$2&lt;Inputs!#REF!)*Inputs!#REF!)),5)*IF(Inputs!#REF!=1,0,1)</f>
        <v>#REF!</v>
      </c>
      <c r="JF137" s="6" t="e" cm="1">
        <f t="array" ref="JF137">ROUND(-IF(JF2&gt;Inputs!#REF!,0,SUMPRODUCT((JF$2&gt;Inputs!#REF!)*(JF$2&lt;Inputs!#REF!)*Inputs!#REF!)),5)*IF(Inputs!#REF!=1,0,1)</f>
        <v>#REF!</v>
      </c>
      <c r="JG137" s="6" t="e" cm="1">
        <f t="array" ref="JG137">ROUND(-IF(JG2&gt;Inputs!#REF!,0,SUMPRODUCT((JG$2&gt;Inputs!#REF!)*(JG$2&lt;Inputs!#REF!)*Inputs!#REF!)),5)*IF(Inputs!#REF!=1,0,1)</f>
        <v>#REF!</v>
      </c>
      <c r="JH137" s="6" t="e" cm="1">
        <f t="array" ref="JH137">ROUND(-IF(JH2&gt;Inputs!#REF!,0,SUMPRODUCT((JH$2&gt;Inputs!#REF!)*(JH$2&lt;Inputs!#REF!)*Inputs!#REF!)),5)*IF(Inputs!#REF!=1,0,1)</f>
        <v>#REF!</v>
      </c>
      <c r="JI137" s="6" t="e" cm="1">
        <f t="array" ref="JI137">ROUND(-IF(JI2&gt;Inputs!#REF!,0,SUMPRODUCT((JI$2&gt;Inputs!#REF!)*(JI$2&lt;Inputs!#REF!)*Inputs!#REF!)),5)*IF(Inputs!#REF!=1,0,1)</f>
        <v>#REF!</v>
      </c>
      <c r="JJ137" s="6" t="e" cm="1">
        <f t="array" ref="JJ137">ROUND(-IF(JJ2&gt;Inputs!#REF!,0,SUMPRODUCT((JJ$2&gt;Inputs!#REF!)*(JJ$2&lt;Inputs!#REF!)*Inputs!#REF!)),5)*IF(Inputs!#REF!=1,0,1)</f>
        <v>#REF!</v>
      </c>
      <c r="JK137" s="6" t="e" cm="1">
        <f t="array" ref="JK137">ROUND(-IF(JK2&gt;Inputs!#REF!,0,SUMPRODUCT((JK$2&gt;Inputs!#REF!)*(JK$2&lt;Inputs!#REF!)*Inputs!#REF!)),5)*IF(Inputs!#REF!=1,0,1)</f>
        <v>#REF!</v>
      </c>
      <c r="JL137" s="6" t="e" cm="1">
        <f t="array" ref="JL137">ROUND(-IF(JL2&gt;Inputs!#REF!,0,SUMPRODUCT((JL$2&gt;Inputs!#REF!)*(JL$2&lt;Inputs!#REF!)*Inputs!#REF!)),5)*IF(Inputs!#REF!=1,0,1)</f>
        <v>#REF!</v>
      </c>
      <c r="JM137" s="6" t="e" cm="1">
        <f t="array" ref="JM137">ROUND(-IF(JM2&gt;Inputs!#REF!,0,SUMPRODUCT((JM$2&gt;Inputs!#REF!)*(JM$2&lt;Inputs!#REF!)*Inputs!#REF!)),5)*IF(Inputs!#REF!=1,0,1)</f>
        <v>#REF!</v>
      </c>
      <c r="JN137" s="6" t="e" cm="1">
        <f t="array" ref="JN137">ROUND(-IF(JN2&gt;Inputs!#REF!,0,SUMPRODUCT((JN$2&gt;Inputs!#REF!)*(JN$2&lt;Inputs!#REF!)*Inputs!#REF!)),5)*IF(Inputs!#REF!=1,0,1)</f>
        <v>#REF!</v>
      </c>
      <c r="JO137" s="6" t="e" cm="1">
        <f t="array" ref="JO137">ROUND(-IF(JO2&gt;Inputs!#REF!,0,SUMPRODUCT((JO$2&gt;Inputs!#REF!)*(JO$2&lt;Inputs!#REF!)*Inputs!#REF!)),5)*IF(Inputs!#REF!=1,0,1)</f>
        <v>#REF!</v>
      </c>
      <c r="JP137" s="6" t="e" cm="1">
        <f t="array" ref="JP137">ROUND(-IF(JP2&gt;Inputs!#REF!,0,SUMPRODUCT((JP$2&gt;Inputs!#REF!)*(JP$2&lt;Inputs!#REF!)*Inputs!#REF!)),5)*IF(Inputs!#REF!=1,0,1)</f>
        <v>#REF!</v>
      </c>
      <c r="JQ137" s="6" t="e" cm="1">
        <f t="array" ref="JQ137">ROUND(-IF(JQ2&gt;Inputs!#REF!,0,SUMPRODUCT((JQ$2&gt;Inputs!#REF!)*(JQ$2&lt;Inputs!#REF!)*Inputs!#REF!)),5)*IF(Inputs!#REF!=1,0,1)</f>
        <v>#REF!</v>
      </c>
      <c r="JR137" s="6" t="e" cm="1">
        <f t="array" ref="JR137">ROUND(-IF(JR2&gt;Inputs!#REF!,0,SUMPRODUCT((JR$2&gt;Inputs!#REF!)*(JR$2&lt;Inputs!#REF!)*Inputs!#REF!)),5)*IF(Inputs!#REF!=1,0,1)</f>
        <v>#REF!</v>
      </c>
      <c r="JS137" s="6" t="e" cm="1">
        <f t="array" ref="JS137">ROUND(-IF(JS2&gt;Inputs!#REF!,0,SUMPRODUCT((JS$2&gt;Inputs!#REF!)*(JS$2&lt;Inputs!#REF!)*Inputs!#REF!)),5)*IF(Inputs!#REF!=1,0,1)</f>
        <v>#REF!</v>
      </c>
      <c r="JT137" s="6" t="e" cm="1">
        <f t="array" ref="JT137">ROUND(-IF(JT2&gt;Inputs!#REF!,0,SUMPRODUCT((JT$2&gt;Inputs!#REF!)*(JT$2&lt;Inputs!#REF!)*Inputs!#REF!)),5)*IF(Inputs!#REF!=1,0,1)</f>
        <v>#REF!</v>
      </c>
      <c r="JU137" s="6" t="e" cm="1">
        <f t="array" ref="JU137">ROUND(-IF(JU2&gt;Inputs!#REF!,0,SUMPRODUCT((JU$2&gt;Inputs!#REF!)*(JU$2&lt;Inputs!#REF!)*Inputs!#REF!)),5)*IF(Inputs!#REF!=1,0,1)</f>
        <v>#REF!</v>
      </c>
      <c r="JV137" s="6" t="e" cm="1">
        <f t="array" ref="JV137">ROUND(-IF(JV2&gt;Inputs!#REF!,0,SUMPRODUCT((JV$2&gt;Inputs!#REF!)*(JV$2&lt;Inputs!#REF!)*Inputs!#REF!)),5)*IF(Inputs!#REF!=1,0,1)</f>
        <v>#REF!</v>
      </c>
      <c r="JW137" s="6" t="e" cm="1">
        <f t="array" ref="JW137">ROUND(-IF(JW2&gt;Inputs!#REF!,0,SUMPRODUCT((JW$2&gt;Inputs!#REF!)*(JW$2&lt;Inputs!#REF!)*Inputs!#REF!)),5)*IF(Inputs!#REF!=1,0,1)</f>
        <v>#REF!</v>
      </c>
      <c r="JX137" s="6" t="e" cm="1">
        <f t="array" ref="JX137">ROUND(-IF(JX2&gt;Inputs!#REF!,0,SUMPRODUCT((JX$2&gt;Inputs!#REF!)*(JX$2&lt;Inputs!#REF!)*Inputs!#REF!)),5)*IF(Inputs!#REF!=1,0,1)</f>
        <v>#REF!</v>
      </c>
      <c r="JY137" s="6" t="e" cm="1">
        <f t="array" ref="JY137">ROUND(-IF(JY2&gt;Inputs!#REF!,0,SUMPRODUCT((JY$2&gt;Inputs!#REF!)*(JY$2&lt;Inputs!#REF!)*Inputs!#REF!)),5)*IF(Inputs!#REF!=1,0,1)</f>
        <v>#REF!</v>
      </c>
      <c r="JZ137" s="6" t="e" cm="1">
        <f t="array" ref="JZ137">ROUND(-IF(JZ2&gt;Inputs!#REF!,0,SUMPRODUCT((JZ$2&gt;Inputs!#REF!)*(JZ$2&lt;Inputs!#REF!)*Inputs!#REF!)),5)*IF(Inputs!#REF!=1,0,1)</f>
        <v>#REF!</v>
      </c>
      <c r="KA137" s="6" t="e" cm="1">
        <f t="array" ref="KA137">ROUND(-IF(KA2&gt;Inputs!#REF!,0,SUMPRODUCT((KA$2&gt;Inputs!#REF!)*(KA$2&lt;Inputs!#REF!)*Inputs!#REF!)),5)*IF(Inputs!#REF!=1,0,1)</f>
        <v>#REF!</v>
      </c>
      <c r="KB137" s="6" t="e" cm="1">
        <f t="array" ref="KB137">ROUND(-IF(KB2&gt;Inputs!#REF!,0,SUMPRODUCT((KB$2&gt;Inputs!#REF!)*(KB$2&lt;Inputs!#REF!)*Inputs!#REF!)),5)*IF(Inputs!#REF!=1,0,1)</f>
        <v>#REF!</v>
      </c>
      <c r="KC137" s="6" t="e" cm="1">
        <f t="array" ref="KC137">ROUND(-IF(KC2&gt;Inputs!#REF!,0,SUMPRODUCT((KC$2&gt;Inputs!#REF!)*(KC$2&lt;Inputs!#REF!)*Inputs!#REF!)),5)*IF(Inputs!#REF!=1,0,1)</f>
        <v>#REF!</v>
      </c>
      <c r="KD137" s="6" t="e" cm="1">
        <f t="array" ref="KD137">ROUND(-IF(KD2&gt;Inputs!#REF!,0,SUMPRODUCT((KD$2&gt;Inputs!#REF!)*(KD$2&lt;Inputs!#REF!)*Inputs!#REF!)),5)*IF(Inputs!#REF!=1,0,1)</f>
        <v>#REF!</v>
      </c>
      <c r="KE137" s="6" t="e" cm="1">
        <f t="array" ref="KE137">ROUND(-IF(KE2&gt;Inputs!#REF!,0,SUMPRODUCT((KE$2&gt;Inputs!#REF!)*(KE$2&lt;Inputs!#REF!)*Inputs!#REF!)),5)*IF(Inputs!#REF!=1,0,1)</f>
        <v>#REF!</v>
      </c>
      <c r="KF137" s="6" t="e" cm="1">
        <f t="array" ref="KF137">ROUND(-IF(KF2&gt;Inputs!#REF!,0,SUMPRODUCT((KF$2&gt;Inputs!#REF!)*(KF$2&lt;Inputs!#REF!)*Inputs!#REF!)),5)*IF(Inputs!#REF!=1,0,1)</f>
        <v>#REF!</v>
      </c>
      <c r="KG137" s="6" t="e" cm="1">
        <f t="array" ref="KG137">ROUND(-IF(KG2&gt;Inputs!#REF!,0,SUMPRODUCT((KG$2&gt;Inputs!#REF!)*(KG$2&lt;Inputs!#REF!)*Inputs!#REF!)),5)*IF(Inputs!#REF!=1,0,1)</f>
        <v>#REF!</v>
      </c>
      <c r="KH137" s="6" t="e" cm="1">
        <f t="array" ref="KH137">ROUND(-IF(KH2&gt;Inputs!#REF!,0,SUMPRODUCT((KH$2&gt;Inputs!#REF!)*(KH$2&lt;Inputs!#REF!)*Inputs!#REF!)),5)*IF(Inputs!#REF!=1,0,1)</f>
        <v>#REF!</v>
      </c>
      <c r="KI137" s="6" t="e" cm="1">
        <f t="array" ref="KI137">ROUND(-IF(KI2&gt;Inputs!#REF!,0,SUMPRODUCT((KI$2&gt;Inputs!#REF!)*(KI$2&lt;Inputs!#REF!)*Inputs!#REF!)),5)*IF(Inputs!#REF!=1,0,1)</f>
        <v>#REF!</v>
      </c>
      <c r="KJ137" s="6" t="e" cm="1">
        <f t="array" ref="KJ137">ROUND(-IF(KJ2&gt;Inputs!#REF!,0,SUMPRODUCT((KJ$2&gt;Inputs!#REF!)*(KJ$2&lt;Inputs!#REF!)*Inputs!#REF!)),5)*IF(Inputs!#REF!=1,0,1)</f>
        <v>#REF!</v>
      </c>
      <c r="KK137" s="6" t="e" cm="1">
        <f t="array" ref="KK137">ROUND(-IF(KK2&gt;Inputs!#REF!,0,SUMPRODUCT((KK$2&gt;Inputs!#REF!)*(KK$2&lt;Inputs!#REF!)*Inputs!#REF!)),5)*IF(Inputs!#REF!=1,0,1)</f>
        <v>#REF!</v>
      </c>
      <c r="KL137" s="6" t="e" cm="1">
        <f t="array" ref="KL137">ROUND(-IF(KL2&gt;Inputs!#REF!,0,SUMPRODUCT((KL$2&gt;Inputs!#REF!)*(KL$2&lt;Inputs!#REF!)*Inputs!#REF!)),5)*IF(Inputs!#REF!=1,0,1)</f>
        <v>#REF!</v>
      </c>
      <c r="KM137" s="6" t="e" cm="1">
        <f t="array" ref="KM137">ROUND(-IF(KM2&gt;Inputs!#REF!,0,SUMPRODUCT((KM$2&gt;Inputs!#REF!)*(KM$2&lt;Inputs!#REF!)*Inputs!#REF!)),5)*IF(Inputs!#REF!=1,0,1)</f>
        <v>#REF!</v>
      </c>
      <c r="KN137" s="6" t="e" cm="1">
        <f t="array" ref="KN137">ROUND(-IF(KN2&gt;Inputs!#REF!,0,SUMPRODUCT((KN$2&gt;Inputs!#REF!)*(KN$2&lt;Inputs!#REF!)*Inputs!#REF!)),5)*IF(Inputs!#REF!=1,0,1)</f>
        <v>#REF!</v>
      </c>
      <c r="KO137" s="6" t="e" cm="1">
        <f t="array" ref="KO137">ROUND(-IF(KO2&gt;Inputs!#REF!,0,SUMPRODUCT((KO$2&gt;Inputs!#REF!)*(KO$2&lt;Inputs!#REF!)*Inputs!#REF!)),5)*IF(Inputs!#REF!=1,0,1)</f>
        <v>#REF!</v>
      </c>
      <c r="KP137" s="6" t="e" cm="1">
        <f t="array" ref="KP137">ROUND(-IF(KP2&gt;Inputs!#REF!,0,SUMPRODUCT((KP$2&gt;Inputs!#REF!)*(KP$2&lt;Inputs!#REF!)*Inputs!#REF!)),5)*IF(Inputs!#REF!=1,0,1)</f>
        <v>#REF!</v>
      </c>
      <c r="KQ137" s="6" t="e" cm="1">
        <f t="array" ref="KQ137">ROUND(-IF(KQ2&gt;Inputs!#REF!,0,SUMPRODUCT((KQ$2&gt;Inputs!#REF!)*(KQ$2&lt;Inputs!#REF!)*Inputs!#REF!)),5)*IF(Inputs!#REF!=1,0,1)</f>
        <v>#REF!</v>
      </c>
      <c r="KR137" s="6" t="e" cm="1">
        <f t="array" ref="KR137">ROUND(-IF(KR2&gt;Inputs!#REF!,0,SUMPRODUCT((KR$2&gt;Inputs!#REF!)*(KR$2&lt;Inputs!#REF!)*Inputs!#REF!)),5)*IF(Inputs!#REF!=1,0,1)</f>
        <v>#REF!</v>
      </c>
      <c r="KS137" s="6" t="e" cm="1">
        <f t="array" ref="KS137">ROUND(-IF(KS2&gt;Inputs!#REF!,0,SUMPRODUCT((KS$2&gt;Inputs!#REF!)*(KS$2&lt;Inputs!#REF!)*Inputs!#REF!)),5)*IF(Inputs!#REF!=1,0,1)</f>
        <v>#REF!</v>
      </c>
    </row>
    <row r="138" spans="2:305" outlineLevel="1">
      <c r="B138" t="s">
        <v>51</v>
      </c>
      <c r="E138" s="6"/>
      <c r="F138" s="6" t="e">
        <f>IF(E138=-F137,0,MIN(-F137-E138,IF(SUM(#REF!,#REF!)&gt;0,SUM(#REF!,#REF!),0)))+E138</f>
        <v>#REF!</v>
      </c>
      <c r="G138" s="6" t="e">
        <f>IF(F138=-G137,0,MIN(-G137-F138,IF(SUM(#REF!,#REF!)&gt;0,SUM(#REF!,#REF!),0)))+F138</f>
        <v>#REF!</v>
      </c>
      <c r="H138" s="6" t="e">
        <f>IF(G138=-H137,0,MIN(-H137-G138,IF(SUM(#REF!,#REF!)&gt;0,SUM(#REF!,#REF!),0)))+G138</f>
        <v>#REF!</v>
      </c>
      <c r="I138" s="6" t="e">
        <f>IF(H138=-I137,0,MIN(-I137-H138,IF(SUM(#REF!,#REF!)&gt;0,SUM(#REF!,#REF!),0)))+H138</f>
        <v>#REF!</v>
      </c>
      <c r="J138" s="6" t="e">
        <f>IF(I138=-J137,0,MIN(-J137-I138,IF(SUM(#REF!,#REF!)&gt;0,SUM(#REF!,#REF!),0)))+I138</f>
        <v>#REF!</v>
      </c>
      <c r="K138" s="6" t="e">
        <f>IF(J138=-K137,0,MIN(-K137-J138,IF(SUM(#REF!,#REF!)&gt;0,SUM(#REF!,#REF!),0)))+J138</f>
        <v>#REF!</v>
      </c>
      <c r="L138" s="6" t="e">
        <f>IF(K138=-L137,0,MIN(-L137-K138,IF(SUM(#REF!,#REF!)&gt;0,SUM(#REF!,#REF!),0)))+K138</f>
        <v>#REF!</v>
      </c>
      <c r="M138" s="6" t="e">
        <f>IF(L138=-M137,0,MIN(-M137-L138,IF(SUM(#REF!,#REF!)&gt;0,SUM(#REF!,#REF!),0)))+L138</f>
        <v>#REF!</v>
      </c>
      <c r="N138" s="6" t="e">
        <f>IF(M138=-N137,0,MIN(-N137-M138,IF(SUM(#REF!,#REF!)&gt;0,SUM(#REF!,#REF!),0)))+M138</f>
        <v>#REF!</v>
      </c>
      <c r="O138" s="6" t="e">
        <f>IF(N138=-O137,0,MIN(-O137-N138,IF(SUM(#REF!,#REF!)&gt;0,SUM(#REF!,#REF!),0)))+N138</f>
        <v>#REF!</v>
      </c>
      <c r="P138" s="6" t="e">
        <f>IF(O138=-P137,0,MIN(-P137-O138,IF(SUM(#REF!,#REF!)&gt;0,SUM(#REF!,#REF!),0)))+O138</f>
        <v>#REF!</v>
      </c>
      <c r="Q138" s="6" t="e">
        <f>IF(P138=-Q137,0,MIN(-Q137-P138,IF(SUM(#REF!,#REF!)&gt;0,SUM(#REF!,#REF!),0)))+P138</f>
        <v>#REF!</v>
      </c>
      <c r="R138" s="6" t="e">
        <f>IF(Q138=-R137,0,MIN(-R137-Q138,IF(SUM(#REF!,#REF!)&gt;0,SUM(#REF!,#REF!),0)))+Q138</f>
        <v>#REF!</v>
      </c>
      <c r="S138" s="6" t="e">
        <f>IF(R138=-S137,0,MIN(-S137-R138,IF(SUM(#REF!,#REF!)&gt;0,SUM(#REF!,#REF!),0)))+R138</f>
        <v>#REF!</v>
      </c>
      <c r="T138" s="6" t="e">
        <f>IF(S138=-T137,0,MIN(-T137-S138,IF(SUM(#REF!,#REF!)&gt;0,SUM(#REF!,#REF!),0)))+S138</f>
        <v>#REF!</v>
      </c>
      <c r="U138" s="6" t="e">
        <f>IF(T138=-U137,0,MIN(-U137-T138,IF(SUM(#REF!,#REF!)&gt;0,SUM(#REF!,#REF!),0)))+T138</f>
        <v>#REF!</v>
      </c>
      <c r="V138" s="6" t="e">
        <f>IF(U138=-V137,0,MIN(-V137-U138,IF(SUM(#REF!,#REF!)&gt;0,SUM(#REF!,#REF!),0)))+U138</f>
        <v>#REF!</v>
      </c>
      <c r="W138" s="6" t="e">
        <f>IF(V138=-W137,0,MIN(-W137-V138,IF(SUM(#REF!,#REF!)&gt;0,SUM(#REF!,#REF!),0)))+V138</f>
        <v>#REF!</v>
      </c>
      <c r="X138" s="6" t="e">
        <f>IF(W138=-X137,0,MIN(-X137-W138,IF(SUM(#REF!,#REF!)&gt;0,SUM(#REF!,#REF!),0)))+W138</f>
        <v>#REF!</v>
      </c>
      <c r="Y138" s="6" t="e">
        <f>IF(X138=-Y137,0,MIN(-Y137-X138,IF(SUM(#REF!,#REF!)&gt;0,SUM(#REF!,#REF!),0)))+X138</f>
        <v>#REF!</v>
      </c>
      <c r="Z138" s="6" t="e">
        <f>IF(Y138=-Z137,0,MIN(-Z137-Y138,IF(SUM(#REF!,#REF!)&gt;0,SUM(#REF!,#REF!),0)))+Y138</f>
        <v>#REF!</v>
      </c>
      <c r="AA138" s="6" t="e">
        <f>IF(Z138=-AA137,0,MIN(-AA137-Z138,IF(SUM(#REF!,#REF!)&gt;0,SUM(#REF!,#REF!),0)))+Z138</f>
        <v>#REF!</v>
      </c>
      <c r="AB138" s="6" t="e">
        <f>IF(AA138=-AB137,0,MIN(-AB137-AA138,IF(SUM(#REF!,#REF!)&gt;0,SUM(#REF!,#REF!),0)))+AA138</f>
        <v>#REF!</v>
      </c>
      <c r="AC138" s="6" t="e">
        <f>IF(AB138=-AC137,0,MIN(-AC137-AB138,IF(SUM(#REF!,#REF!)&gt;0,SUM(#REF!,#REF!),0)))+AB138</f>
        <v>#REF!</v>
      </c>
      <c r="AD138" s="6" t="e">
        <f>IF(AC138=-AD137,0,MIN(-AD137-AC138,IF(SUM(#REF!,#REF!)&gt;0,SUM(#REF!,#REF!),0)))+AC138</f>
        <v>#REF!</v>
      </c>
      <c r="AE138" s="6" t="e">
        <f>IF(AD138=-AE137,0,MIN(-AE137-AD138,IF(SUM(#REF!,#REF!)&gt;0,SUM(#REF!,#REF!),0)))+AD138</f>
        <v>#REF!</v>
      </c>
      <c r="AF138" s="6" t="e">
        <f>IF(AE138=-AF137,0,MIN(-AF137-AE138,IF(SUM(#REF!,#REF!)&gt;0,SUM(#REF!,#REF!),0)))+AE138</f>
        <v>#REF!</v>
      </c>
      <c r="AG138" s="6" t="e">
        <f>IF(AF138=-AG137,0,MIN(-AG137-AF138,IF(SUM(#REF!,#REF!)&gt;0,SUM(#REF!,#REF!),0)))+AF138</f>
        <v>#REF!</v>
      </c>
      <c r="AH138" s="6" t="e">
        <f>IF(AG138=-AH137,0,MIN(-AH137-AG138,IF(SUM(#REF!,#REF!)&gt;0,SUM(#REF!,#REF!),0)))+AG138</f>
        <v>#REF!</v>
      </c>
      <c r="AI138" s="6" t="e">
        <f>IF(AH138=-AI137,0,MIN(-AI137-AH138,IF(SUM(#REF!,#REF!)&gt;0,SUM(#REF!,#REF!),0)))+AH138</f>
        <v>#REF!</v>
      </c>
      <c r="AJ138" s="6" t="e">
        <f>IF(AI138=-AJ137,0,MIN(-AJ137-AI138,IF(SUM(#REF!,#REF!)&gt;0,SUM(#REF!,#REF!),0)))+AI138</f>
        <v>#REF!</v>
      </c>
      <c r="AK138" s="6" t="e">
        <f>IF(AJ138=-AK137,0,MIN(-AK137-AJ138,IF(SUM(#REF!,#REF!)&gt;0,SUM(#REF!,#REF!),0)))+AJ138</f>
        <v>#REF!</v>
      </c>
      <c r="AL138" s="6" t="e">
        <f>IF(AK138=-AL137,0,MIN(-AL137-AK138,IF(SUM(#REF!,#REF!)&gt;0,SUM(#REF!,#REF!),0)))+AK138</f>
        <v>#REF!</v>
      </c>
      <c r="AM138" s="6" t="e">
        <f>IF(AL138=-AM137,0,MIN(-AM137-AL138,IF(SUM(#REF!,#REF!)&gt;0,SUM(#REF!,#REF!),0)))+AL138</f>
        <v>#REF!</v>
      </c>
      <c r="AN138" s="6" t="e">
        <f>IF(AM138=-AN137,0,MIN(-AN137-AM138,IF(SUM(#REF!,#REF!)&gt;0,SUM(#REF!,#REF!),0)))+AM138</f>
        <v>#REF!</v>
      </c>
      <c r="AO138" s="6" t="e">
        <f>IF(AN138=-AO137,0,MIN(-AO137-AN138,IF(SUM(#REF!,#REF!)&gt;0,SUM(#REF!,#REF!),0)))+AN138</f>
        <v>#REF!</v>
      </c>
      <c r="AP138" s="6" t="e">
        <f>IF(AO138=-AP137,0,MIN(-AP137-AO138,IF(SUM(#REF!,#REF!)&gt;0,SUM(#REF!,#REF!),0)))+AO138</f>
        <v>#REF!</v>
      </c>
      <c r="AQ138" s="6" t="e">
        <f>IF(AP138=-AQ137,0,MIN(-AQ137-AP138,IF(SUM(#REF!,#REF!)&gt;0,SUM(#REF!,#REF!),0)))+AP138</f>
        <v>#REF!</v>
      </c>
      <c r="AR138" s="6" t="e">
        <f>IF(AQ138=-AR137,0,MIN(-AR137-AQ138,IF(SUM(#REF!,#REF!)&gt;0,SUM(#REF!,#REF!),0)))+AQ138</f>
        <v>#REF!</v>
      </c>
      <c r="AS138" s="6" t="e">
        <f>IF(AR138=-AS137,0,MIN(-AS137-AR138,IF(SUM(#REF!,#REF!)&gt;0,SUM(#REF!,#REF!),0)))+AR138</f>
        <v>#REF!</v>
      </c>
      <c r="AT138" s="6" t="e">
        <f>IF(AS138=-AT137,0,MIN(-AT137-AS138,IF(SUM(#REF!,#REF!)&gt;0,SUM(#REF!,#REF!),0)))+AS138</f>
        <v>#REF!</v>
      </c>
      <c r="AU138" s="6" t="e">
        <f>IF(AT138=-AU137,0,MIN(-AU137-AT138,IF(SUM(#REF!,#REF!)&gt;0,SUM(#REF!,#REF!),0)))+AT138</f>
        <v>#REF!</v>
      </c>
      <c r="AV138" s="6" t="e">
        <f>IF(AU138=-AV137,0,MIN(-AV137-AU138,IF(SUM(#REF!,#REF!)&gt;0,SUM(#REF!,#REF!),0)))+AU138</f>
        <v>#REF!</v>
      </c>
      <c r="AW138" s="6" t="e">
        <f>IF(AV138=-AW137,0,MIN(-AW137-AV138,IF(SUM(#REF!,#REF!)&gt;0,SUM(#REF!,#REF!),0)))+AV138</f>
        <v>#REF!</v>
      </c>
      <c r="AX138" s="6" t="e">
        <f>IF(AW138=-AX137,0,MIN(-AX137-AW138,IF(SUM(#REF!,#REF!)&gt;0,SUM(#REF!,#REF!),0)))+AW138</f>
        <v>#REF!</v>
      </c>
      <c r="AY138" s="6" t="e">
        <f>IF(AX138=-AY137,0,MIN(-AY137-AX138,IF(SUM(#REF!,#REF!)&gt;0,SUM(#REF!,#REF!),0)))+AX138</f>
        <v>#REF!</v>
      </c>
      <c r="AZ138" s="6" t="e">
        <f>IF(AY138=-AZ137,0,MIN(-AZ137-AY138,IF(SUM(#REF!,#REF!)&gt;0,SUM(#REF!,#REF!),0)))+AY138</f>
        <v>#REF!</v>
      </c>
      <c r="BA138" s="6" t="e">
        <f>IF(AZ138=-BA137,0,MIN(-BA137-AZ138,IF(SUM(#REF!,#REF!)&gt;0,SUM(#REF!,#REF!),0)))+AZ138</f>
        <v>#REF!</v>
      </c>
      <c r="BB138" s="6" t="e">
        <f>IF(BA138=-BB137,0,MIN(-BB137-BA138,IF(SUM(#REF!,#REF!)&gt;0,SUM(#REF!,#REF!),0)))+BA138</f>
        <v>#REF!</v>
      </c>
      <c r="BC138" s="6" t="e">
        <f>IF(BB138=-BC137,0,MIN(-BC137-BB138,IF(SUM(#REF!,#REF!)&gt;0,SUM(#REF!,#REF!),0)))+BB138</f>
        <v>#REF!</v>
      </c>
      <c r="BD138" s="6" t="e">
        <f>IF(BC138=-BD137,0,MIN(-BD137-BC138,IF(SUM(#REF!,#REF!)&gt;0,SUM(#REF!,#REF!),0)))+BC138</f>
        <v>#REF!</v>
      </c>
      <c r="BE138" s="6" t="e">
        <f>IF(BD138=-BE137,0,MIN(-BE137-BD138,IF(SUM(#REF!,#REF!)&gt;0,SUM(#REF!,#REF!),0)))+BD138</f>
        <v>#REF!</v>
      </c>
      <c r="BF138" s="6" t="e">
        <f>IF(BE138=-BF137,0,MIN(-BF137-BE138,IF(SUM(#REF!,#REF!)&gt;0,SUM(#REF!,#REF!),0)))+BE138</f>
        <v>#REF!</v>
      </c>
      <c r="BG138" s="6" t="e">
        <f>IF(BF138=-BG137,0,MIN(-BG137-BF138,IF(SUM(#REF!,#REF!)&gt;0,SUM(#REF!,#REF!),0)))+BF138</f>
        <v>#REF!</v>
      </c>
      <c r="BH138" s="6" t="e">
        <f>IF(BG138=-BH137,0,MIN(-BH137-BG138,IF(SUM(#REF!,#REF!)&gt;0,SUM(#REF!,#REF!),0)))+BG138</f>
        <v>#REF!</v>
      </c>
      <c r="BI138" s="6" t="e">
        <f>IF(BH138=-BI137,0,MIN(-BI137-BH138,IF(SUM(#REF!,#REF!)&gt;0,SUM(#REF!,#REF!),0)))+BH138</f>
        <v>#REF!</v>
      </c>
      <c r="BJ138" s="6" t="e">
        <f>IF(BI138=-BJ137,0,MIN(-BJ137-BI138,IF(SUM(#REF!,#REF!)&gt;0,SUM(#REF!,#REF!),0)))+BI138</f>
        <v>#REF!</v>
      </c>
      <c r="BK138" s="6" t="e">
        <f>IF(BJ138=-BK137,0,MIN(-BK137-BJ138,IF(SUM(#REF!,#REF!)&gt;0,SUM(#REF!,#REF!),0)))+BJ138</f>
        <v>#REF!</v>
      </c>
      <c r="BL138" s="6" t="e">
        <f>IF(BK138=-BL137,0,MIN(-BL137-BK138,IF(SUM(#REF!,#REF!)&gt;0,SUM(#REF!,#REF!),0)))+BK138</f>
        <v>#REF!</v>
      </c>
      <c r="BM138" s="6" t="e">
        <f>IF(BL138=-BM137,0,MIN(-BM137-BL138,IF(SUM(#REF!,#REF!)&gt;0,SUM(#REF!,#REF!),0)))+BL138</f>
        <v>#REF!</v>
      </c>
      <c r="BN138" s="6" t="e">
        <f>IF(BM138=-BN137,0,MIN(-BN137-BM138,IF(SUM(#REF!,#REF!)&gt;0,SUM(#REF!,#REF!),0)))+BM138</f>
        <v>#REF!</v>
      </c>
      <c r="BO138" s="6" t="e">
        <f>IF(BN138=-BO137,0,MIN(-BO137-BN138,IF(SUM(#REF!,#REF!)&gt;0,SUM(#REF!,#REF!),0)))+BN138</f>
        <v>#REF!</v>
      </c>
      <c r="BP138" s="6" t="e">
        <f>IF(BO138=-BP137,0,MIN(-BP137-BO138,IF(SUM(#REF!,#REF!)&gt;0,SUM(#REF!,#REF!),0)))+BO138</f>
        <v>#REF!</v>
      </c>
      <c r="BQ138" s="6" t="e">
        <f>IF(BP138=-BQ137,0,MIN(-BQ137-BP138,IF(SUM(#REF!,#REF!)&gt;0,SUM(#REF!,#REF!),0)))+BP138</f>
        <v>#REF!</v>
      </c>
      <c r="BR138" s="6" t="e">
        <f>IF(BQ138=-BR137,0,MIN(-BR137-BQ138,IF(SUM(#REF!,#REF!)&gt;0,SUM(#REF!,#REF!),0)))+BQ138</f>
        <v>#REF!</v>
      </c>
      <c r="BS138" s="6" t="e">
        <f>IF(BR138=-BS137,0,MIN(-BS137-BR138,IF(SUM(#REF!,#REF!)&gt;0,SUM(#REF!,#REF!),0)))+BR138</f>
        <v>#REF!</v>
      </c>
      <c r="BT138" s="6" t="e">
        <f>IF(BS138=-BT137,0,MIN(-BT137-BS138,IF(SUM(#REF!,#REF!)&gt;0,SUM(#REF!,#REF!),0)))+BS138</f>
        <v>#REF!</v>
      </c>
      <c r="BU138" s="6" t="e">
        <f>IF(BT138=-BU137,0,MIN(-BU137-BT138,IF(SUM(#REF!,#REF!)&gt;0,SUM(#REF!,#REF!),0)))+BT138</f>
        <v>#REF!</v>
      </c>
      <c r="BV138" s="6" t="e">
        <f>IF(BU138=-BV137,0,MIN(-BV137-BU138,IF(SUM(#REF!,#REF!)&gt;0,SUM(#REF!,#REF!),0)))+BU138</f>
        <v>#REF!</v>
      </c>
      <c r="BW138" s="6" t="e">
        <f>IF(BV138=-BW137,0,MIN(-BW137-BV138,IF(SUM(#REF!,#REF!)&gt;0,SUM(#REF!,#REF!),0)))+BV138</f>
        <v>#REF!</v>
      </c>
      <c r="BX138" s="6" t="e">
        <f>IF(BW138=-BX137,0,MIN(-BX137-BW138,IF(SUM(#REF!,#REF!)&gt;0,SUM(#REF!,#REF!),0)))+BW138</f>
        <v>#REF!</v>
      </c>
      <c r="BY138" s="6" t="e">
        <f>IF(BX138=-BY137,0,MIN(-BY137-BX138,IF(SUM(#REF!,#REF!)&gt;0,SUM(#REF!,#REF!),0)))+BX138</f>
        <v>#REF!</v>
      </c>
      <c r="BZ138" s="6" t="e">
        <f>IF(BY138=-BZ137,0,MIN(-BZ137-BY138,IF(SUM(#REF!,#REF!)&gt;0,SUM(#REF!,#REF!),0)))+BY138</f>
        <v>#REF!</v>
      </c>
      <c r="CA138" s="6" t="e">
        <f>IF(BZ138=-CA137,0,MIN(-CA137-BZ138,IF(SUM(#REF!,#REF!)&gt;0,SUM(#REF!,#REF!),0)))+BZ138</f>
        <v>#REF!</v>
      </c>
      <c r="CB138" s="6" t="e">
        <f>IF(CA138=-CB137,0,MIN(-CB137-CA138,IF(SUM(#REF!,#REF!)&gt;0,SUM(#REF!,#REF!),0)))+CA138</f>
        <v>#REF!</v>
      </c>
      <c r="CC138" s="6" t="e">
        <f>IF(CB138=-CC137,0,MIN(-CC137-CB138,IF(SUM(#REF!,#REF!)&gt;0,SUM(#REF!,#REF!),0)))+CB138</f>
        <v>#REF!</v>
      </c>
      <c r="CD138" s="6" t="e">
        <f>IF(CC138=-CD137,0,MIN(-CD137-CC138,IF(SUM(#REF!,#REF!)&gt;0,SUM(#REF!,#REF!),0)))+CC138</f>
        <v>#REF!</v>
      </c>
      <c r="CE138" s="6" t="e">
        <f>IF(CD138=-CE137,0,MIN(-CE137-CD138,IF(SUM(#REF!,#REF!)&gt;0,SUM(#REF!,#REF!),0)))+CD138</f>
        <v>#REF!</v>
      </c>
      <c r="CF138" s="6" t="e">
        <f>IF(CE138=-CF137,0,MIN(-CF137-CE138,IF(SUM(#REF!,#REF!)&gt;0,SUM(#REF!,#REF!),0)))+CE138</f>
        <v>#REF!</v>
      </c>
      <c r="CG138" s="6" t="e">
        <f>IF(CF138=-CG137,0,MIN(-CG137-CF138,IF(SUM(#REF!,#REF!)&gt;0,SUM(#REF!,#REF!),0)))+CF138</f>
        <v>#REF!</v>
      </c>
      <c r="CH138" s="6" t="e">
        <f>IF(CG138=-CH137,0,MIN(-CH137-CG138,IF(SUM(#REF!,#REF!)&gt;0,SUM(#REF!,#REF!),0)))+CG138</f>
        <v>#REF!</v>
      </c>
      <c r="CI138" s="6" t="e">
        <f>IF(CH138=-CI137,0,MIN(-CI137-CH138,IF(SUM(#REF!,#REF!)&gt;0,SUM(#REF!,#REF!),0)))+CH138</f>
        <v>#REF!</v>
      </c>
      <c r="CJ138" s="6" t="e">
        <f>IF(CI138=-CJ137,0,MIN(-CJ137-CI138,IF(SUM(#REF!,#REF!)&gt;0,SUM(#REF!,#REF!),0)))+CI138</f>
        <v>#REF!</v>
      </c>
      <c r="CK138" s="6" t="e">
        <f>IF(CJ138=-CK137,0,MIN(-CK137-CJ138,IF(SUM(#REF!,#REF!)&gt;0,SUM(#REF!,#REF!),0)))+CJ138</f>
        <v>#REF!</v>
      </c>
      <c r="CL138" s="6" t="e">
        <f>IF(CK138=-CL137,0,MIN(-CL137-CK138,IF(SUM(#REF!,#REF!)&gt;0,SUM(#REF!,#REF!),0)))+CK138</f>
        <v>#REF!</v>
      </c>
      <c r="CM138" s="6" t="e">
        <f>IF(CL138=-CM137,0,MIN(-CM137-CL138,IF(SUM(#REF!,#REF!)&gt;0,SUM(#REF!,#REF!),0)))+CL138</f>
        <v>#REF!</v>
      </c>
      <c r="CN138" s="6" t="e">
        <f>IF(CM138=-CN137,0,MIN(-CN137-CM138,IF(SUM(#REF!,#REF!)&gt;0,SUM(#REF!,#REF!),0)))+CM138</f>
        <v>#REF!</v>
      </c>
      <c r="CO138" s="6" t="e">
        <f>IF(CN138=-CO137,0,MIN(-CO137-CN138,IF(SUM(#REF!,#REF!)&gt;0,SUM(#REF!,#REF!),0)))+CN138</f>
        <v>#REF!</v>
      </c>
      <c r="CP138" s="6" t="e">
        <f>IF(CO138=-CP137,0,MIN(-CP137-CO138,IF(SUM(#REF!,#REF!)&gt;0,SUM(#REF!,#REF!),0)))+CO138</f>
        <v>#REF!</v>
      </c>
      <c r="CQ138" s="6" t="e">
        <f>IF(CP138=-CQ137,0,MIN(-CQ137-CP138,IF(SUM(#REF!,#REF!)&gt;0,SUM(#REF!,#REF!),0)))+CP138</f>
        <v>#REF!</v>
      </c>
      <c r="CR138" s="6" t="e">
        <f>IF(CQ138=-CR137,0,MIN(-CR137-CQ138,IF(SUM(#REF!,#REF!)&gt;0,SUM(#REF!,#REF!),0)))+CQ138</f>
        <v>#REF!</v>
      </c>
      <c r="CS138" s="6" t="e">
        <f>IF(CR138=-CS137,0,MIN(-CS137-CR138,IF(SUM(#REF!,#REF!)&gt;0,SUM(#REF!,#REF!),0)))+CR138</f>
        <v>#REF!</v>
      </c>
      <c r="CT138" s="6" t="e">
        <f>IF(CS138=-CT137,0,MIN(-CT137-CS138,IF(SUM(#REF!,#REF!)&gt;0,SUM(#REF!,#REF!),0)))+CS138</f>
        <v>#REF!</v>
      </c>
      <c r="CU138" s="6" t="e">
        <f>IF(CT138=-CU137,0,MIN(-CU137-CT138,IF(SUM(#REF!,#REF!)&gt;0,SUM(#REF!,#REF!),0)))+CT138</f>
        <v>#REF!</v>
      </c>
      <c r="CV138" s="6" t="e">
        <f>IF(CU138=-CV137,0,MIN(-CV137-CU138,IF(SUM(#REF!,#REF!)&gt;0,SUM(#REF!,#REF!),0)))+CU138</f>
        <v>#REF!</v>
      </c>
      <c r="CW138" s="6" t="e">
        <f>IF(CV138=-CW137,0,MIN(-CW137-CV138,IF(SUM(#REF!,#REF!)&gt;0,SUM(#REF!,#REF!),0)))+CV138</f>
        <v>#REF!</v>
      </c>
      <c r="CX138" s="6" t="e">
        <f>IF(CW138=-CX137,0,MIN(-CX137-CW138,IF(SUM(#REF!,#REF!)&gt;0,SUM(#REF!,#REF!),0)))+CW138</f>
        <v>#REF!</v>
      </c>
      <c r="CY138" s="6" t="e">
        <f>IF(CX138=-CY137,0,MIN(-CY137-CX138,IF(SUM(#REF!,#REF!)&gt;0,SUM(#REF!,#REF!),0)))+CX138</f>
        <v>#REF!</v>
      </c>
      <c r="CZ138" s="6" t="e">
        <f>IF(CY138=-CZ137,0,MIN(-CZ137-CY138,IF(SUM(#REF!,#REF!)&gt;0,SUM(#REF!,#REF!),0)))+CY138</f>
        <v>#REF!</v>
      </c>
      <c r="DA138" s="6" t="e">
        <f>IF(CZ138=-DA137,0,MIN(-DA137-CZ138,IF(SUM(#REF!,#REF!)&gt;0,SUM(#REF!,#REF!),0)))+CZ138</f>
        <v>#REF!</v>
      </c>
      <c r="DB138" s="6" t="e">
        <f>IF(DA138=-DB137,0,MIN(-DB137-DA138,IF(SUM(#REF!,#REF!)&gt;0,SUM(#REF!,#REF!),0)))+DA138</f>
        <v>#REF!</v>
      </c>
      <c r="DC138" s="6" t="e">
        <f>IF(DB138=-DC137,0,MIN(-DC137-DB138,IF(SUM(#REF!,#REF!)&gt;0,SUM(#REF!,#REF!),0)))+DB138</f>
        <v>#REF!</v>
      </c>
      <c r="DD138" s="6" t="e">
        <f>IF(DC138=-DD137,0,MIN(-DD137-DC138,IF(SUM(#REF!,#REF!)&gt;0,SUM(#REF!,#REF!),0)))+DC138</f>
        <v>#REF!</v>
      </c>
      <c r="DE138" s="6" t="e">
        <f>IF(DD138=-DE137,0,MIN(-DE137-DD138,IF(SUM(#REF!,#REF!)&gt;0,SUM(#REF!,#REF!),0)))+DD138</f>
        <v>#REF!</v>
      </c>
      <c r="DF138" s="6" t="e">
        <f>IF(DE138=-DF137,0,MIN(-DF137-DE138,IF(SUM(#REF!,#REF!)&gt;0,SUM(#REF!,#REF!),0)))+DE138</f>
        <v>#REF!</v>
      </c>
      <c r="DG138" s="6" t="e">
        <f>IF(DF138=-DG137,0,MIN(-DG137-DF138,IF(SUM(#REF!,#REF!)&gt;0,SUM(#REF!,#REF!),0)))+DF138</f>
        <v>#REF!</v>
      </c>
      <c r="DH138" s="6" t="e">
        <f>IF(DG138=-DH137,0,MIN(-DH137-DG138,IF(SUM(#REF!,#REF!)&gt;0,SUM(#REF!,#REF!),0)))+DG138</f>
        <v>#REF!</v>
      </c>
      <c r="DI138" s="6" t="e">
        <f>IF(DH138=-DI137,0,MIN(-DI137-DH138,IF(SUM(#REF!,#REF!)&gt;0,SUM(#REF!,#REF!),0)))+DH138</f>
        <v>#REF!</v>
      </c>
      <c r="DJ138" s="6" t="e">
        <f>IF(DI138=-DJ137,0,MIN(-DJ137-DI138,IF(SUM(#REF!,#REF!)&gt;0,SUM(#REF!,#REF!),0)))+DI138</f>
        <v>#REF!</v>
      </c>
      <c r="DK138" s="6" t="e">
        <f>IF(DJ138=-DK137,0,MIN(-DK137-DJ138,IF(SUM(#REF!,#REF!)&gt;0,SUM(#REF!,#REF!),0)))+DJ138</f>
        <v>#REF!</v>
      </c>
      <c r="DL138" s="6" t="e">
        <f>IF(DK138=-DL137,0,MIN(-DL137-DK138,IF(SUM(#REF!,#REF!)&gt;0,SUM(#REF!,#REF!),0)))+DK138</f>
        <v>#REF!</v>
      </c>
      <c r="DM138" s="6" t="e">
        <f>IF(DL138=-DM137,0,MIN(-DM137-DL138,IF(SUM(#REF!,#REF!)&gt;0,SUM(#REF!,#REF!),0)))+DL138</f>
        <v>#REF!</v>
      </c>
      <c r="DN138" s="6" t="e">
        <f>IF(DM138=-DN137,0,MIN(-DN137-DM138,IF(SUM(#REF!,#REF!)&gt;0,SUM(#REF!,#REF!),0)))+DM138</f>
        <v>#REF!</v>
      </c>
      <c r="DO138" s="6" t="e">
        <f>IF(DN138=-DO137,0,MIN(-DO137-DN138,IF(SUM(#REF!,#REF!)&gt;0,SUM(#REF!,#REF!),0)))+DN138</f>
        <v>#REF!</v>
      </c>
      <c r="DP138" s="6" t="e">
        <f>IF(DO138=-DP137,0,MIN(-DP137-DO138,IF(SUM(#REF!,#REF!)&gt;0,SUM(#REF!,#REF!),0)))+DO138</f>
        <v>#REF!</v>
      </c>
      <c r="DQ138" s="6" t="e">
        <f>IF(DP138=-DQ137,0,MIN(-DQ137-DP138,IF(SUM(#REF!,#REF!)&gt;0,SUM(#REF!,#REF!),0)))+DP138</f>
        <v>#REF!</v>
      </c>
      <c r="DR138" s="6" t="e">
        <f>IF(DQ138=-DR137,0,MIN(-DR137-DQ138,IF(SUM(#REF!,#REF!)&gt;0,SUM(#REF!,#REF!),0)))+DQ138</f>
        <v>#REF!</v>
      </c>
      <c r="DS138" s="6" t="e">
        <f>IF(DR138=-DS137,0,MIN(-DS137-DR138,IF(SUM(#REF!,#REF!)&gt;0,SUM(#REF!,#REF!),0)))+DR138</f>
        <v>#REF!</v>
      </c>
      <c r="DT138" s="6" t="e">
        <f>IF(DS138=-DT137,0,MIN(-DT137-DS138,IF(SUM(#REF!,#REF!)&gt;0,SUM(#REF!,#REF!),0)))+DS138</f>
        <v>#REF!</v>
      </c>
      <c r="DU138" s="6" t="e">
        <f>IF(DT138=-DU137,0,MIN(-DU137-DT138,IF(SUM(#REF!,#REF!)&gt;0,SUM(#REF!,#REF!),0)))+DT138</f>
        <v>#REF!</v>
      </c>
      <c r="DV138" s="6" t="e">
        <f>IF(DU138=-DV137,0,MIN(-DV137-DU138,IF(SUM(#REF!,#REF!)&gt;0,SUM(#REF!,#REF!),0)))+DU138</f>
        <v>#REF!</v>
      </c>
      <c r="DW138" s="6" t="e">
        <f>IF(DV138=-DW137,0,MIN(-DW137-DV138,IF(SUM(#REF!,#REF!)&gt;0,SUM(#REF!,#REF!),0)))+DV138</f>
        <v>#REF!</v>
      </c>
      <c r="DX138" s="6" t="e">
        <f>IF(DW138=-DX137,0,MIN(-DX137-DW138,IF(SUM(#REF!,#REF!)&gt;0,SUM(#REF!,#REF!),0)))+DW138</f>
        <v>#REF!</v>
      </c>
      <c r="DY138" s="6" t="e">
        <f>IF(DX138=-DY137,0,MIN(-DY137-DX138,IF(SUM(#REF!,#REF!)&gt;0,SUM(#REF!,#REF!),0)))+DX138</f>
        <v>#REF!</v>
      </c>
      <c r="DZ138" s="6" t="e">
        <f>IF(DY138=-DZ137,0,MIN(-DZ137-DY138,IF(SUM(#REF!,#REF!)&gt;0,SUM(#REF!,#REF!),0)))+DY138</f>
        <v>#REF!</v>
      </c>
      <c r="EA138" s="6" t="e">
        <f>IF(DZ138=-EA137,0,MIN(-EA137-DZ138,IF(SUM(#REF!,#REF!)&gt;0,SUM(#REF!,#REF!),0)))+DZ138</f>
        <v>#REF!</v>
      </c>
      <c r="EB138" s="6" t="e">
        <f>IF(EA138=-EB137,0,MIN(-EB137-EA138,IF(SUM(#REF!,#REF!)&gt;0,SUM(#REF!,#REF!),0)))+EA138</f>
        <v>#REF!</v>
      </c>
      <c r="EC138" s="6" t="e">
        <f>IF(EB138=-EC137,0,MIN(-EC137-EB138,IF(SUM(#REF!,#REF!)&gt;0,SUM(#REF!,#REF!),0)))+EB138</f>
        <v>#REF!</v>
      </c>
      <c r="ED138" s="6" t="e">
        <f>IF(EC138=-ED137,0,MIN(-ED137-EC138,IF(SUM(#REF!,#REF!)&gt;0,SUM(#REF!,#REF!),0)))+EC138</f>
        <v>#REF!</v>
      </c>
      <c r="EE138" s="6" t="e">
        <f>IF(ED138=-EE137,0,MIN(-EE137-ED138,IF(SUM(#REF!,#REF!)&gt;0,SUM(#REF!,#REF!),0)))+ED138</f>
        <v>#REF!</v>
      </c>
      <c r="EF138" s="6" t="e">
        <f>IF(EE138=-EF137,0,MIN(-EF137-EE138,IF(SUM(#REF!,#REF!)&gt;0,SUM(#REF!,#REF!),0)))+EE138</f>
        <v>#REF!</v>
      </c>
      <c r="EG138" s="6" t="e">
        <f>IF(EF138=-EG137,0,MIN(-EG137-EF138,IF(SUM(#REF!,#REF!)&gt;0,SUM(#REF!,#REF!),0)))+EF138</f>
        <v>#REF!</v>
      </c>
      <c r="EH138" s="6" t="e">
        <f>IF(EG138=-EH137,0,MIN(-EH137-EG138,IF(SUM(#REF!,#REF!)&gt;0,SUM(#REF!,#REF!),0)))+EG138</f>
        <v>#REF!</v>
      </c>
      <c r="EI138" s="6" t="e">
        <f>IF(EH138=-EI137,0,MIN(-EI137-EH138,IF(SUM(#REF!,#REF!)&gt;0,SUM(#REF!,#REF!),0)))+EH138</f>
        <v>#REF!</v>
      </c>
      <c r="EJ138" s="6" t="e">
        <f>IF(EI138=-EJ137,0,MIN(-EJ137-EI138,IF(SUM(#REF!,#REF!)&gt;0,SUM(#REF!,#REF!),0)))+EI138</f>
        <v>#REF!</v>
      </c>
      <c r="EK138" s="6" t="e">
        <f>IF(EJ138=-EK137,0,MIN(-EK137-EJ138,IF(SUM(#REF!,#REF!)&gt;0,SUM(#REF!,#REF!),0)))+EJ138</f>
        <v>#REF!</v>
      </c>
      <c r="EL138" s="6" t="e">
        <f>IF(EK138=-EL137,0,MIN(-EL137-EK138,IF(SUM(#REF!,#REF!)&gt;0,SUM(#REF!,#REF!),0)))+EK138</f>
        <v>#REF!</v>
      </c>
      <c r="EM138" s="6" t="e">
        <f>IF(EL138=-EM137,0,MIN(-EM137-EL138,IF(SUM(#REF!,#REF!)&gt;0,SUM(#REF!,#REF!),0)))+EL138</f>
        <v>#REF!</v>
      </c>
      <c r="EN138" s="6" t="e">
        <f>IF(EM138=-EN137,0,MIN(-EN137-EM138,IF(SUM(#REF!,#REF!)&gt;0,SUM(#REF!,#REF!),0)))+EM138</f>
        <v>#REF!</v>
      </c>
      <c r="EO138" s="6" t="e">
        <f>IF(EN138=-EO137,0,MIN(-EO137-EN138,IF(SUM(#REF!,#REF!)&gt;0,SUM(#REF!,#REF!),0)))+EN138</f>
        <v>#REF!</v>
      </c>
      <c r="EP138" s="6" t="e">
        <f>IF(EO138=-EP137,0,MIN(-EP137-EO138,IF(SUM(#REF!,#REF!)&gt;0,SUM(#REF!,#REF!),0)))+EO138</f>
        <v>#REF!</v>
      </c>
      <c r="EQ138" s="6" t="e">
        <f>IF(EP138=-EQ137,0,MIN(-EQ137-EP138,IF(SUM(#REF!,#REF!)&gt;0,SUM(#REF!,#REF!),0)))+EP138</f>
        <v>#REF!</v>
      </c>
      <c r="ER138" s="6" t="e">
        <f>IF(EQ138=-ER137,0,MIN(-ER137-EQ138,IF(SUM(#REF!,#REF!)&gt;0,SUM(#REF!,#REF!),0)))+EQ138</f>
        <v>#REF!</v>
      </c>
      <c r="ES138" s="6" t="e">
        <f>IF(ER138=-ES137,0,MIN(-ES137-ER138,IF(SUM(#REF!,#REF!)&gt;0,SUM(#REF!,#REF!),0)))+ER138</f>
        <v>#REF!</v>
      </c>
      <c r="ET138" s="6" t="e">
        <f>IF(ES138=-ET137,0,MIN(-ET137-ES138,IF(SUM(#REF!,#REF!)&gt;0,SUM(#REF!,#REF!),0)))+ES138</f>
        <v>#REF!</v>
      </c>
      <c r="EU138" s="6" t="e">
        <f>IF(ET138=-EU137,0,MIN(-EU137-ET138,IF(SUM(#REF!,#REF!)&gt;0,SUM(#REF!,#REF!),0)))+ET138</f>
        <v>#REF!</v>
      </c>
      <c r="EV138" s="6" t="e">
        <f>IF(EU138=-EV137,0,MIN(-EV137-EU138,IF(SUM(#REF!,#REF!)&gt;0,SUM(#REF!,#REF!),0)))+EU138</f>
        <v>#REF!</v>
      </c>
      <c r="EW138" s="6" t="e">
        <f>IF(EV138=-EW137,0,MIN(-EW137-EV138,IF(SUM(#REF!,#REF!)&gt;0,SUM(#REF!,#REF!),0)))+EV138</f>
        <v>#REF!</v>
      </c>
      <c r="EX138" s="6" t="e">
        <f>IF(EW138=-EX137,0,MIN(-EX137-EW138,IF(SUM(#REF!,#REF!)&gt;0,SUM(#REF!,#REF!),0)))+EW138</f>
        <v>#REF!</v>
      </c>
      <c r="EY138" s="6" t="e">
        <f>IF(EX138=-EY137,0,MIN(-EY137-EX138,IF(SUM(#REF!,#REF!)&gt;0,SUM(#REF!,#REF!),0)))+EX138</f>
        <v>#REF!</v>
      </c>
      <c r="EZ138" s="6" t="e">
        <f>IF(EY138=-EZ137,0,MIN(-EZ137-EY138,IF(SUM(#REF!,#REF!)&gt;0,SUM(#REF!,#REF!),0)))+EY138</f>
        <v>#REF!</v>
      </c>
      <c r="FA138" s="6" t="e">
        <f>IF(EZ138=-FA137,0,MIN(-FA137-EZ138,IF(SUM(#REF!,#REF!)&gt;0,SUM(#REF!,#REF!),0)))+EZ138</f>
        <v>#REF!</v>
      </c>
      <c r="FB138" s="6" t="e">
        <f>IF(FA138=-FB137,0,MIN(-FB137-FA138,IF(SUM(#REF!,#REF!)&gt;0,SUM(#REF!,#REF!),0)))+FA138</f>
        <v>#REF!</v>
      </c>
      <c r="FC138" s="6" t="e">
        <f>IF(FB138=-FC137,0,MIN(-FC137-FB138,IF(SUM(#REF!,#REF!)&gt;0,SUM(#REF!,#REF!),0)))+FB138</f>
        <v>#REF!</v>
      </c>
      <c r="FD138" s="6" t="e">
        <f>IF(FC138=-FD137,0,MIN(-FD137-FC138,IF(SUM(#REF!,#REF!)&gt;0,SUM(#REF!,#REF!),0)))+FC138</f>
        <v>#REF!</v>
      </c>
      <c r="FE138" s="6" t="e">
        <f>IF(FD138=-FE137,0,MIN(-FE137-FD138,IF(SUM(#REF!,#REF!)&gt;0,SUM(#REF!,#REF!),0)))+FD138</f>
        <v>#REF!</v>
      </c>
      <c r="FF138" s="6" t="e">
        <f>IF(FE138=-FF137,0,MIN(-FF137-FE138,IF(SUM(#REF!,#REF!)&gt;0,SUM(#REF!,#REF!),0)))+FE138</f>
        <v>#REF!</v>
      </c>
      <c r="FG138" s="6" t="e">
        <f>IF(FF138=-FG137,0,MIN(-FG137-FF138,IF(SUM(#REF!,#REF!)&gt;0,SUM(#REF!,#REF!),0)))+FF138</f>
        <v>#REF!</v>
      </c>
      <c r="FH138" s="6" t="e">
        <f>IF(FG138=-FH137,0,MIN(-FH137-FG138,IF(SUM(#REF!,#REF!)&gt;0,SUM(#REF!,#REF!),0)))+FG138</f>
        <v>#REF!</v>
      </c>
      <c r="FI138" s="6" t="e">
        <f>IF(FH138=-FI137,0,MIN(-FI137-FH138,IF(SUM(#REF!,#REF!)&gt;0,SUM(#REF!,#REF!),0)))+FH138</f>
        <v>#REF!</v>
      </c>
      <c r="FJ138" s="6" t="e">
        <f>IF(FI138=-FJ137,0,MIN(-FJ137-FI138,IF(SUM(#REF!,#REF!)&gt;0,SUM(#REF!,#REF!),0)))+FI138</f>
        <v>#REF!</v>
      </c>
      <c r="FK138" s="6" t="e">
        <f>IF(FJ138=-FK137,0,MIN(-FK137-FJ138,IF(SUM(#REF!,#REF!)&gt;0,SUM(#REF!,#REF!),0)))+FJ138</f>
        <v>#REF!</v>
      </c>
      <c r="FL138" s="6" t="e">
        <f>IF(FK138=-FL137,0,MIN(-FL137-FK138,IF(SUM(#REF!,#REF!)&gt;0,SUM(#REF!,#REF!),0)))+FK138</f>
        <v>#REF!</v>
      </c>
      <c r="FM138" s="6" t="e">
        <f>IF(FL138=-FM137,0,MIN(-FM137-FL138,IF(SUM(#REF!,#REF!)&gt;0,SUM(#REF!,#REF!),0)))+FL138</f>
        <v>#REF!</v>
      </c>
      <c r="FN138" s="6" t="e">
        <f>IF(FM138=-FN137,0,MIN(-FN137-FM138,IF(SUM(#REF!,#REF!)&gt;0,SUM(#REF!,#REF!),0)))+FM138</f>
        <v>#REF!</v>
      </c>
      <c r="FO138" s="6" t="e">
        <f>IF(FN138=-FO137,0,MIN(-FO137-FN138,IF(SUM(#REF!,#REF!)&gt;0,SUM(#REF!,#REF!),0)))+FN138</f>
        <v>#REF!</v>
      </c>
      <c r="FP138" s="6" t="e">
        <f>IF(FO138=-FP137,0,MIN(-FP137-FO138,IF(SUM(#REF!,#REF!)&gt;0,SUM(#REF!,#REF!),0)))+FO138</f>
        <v>#REF!</v>
      </c>
      <c r="FQ138" s="6" t="e">
        <f>IF(FP138=-FQ137,0,MIN(-FQ137-FP138,IF(SUM(#REF!,#REF!)&gt;0,SUM(#REF!,#REF!),0)))+FP138</f>
        <v>#REF!</v>
      </c>
      <c r="FR138" s="6" t="e">
        <f>IF(FQ138=-FR137,0,MIN(-FR137-FQ138,IF(SUM(#REF!,#REF!)&gt;0,SUM(#REF!,#REF!),0)))+FQ138</f>
        <v>#REF!</v>
      </c>
      <c r="FS138" s="6" t="e">
        <f>IF(FR138=-FS137,0,MIN(-FS137-FR138,IF(SUM(#REF!,#REF!)&gt;0,SUM(#REF!,#REF!),0)))+FR138</f>
        <v>#REF!</v>
      </c>
      <c r="FT138" s="6" t="e">
        <f>IF(FS138=-FT137,0,MIN(-FT137-FS138,IF(SUM(#REF!,#REF!)&gt;0,SUM(#REF!,#REF!),0)))+FS138</f>
        <v>#REF!</v>
      </c>
      <c r="FU138" s="6" t="e">
        <f>IF(FT138=-FU137,0,MIN(-FU137-FT138,IF(SUM(#REF!,#REF!)&gt;0,SUM(#REF!,#REF!),0)))+FT138</f>
        <v>#REF!</v>
      </c>
      <c r="FV138" s="6" t="e">
        <f>IF(FU138=-FV137,0,MIN(-FV137-FU138,IF(SUM(#REF!,#REF!)&gt;0,SUM(#REF!,#REF!),0)))+FU138</f>
        <v>#REF!</v>
      </c>
      <c r="FW138" s="6" t="e">
        <f>IF(FV138=-FW137,0,MIN(-FW137-FV138,IF(SUM(#REF!,#REF!)&gt;0,SUM(#REF!,#REF!),0)))+FV138</f>
        <v>#REF!</v>
      </c>
      <c r="FX138" s="6" t="e">
        <f>IF(FW138=-FX137,0,MIN(-FX137-FW138,IF(SUM(#REF!,#REF!)&gt;0,SUM(#REF!,#REF!),0)))+FW138</f>
        <v>#REF!</v>
      </c>
      <c r="FY138" s="6" t="e">
        <f>IF(FX138=-FY137,0,MIN(-FY137-FX138,IF(SUM(#REF!,#REF!)&gt;0,SUM(#REF!,#REF!),0)))+FX138</f>
        <v>#REF!</v>
      </c>
      <c r="FZ138" s="6" t="e">
        <f>IF(FY138=-FZ137,0,MIN(-FZ137-FY138,IF(SUM(#REF!,#REF!)&gt;0,SUM(#REF!,#REF!),0)))+FY138</f>
        <v>#REF!</v>
      </c>
      <c r="GA138" s="6" t="e">
        <f>IF(FZ138=-GA137,0,MIN(-GA137-FZ138,IF(SUM(#REF!,#REF!)&gt;0,SUM(#REF!,#REF!),0)))+FZ138</f>
        <v>#REF!</v>
      </c>
      <c r="GB138" s="6" t="e">
        <f>IF(GA138=-GB137,0,MIN(-GB137-GA138,IF(SUM(#REF!,#REF!)&gt;0,SUM(#REF!,#REF!),0)))+GA138</f>
        <v>#REF!</v>
      </c>
      <c r="GC138" s="6" t="e">
        <f>IF(GB138=-GC137,0,MIN(-GC137-GB138,IF(SUM(#REF!,#REF!)&gt;0,SUM(#REF!,#REF!),0)))+GB138</f>
        <v>#REF!</v>
      </c>
      <c r="GD138" s="6" t="e">
        <f>IF(GC138=-GD137,0,MIN(-GD137-GC138,IF(SUM(#REF!,#REF!)&gt;0,SUM(#REF!,#REF!),0)))+GC138</f>
        <v>#REF!</v>
      </c>
      <c r="GE138" s="6" t="e">
        <f>IF(GD138=-GE137,0,MIN(-GE137-GD138,IF(SUM(#REF!,#REF!)&gt;0,SUM(#REF!,#REF!),0)))+GD138</f>
        <v>#REF!</v>
      </c>
      <c r="GF138" s="6" t="e">
        <f>IF(GE138=-GF137,0,MIN(-GF137-GE138,IF(SUM(#REF!,#REF!)&gt;0,SUM(#REF!,#REF!),0)))+GE138</f>
        <v>#REF!</v>
      </c>
      <c r="GG138" s="6" t="e">
        <f>IF(GF138=-GG137,0,MIN(-GG137-GF138,IF(SUM(#REF!,#REF!)&gt;0,SUM(#REF!,#REF!),0)))+GF138</f>
        <v>#REF!</v>
      </c>
      <c r="GH138" s="6" t="e">
        <f>IF(GG138=-GH137,0,MIN(-GH137-GG138,IF(SUM(#REF!,#REF!)&gt;0,SUM(#REF!,#REF!),0)))+GG138</f>
        <v>#REF!</v>
      </c>
      <c r="GI138" s="6" t="e">
        <f>IF(GH138=-GI137,0,MIN(-GI137-GH138,IF(SUM(#REF!,#REF!)&gt;0,SUM(#REF!,#REF!),0)))+GH138</f>
        <v>#REF!</v>
      </c>
      <c r="GJ138" s="6" t="e">
        <f>IF(GI138=-GJ137,0,MIN(-GJ137-GI138,IF(SUM(#REF!,#REF!)&gt;0,SUM(#REF!,#REF!),0)))+GI138</f>
        <v>#REF!</v>
      </c>
      <c r="GK138" s="6" t="e">
        <f>IF(GJ138=-GK137,0,MIN(-GK137-GJ138,IF(SUM(#REF!,#REF!)&gt;0,SUM(#REF!,#REF!),0)))+GJ138</f>
        <v>#REF!</v>
      </c>
      <c r="GL138" s="6" t="e">
        <f>IF(GK138=-GL137,0,MIN(-GL137-GK138,IF(SUM(#REF!,#REF!)&gt;0,SUM(#REF!,#REF!),0)))+GK138</f>
        <v>#REF!</v>
      </c>
      <c r="GM138" s="6" t="e">
        <f>IF(GL138=-GM137,0,MIN(-GM137-GL138,IF(SUM(#REF!,#REF!)&gt;0,SUM(#REF!,#REF!),0)))+GL138</f>
        <v>#REF!</v>
      </c>
      <c r="GN138" s="6" t="e">
        <f>IF(GM138=-GN137,0,MIN(-GN137-GM138,IF(SUM(#REF!,#REF!)&gt;0,SUM(#REF!,#REF!),0)))+GM138</f>
        <v>#REF!</v>
      </c>
      <c r="GO138" s="6" t="e">
        <f>IF(GN138=-GO137,0,MIN(-GO137-GN138,IF(SUM(#REF!,#REF!)&gt;0,SUM(#REF!,#REF!),0)))+GN138</f>
        <v>#REF!</v>
      </c>
      <c r="GP138" s="6" t="e">
        <f>IF(GO138=-GP137,0,MIN(-GP137-GO138,IF(SUM(#REF!,#REF!)&gt;0,SUM(#REF!,#REF!),0)))+GO138</f>
        <v>#REF!</v>
      </c>
      <c r="GQ138" s="6" t="e">
        <f>IF(GP138=-GQ137,0,MIN(-GQ137-GP138,IF(SUM(#REF!,#REF!)&gt;0,SUM(#REF!,#REF!),0)))+GP138</f>
        <v>#REF!</v>
      </c>
      <c r="GR138" s="6" t="e">
        <f>IF(GQ138=-GR137,0,MIN(-GR137-GQ138,IF(SUM(#REF!,#REF!)&gt;0,SUM(#REF!,#REF!),0)))+GQ138</f>
        <v>#REF!</v>
      </c>
      <c r="GS138" s="6" t="e">
        <f>IF(GR138=-GS137,0,MIN(-GS137-GR138,IF(SUM(#REF!,#REF!)&gt;0,SUM(#REF!,#REF!),0)))+GR138</f>
        <v>#REF!</v>
      </c>
      <c r="GT138" s="6" t="e">
        <f>IF(GS138=-GT137,0,MIN(-GT137-GS138,IF(SUM(#REF!,#REF!)&gt;0,SUM(#REF!,#REF!),0)))+GS138</f>
        <v>#REF!</v>
      </c>
      <c r="GU138" s="6" t="e">
        <f>IF(GT138=-GU137,0,MIN(-GU137-GT138,IF(SUM(#REF!,#REF!)&gt;0,SUM(#REF!,#REF!),0)))+GT138</f>
        <v>#REF!</v>
      </c>
      <c r="GV138" s="6" t="e">
        <f>IF(GU138=-GV137,0,MIN(-GV137-GU138,IF(SUM(#REF!,#REF!)&gt;0,SUM(#REF!,#REF!),0)))+GU138</f>
        <v>#REF!</v>
      </c>
      <c r="GW138" s="6" t="e">
        <f>IF(GV138=-GW137,0,MIN(-GW137-GV138,IF(SUM(#REF!,#REF!)&gt;0,SUM(#REF!,#REF!),0)))+GV138</f>
        <v>#REF!</v>
      </c>
      <c r="GX138" s="6" t="e">
        <f>IF(GW138=-GX137,0,MIN(-GX137-GW138,IF(SUM(#REF!,#REF!)&gt;0,SUM(#REF!,#REF!),0)))+GW138</f>
        <v>#REF!</v>
      </c>
      <c r="GY138" s="6" t="e">
        <f>IF(GX138=-GY137,0,MIN(-GY137-GX138,IF(SUM(#REF!,#REF!)&gt;0,SUM(#REF!,#REF!),0)))+GX138</f>
        <v>#REF!</v>
      </c>
      <c r="GZ138" s="6" t="e">
        <f>IF(GY138=-GZ137,0,MIN(-GZ137-GY138,IF(SUM(#REF!,#REF!)&gt;0,SUM(#REF!,#REF!),0)))+GY138</f>
        <v>#REF!</v>
      </c>
      <c r="HA138" s="6" t="e">
        <f>IF(GZ138=-HA137,0,MIN(-HA137-GZ138,IF(SUM(#REF!,#REF!)&gt;0,SUM(#REF!,#REF!),0)))+GZ138</f>
        <v>#REF!</v>
      </c>
      <c r="HB138" s="6" t="e">
        <f>IF(HA138=-HB137,0,MIN(-HB137-HA138,IF(SUM(#REF!,#REF!)&gt;0,SUM(#REF!,#REF!),0)))+HA138</f>
        <v>#REF!</v>
      </c>
      <c r="HC138" s="6" t="e">
        <f>IF(HB138=-HC137,0,MIN(-HC137-HB138,IF(SUM(#REF!,#REF!)&gt;0,SUM(#REF!,#REF!),0)))+HB138</f>
        <v>#REF!</v>
      </c>
      <c r="HD138" s="6" t="e">
        <f>IF(HC138=-HD137,0,MIN(-HD137-HC138,IF(SUM(#REF!,#REF!)&gt;0,SUM(#REF!,#REF!),0)))+HC138</f>
        <v>#REF!</v>
      </c>
      <c r="HE138" s="6" t="e">
        <f>IF(HD138=-HE137,0,MIN(-HE137-HD138,IF(SUM(#REF!,#REF!)&gt;0,SUM(#REF!,#REF!),0)))+HD138</f>
        <v>#REF!</v>
      </c>
      <c r="HF138" s="6" t="e">
        <f>IF(HE138=-HF137,0,MIN(-HF137-HE138,IF(SUM(#REF!,#REF!)&gt;0,SUM(#REF!,#REF!),0)))+HE138</f>
        <v>#REF!</v>
      </c>
      <c r="HG138" s="6" t="e">
        <f>IF(HF138=-HG137,0,MIN(-HG137-HF138,IF(SUM(#REF!,#REF!)&gt;0,SUM(#REF!,#REF!),0)))+HF138</f>
        <v>#REF!</v>
      </c>
      <c r="HH138" s="6" t="e">
        <f>IF(HG138=-HH137,0,MIN(-HH137-HG138,IF(SUM(#REF!,#REF!)&gt;0,SUM(#REF!,#REF!),0)))+HG138</f>
        <v>#REF!</v>
      </c>
      <c r="HI138" s="6" t="e">
        <f>IF(HH138=-HI137,0,MIN(-HI137-HH138,IF(SUM(#REF!,#REF!)&gt;0,SUM(#REF!,#REF!),0)))+HH138</f>
        <v>#REF!</v>
      </c>
      <c r="HJ138" s="6" t="e">
        <f>IF(HI138=-HJ137,0,MIN(-HJ137-HI138,IF(SUM(#REF!,#REF!)&gt;0,SUM(#REF!,#REF!),0)))+HI138</f>
        <v>#REF!</v>
      </c>
      <c r="HK138" s="6" t="e">
        <f>IF(HJ138=-HK137,0,MIN(-HK137-HJ138,IF(SUM(#REF!,#REF!)&gt;0,SUM(#REF!,#REF!),0)))+HJ138</f>
        <v>#REF!</v>
      </c>
      <c r="HL138" s="6" t="e">
        <f>IF(HK138=-HL137,0,MIN(-HL137-HK138,IF(SUM(#REF!,#REF!)&gt;0,SUM(#REF!,#REF!),0)))+HK138</f>
        <v>#REF!</v>
      </c>
      <c r="HM138" s="6" t="e">
        <f>IF(HL138=-HM137,0,MIN(-HM137-HL138,IF(SUM(#REF!,#REF!)&gt;0,SUM(#REF!,#REF!),0)))+HL138</f>
        <v>#REF!</v>
      </c>
      <c r="HN138" s="6" t="e">
        <f>IF(HM138=-HN137,0,MIN(-HN137-HM138,IF(SUM(#REF!,#REF!)&gt;0,SUM(#REF!,#REF!),0)))+HM138</f>
        <v>#REF!</v>
      </c>
      <c r="HO138" s="6" t="e">
        <f>IF(HN138=-HO137,0,MIN(-HO137-HN138,IF(SUM(#REF!,#REF!)&gt;0,SUM(#REF!,#REF!),0)))+HN138</f>
        <v>#REF!</v>
      </c>
      <c r="HP138" s="6" t="e">
        <f>IF(HO138=-HP137,0,MIN(-HP137-HO138,IF(SUM(#REF!,#REF!)&gt;0,SUM(#REF!,#REF!),0)))+HO138</f>
        <v>#REF!</v>
      </c>
      <c r="HQ138" s="6" t="e">
        <f>IF(HP138=-HQ137,0,MIN(-HQ137-HP138,IF(SUM(#REF!,#REF!)&gt;0,SUM(#REF!,#REF!),0)))+HP138</f>
        <v>#REF!</v>
      </c>
      <c r="HR138" s="6" t="e">
        <f>IF(HQ138=-HR137,0,MIN(-HR137-HQ138,IF(SUM(#REF!,#REF!)&gt;0,SUM(#REF!,#REF!),0)))+HQ138</f>
        <v>#REF!</v>
      </c>
      <c r="HS138" s="6" t="e">
        <f>IF(HR138=-HS137,0,MIN(-HS137-HR138,IF(SUM(#REF!,#REF!)&gt;0,SUM(#REF!,#REF!),0)))+HR138</f>
        <v>#REF!</v>
      </c>
      <c r="HT138" s="6" t="e">
        <f>IF(HS138=-HT137,0,MIN(-HT137-HS138,IF(SUM(#REF!,#REF!)&gt;0,SUM(#REF!,#REF!),0)))+HS138</f>
        <v>#REF!</v>
      </c>
      <c r="HU138" s="6" t="e">
        <f>IF(HT138=-HU137,0,MIN(-HU137-HT138,IF(SUM(#REF!,#REF!)&gt;0,SUM(#REF!,#REF!),0)))+HT138</f>
        <v>#REF!</v>
      </c>
      <c r="HV138" s="6" t="e">
        <f>IF(HU138=-HV137,0,MIN(-HV137-HU138,IF(SUM(#REF!,#REF!)&gt;0,SUM(#REF!,#REF!),0)))+HU138</f>
        <v>#REF!</v>
      </c>
      <c r="HW138" s="6" t="e">
        <f>IF(HV138=-HW137,0,MIN(-HW137-HV138,IF(SUM(#REF!,#REF!)&gt;0,SUM(#REF!,#REF!),0)))+HV138</f>
        <v>#REF!</v>
      </c>
      <c r="HX138" s="6" t="e">
        <f>IF(HW138=-HX137,0,MIN(-HX137-HW138,IF(SUM(#REF!,#REF!)&gt;0,SUM(#REF!,#REF!),0)))+HW138</f>
        <v>#REF!</v>
      </c>
      <c r="HY138" s="6" t="e">
        <f>IF(HX138=-HY137,0,MIN(-HY137-HX138,IF(SUM(#REF!,#REF!)&gt;0,SUM(#REF!,#REF!),0)))+HX138</f>
        <v>#REF!</v>
      </c>
      <c r="HZ138" s="6" t="e">
        <f>IF(HY138=-HZ137,0,MIN(-HZ137-HY138,IF(SUM(#REF!,#REF!)&gt;0,SUM(#REF!,#REF!),0)))+HY138</f>
        <v>#REF!</v>
      </c>
      <c r="IA138" s="6" t="e">
        <f>IF(HZ138=-IA137,0,MIN(-IA137-HZ138,IF(SUM(#REF!,#REF!)&gt;0,SUM(#REF!,#REF!),0)))+HZ138</f>
        <v>#REF!</v>
      </c>
      <c r="IB138" s="6" t="e">
        <f>IF(IA138=-IB137,0,MIN(-IB137-IA138,IF(SUM(#REF!,#REF!)&gt;0,SUM(#REF!,#REF!),0)))+IA138</f>
        <v>#REF!</v>
      </c>
      <c r="IC138" s="6" t="e">
        <f>IF(IB138=-IC137,0,MIN(-IC137-IB138,IF(SUM(#REF!,#REF!)&gt;0,SUM(#REF!,#REF!),0)))+IB138</f>
        <v>#REF!</v>
      </c>
      <c r="ID138" s="6" t="e">
        <f>IF(IC138=-ID137,0,MIN(-ID137-IC138,IF(SUM(#REF!,#REF!)&gt;0,SUM(#REF!,#REF!),0)))+IC138</f>
        <v>#REF!</v>
      </c>
      <c r="IE138" s="6" t="e">
        <f>IF(ID138=-IE137,0,MIN(-IE137-ID138,IF(SUM(#REF!,#REF!)&gt;0,SUM(#REF!,#REF!),0)))+ID138</f>
        <v>#REF!</v>
      </c>
      <c r="IF138" s="6" t="e">
        <f>IF(IE138=-IF137,0,MIN(-IF137-IE138,IF(SUM(#REF!,#REF!)&gt;0,SUM(#REF!,#REF!),0)))+IE138</f>
        <v>#REF!</v>
      </c>
      <c r="IG138" s="6" t="e">
        <f>IF(IF138=-IG137,0,MIN(-IG137-IF138,IF(SUM(#REF!,#REF!)&gt;0,SUM(#REF!,#REF!),0)))+IF138</f>
        <v>#REF!</v>
      </c>
      <c r="IH138" s="6" t="e">
        <f>IF(IG138=-IH137,0,MIN(-IH137-IG138,IF(SUM(#REF!,#REF!)&gt;0,SUM(#REF!,#REF!),0)))+IG138</f>
        <v>#REF!</v>
      </c>
      <c r="II138" s="6" t="e">
        <f>IF(IH138=-II137,0,MIN(-II137-IH138,IF(SUM(#REF!,#REF!)&gt;0,SUM(#REF!,#REF!),0)))+IH138</f>
        <v>#REF!</v>
      </c>
      <c r="IJ138" s="6" t="e">
        <f>IF(II138=-IJ137,0,MIN(-IJ137-II138,IF(SUM(#REF!,#REF!)&gt;0,SUM(#REF!,#REF!),0)))+II138</f>
        <v>#REF!</v>
      </c>
      <c r="IK138" s="6" t="e">
        <f>IF(IJ138=-IK137,0,MIN(-IK137-IJ138,IF(SUM(#REF!,#REF!)&gt;0,SUM(#REF!,#REF!),0)))+IJ138</f>
        <v>#REF!</v>
      </c>
      <c r="IL138" s="6" t="e">
        <f>IF(IK138=-IL137,0,MIN(-IL137-IK138,IF(SUM(#REF!,#REF!)&gt;0,SUM(#REF!,#REF!),0)))+IK138</f>
        <v>#REF!</v>
      </c>
      <c r="IM138" s="6" t="e">
        <f>IF(IL138=-IM137,0,MIN(-IM137-IL138,IF(SUM(#REF!,#REF!)&gt;0,SUM(#REF!,#REF!),0)))+IL138</f>
        <v>#REF!</v>
      </c>
      <c r="IN138" s="6" t="e">
        <f>IF(IM138=-IN137,0,MIN(-IN137-IM138,IF(SUM(#REF!,#REF!)&gt;0,SUM(#REF!,#REF!),0)))+IM138</f>
        <v>#REF!</v>
      </c>
      <c r="IO138" s="6" t="e">
        <f>IF(IN138=-IO137,0,MIN(-IO137-IN138,IF(SUM(#REF!,#REF!)&gt;0,SUM(#REF!,#REF!),0)))+IN138</f>
        <v>#REF!</v>
      </c>
      <c r="IP138" s="6" t="e">
        <f>IF(IO138=-IP137,0,MIN(-IP137-IO138,IF(SUM(#REF!,#REF!)&gt;0,SUM(#REF!,#REF!),0)))+IO138</f>
        <v>#REF!</v>
      </c>
      <c r="IQ138" s="6" t="e">
        <f>IF(IP138=-IQ137,0,MIN(-IQ137-IP138,IF(SUM(#REF!,#REF!)&gt;0,SUM(#REF!,#REF!),0)))+IP138</f>
        <v>#REF!</v>
      </c>
      <c r="IR138" s="6" t="e">
        <f>IF(IQ138=-IR137,0,MIN(-IR137-IQ138,IF(SUM(#REF!,#REF!)&gt;0,SUM(#REF!,#REF!),0)))+IQ138</f>
        <v>#REF!</v>
      </c>
      <c r="IS138" s="6" t="e">
        <f>IF(IR138=-IS137,0,MIN(-IS137-IR138,IF(SUM(#REF!,#REF!)&gt;0,SUM(#REF!,#REF!),0)))+IR138</f>
        <v>#REF!</v>
      </c>
      <c r="IT138" s="6" t="e">
        <f>IF(IS138=-IT137,0,MIN(-IT137-IS138,IF(SUM(#REF!,#REF!)&gt;0,SUM(#REF!,#REF!),0)))+IS138</f>
        <v>#REF!</v>
      </c>
      <c r="IU138" s="6" t="e">
        <f>IF(IT138=-IU137,0,MIN(-IU137-IT138,IF(SUM(#REF!,#REF!)&gt;0,SUM(#REF!,#REF!),0)))+IT138</f>
        <v>#REF!</v>
      </c>
      <c r="IV138" s="6" t="e">
        <f>IF(IU138=-IV137,0,MIN(-IV137-IU138,IF(SUM(#REF!,#REF!)&gt;0,SUM(#REF!,#REF!),0)))+IU138</f>
        <v>#REF!</v>
      </c>
      <c r="IW138" s="6" t="e">
        <f>IF(IV138=-IW137,0,MIN(-IW137-IV138,IF(SUM(#REF!,#REF!)&gt;0,SUM(#REF!,#REF!),0)))+IV138</f>
        <v>#REF!</v>
      </c>
      <c r="IX138" s="6" t="e">
        <f>IF(IW138=-IX137,0,MIN(-IX137-IW138,IF(SUM(#REF!,#REF!)&gt;0,SUM(#REF!,#REF!),0)))+IW138</f>
        <v>#REF!</v>
      </c>
      <c r="IY138" s="6" t="e">
        <f>IF(IX138=-IY137,0,MIN(-IY137-IX138,IF(SUM(#REF!,#REF!)&gt;0,SUM(#REF!,#REF!),0)))+IX138</f>
        <v>#REF!</v>
      </c>
      <c r="IZ138" s="6" t="e">
        <f>IF(IY138=-IZ137,0,MIN(-IZ137-IY138,IF(SUM(#REF!,#REF!)&gt;0,SUM(#REF!,#REF!),0)))+IY138</f>
        <v>#REF!</v>
      </c>
      <c r="JA138" s="6" t="e">
        <f>IF(IZ138=-JA137,0,MIN(-JA137-IZ138,IF(SUM(#REF!,#REF!)&gt;0,SUM(#REF!,#REF!),0)))+IZ138</f>
        <v>#REF!</v>
      </c>
      <c r="JB138" s="6" t="e">
        <f>IF(JA138=-JB137,0,MIN(-JB137-JA138,IF(SUM(#REF!,#REF!)&gt;0,SUM(#REF!,#REF!),0)))+JA138</f>
        <v>#REF!</v>
      </c>
      <c r="JC138" s="6" t="e">
        <f>IF(JB138=-JC137,0,MIN(-JC137-JB138,IF(SUM(#REF!,#REF!)&gt;0,SUM(#REF!,#REF!),0)))+JB138</f>
        <v>#REF!</v>
      </c>
      <c r="JD138" s="6" t="e">
        <f>IF(JC138=-JD137,0,MIN(-JD137-JC138,IF(SUM(#REF!,#REF!)&gt;0,SUM(#REF!,#REF!),0)))+JC138</f>
        <v>#REF!</v>
      </c>
      <c r="JE138" s="6" t="e">
        <f>IF(JD138=-JE137,0,MIN(-JE137-JD138,IF(SUM(#REF!,#REF!)&gt;0,SUM(#REF!,#REF!),0)))+JD138</f>
        <v>#REF!</v>
      </c>
      <c r="JF138" s="6" t="e">
        <f>IF(JE138=-JF137,0,MIN(-JF137-JE138,IF(SUM(#REF!,#REF!)&gt;0,SUM(#REF!,#REF!),0)))+JE138</f>
        <v>#REF!</v>
      </c>
      <c r="JG138" s="6" t="e">
        <f>IF(JF138=-JG137,0,MIN(-JG137-JF138,IF(SUM(#REF!,#REF!)&gt;0,SUM(#REF!,#REF!),0)))+JF138</f>
        <v>#REF!</v>
      </c>
      <c r="JH138" s="6" t="e">
        <f>IF(JG138=-JH137,0,MIN(-JH137-JG138,IF(SUM(#REF!,#REF!)&gt;0,SUM(#REF!,#REF!),0)))+JG138</f>
        <v>#REF!</v>
      </c>
      <c r="JI138" s="6" t="e">
        <f>IF(JH138=-JI137,0,MIN(-JI137-JH138,IF(SUM(#REF!,#REF!)&gt;0,SUM(#REF!,#REF!),0)))+JH138</f>
        <v>#REF!</v>
      </c>
      <c r="JJ138" s="6" t="e">
        <f>IF(JI138=-JJ137,0,MIN(-JJ137-JI138,IF(SUM(#REF!,#REF!)&gt;0,SUM(#REF!,#REF!),0)))+JI138</f>
        <v>#REF!</v>
      </c>
      <c r="JK138" s="6" t="e">
        <f>IF(JJ138=-JK137,0,MIN(-JK137-JJ138,IF(SUM(#REF!,#REF!)&gt;0,SUM(#REF!,#REF!),0)))+JJ138</f>
        <v>#REF!</v>
      </c>
      <c r="JL138" s="6" t="e">
        <f>IF(JK138=-JL137,0,MIN(-JL137-JK138,IF(SUM(#REF!,#REF!)&gt;0,SUM(#REF!,#REF!),0)))+JK138</f>
        <v>#REF!</v>
      </c>
      <c r="JM138" s="6" t="e">
        <f>IF(JL138=-JM137,0,MIN(-JM137-JL138,IF(SUM(#REF!,#REF!)&gt;0,SUM(#REF!,#REF!),0)))+JL138</f>
        <v>#REF!</v>
      </c>
      <c r="JN138" s="6" t="e">
        <f>IF(JM138=-JN137,0,MIN(-JN137-JM138,IF(SUM(#REF!,#REF!)&gt;0,SUM(#REF!,#REF!),0)))+JM138</f>
        <v>#REF!</v>
      </c>
      <c r="JO138" s="6" t="e">
        <f>IF(JN138=-JO137,0,MIN(-JO137-JN138,IF(SUM(#REF!,#REF!)&gt;0,SUM(#REF!,#REF!),0)))+JN138</f>
        <v>#REF!</v>
      </c>
      <c r="JP138" s="6" t="e">
        <f>IF(JO138=-JP137,0,MIN(-JP137-JO138,IF(SUM(#REF!,#REF!)&gt;0,SUM(#REF!,#REF!),0)))+JO138</f>
        <v>#REF!</v>
      </c>
      <c r="JQ138" s="6" t="e">
        <f>IF(JP138=-JQ137,0,MIN(-JQ137-JP138,IF(SUM(#REF!,#REF!)&gt;0,SUM(#REF!,#REF!),0)))+JP138</f>
        <v>#REF!</v>
      </c>
      <c r="JR138" s="6" t="e">
        <f>IF(JQ138=-JR137,0,MIN(-JR137-JQ138,IF(SUM(#REF!,#REF!)&gt;0,SUM(#REF!,#REF!),0)))+JQ138</f>
        <v>#REF!</v>
      </c>
      <c r="JS138" s="6" t="e">
        <f>IF(JR138=-JS137,0,MIN(-JS137-JR138,IF(SUM(#REF!,#REF!)&gt;0,SUM(#REF!,#REF!),0)))+JR138</f>
        <v>#REF!</v>
      </c>
      <c r="JT138" s="6" t="e">
        <f>IF(JS138=-JT137,0,MIN(-JT137-JS138,IF(SUM(#REF!,#REF!)&gt;0,SUM(#REF!,#REF!),0)))+JS138</f>
        <v>#REF!</v>
      </c>
      <c r="JU138" s="6" t="e">
        <f>IF(JT138=-JU137,0,MIN(-JU137-JT138,IF(SUM(#REF!,#REF!)&gt;0,SUM(#REF!,#REF!),0)))+JT138</f>
        <v>#REF!</v>
      </c>
      <c r="JV138" s="6" t="e">
        <f>IF(JU138=-JV137,0,MIN(-JV137-JU138,IF(SUM(#REF!,#REF!)&gt;0,SUM(#REF!,#REF!),0)))+JU138</f>
        <v>#REF!</v>
      </c>
      <c r="JW138" s="6" t="e">
        <f>IF(JV138=-JW137,0,MIN(-JW137-JV138,IF(SUM(#REF!,#REF!)&gt;0,SUM(#REF!,#REF!),0)))+JV138</f>
        <v>#REF!</v>
      </c>
      <c r="JX138" s="6" t="e">
        <f>IF(JW138=-JX137,0,MIN(-JX137-JW138,IF(SUM(#REF!,#REF!)&gt;0,SUM(#REF!,#REF!),0)))+JW138</f>
        <v>#REF!</v>
      </c>
      <c r="JY138" s="6" t="e">
        <f>IF(JX138=-JY137,0,MIN(-JY137-JX138,IF(SUM(#REF!,#REF!)&gt;0,SUM(#REF!,#REF!),0)))+JX138</f>
        <v>#REF!</v>
      </c>
      <c r="JZ138" s="6" t="e">
        <f>IF(JY138=-JZ137,0,MIN(-JZ137-JY138,IF(SUM(#REF!,#REF!)&gt;0,SUM(#REF!,#REF!),0)))+JY138</f>
        <v>#REF!</v>
      </c>
      <c r="KA138" s="6" t="e">
        <f>IF(JZ138=-KA137,0,MIN(-KA137-JZ138,IF(SUM(#REF!,#REF!)&gt;0,SUM(#REF!,#REF!),0)))+JZ138</f>
        <v>#REF!</v>
      </c>
      <c r="KB138" s="6" t="e">
        <f>IF(KA138=-KB137,0,MIN(-KB137-KA138,IF(SUM(#REF!,#REF!)&gt;0,SUM(#REF!,#REF!),0)))+KA138</f>
        <v>#REF!</v>
      </c>
      <c r="KC138" s="6" t="e">
        <f>IF(KB138=-KC137,0,MIN(-KC137-KB138,IF(SUM(#REF!,#REF!)&gt;0,SUM(#REF!,#REF!),0)))+KB138</f>
        <v>#REF!</v>
      </c>
      <c r="KD138" s="6" t="e">
        <f>IF(KC138=-KD137,0,MIN(-KD137-KC138,IF(SUM(#REF!,#REF!)&gt;0,SUM(#REF!,#REF!),0)))+KC138</f>
        <v>#REF!</v>
      </c>
      <c r="KE138" s="6" t="e">
        <f>IF(KD138=-KE137,0,MIN(-KE137-KD138,IF(SUM(#REF!,#REF!)&gt;0,SUM(#REF!,#REF!),0)))+KD138</f>
        <v>#REF!</v>
      </c>
      <c r="KF138" s="6" t="e">
        <f>IF(KE138=-KF137,0,MIN(-KF137-KE138,IF(SUM(#REF!,#REF!)&gt;0,SUM(#REF!,#REF!),0)))+KE138</f>
        <v>#REF!</v>
      </c>
      <c r="KG138" s="6" t="e">
        <f>IF(KF138=-KG137,0,MIN(-KG137-KF138,IF(SUM(#REF!,#REF!)&gt;0,SUM(#REF!,#REF!),0)))+KF138</f>
        <v>#REF!</v>
      </c>
      <c r="KH138" s="6" t="e">
        <f>IF(KG138=-KH137,0,MIN(-KH137-KG138,IF(SUM(#REF!,#REF!)&gt;0,SUM(#REF!,#REF!),0)))+KG138</f>
        <v>#REF!</v>
      </c>
      <c r="KI138" s="6" t="e">
        <f>IF(KH138=-KI137,0,MIN(-KI137-KH138,IF(SUM(#REF!,#REF!)&gt;0,SUM(#REF!,#REF!),0)))+KH138</f>
        <v>#REF!</v>
      </c>
      <c r="KJ138" s="6" t="e">
        <f>IF(KI138=-KJ137,0,MIN(-KJ137-KI138,IF(SUM(#REF!,#REF!)&gt;0,SUM(#REF!,#REF!),0)))+KI138</f>
        <v>#REF!</v>
      </c>
      <c r="KK138" s="6" t="e">
        <f>IF(KJ138=-KK137,0,MIN(-KK137-KJ138,IF(SUM(#REF!,#REF!)&gt;0,SUM(#REF!,#REF!),0)))+KJ138</f>
        <v>#REF!</v>
      </c>
      <c r="KL138" s="6" t="e">
        <f>IF(KK138=-KL137,0,MIN(-KL137-KK138,IF(SUM(#REF!,#REF!)&gt;0,SUM(#REF!,#REF!),0)))+KK138</f>
        <v>#REF!</v>
      </c>
      <c r="KM138" s="6" t="e">
        <f>IF(KL138=-KM137,0,MIN(-KM137-KL138,IF(SUM(#REF!,#REF!)&gt;0,SUM(#REF!,#REF!),0)))+KL138</f>
        <v>#REF!</v>
      </c>
      <c r="KN138" s="6" t="e">
        <f>IF(KM138=-KN137,0,MIN(-KN137-KM138,IF(SUM(#REF!,#REF!)&gt;0,SUM(#REF!,#REF!),0)))+KM138</f>
        <v>#REF!</v>
      </c>
      <c r="KO138" s="6" t="e">
        <f>IF(KN138=-KO137,0,MIN(-KO137-KN138,IF(SUM(#REF!,#REF!)&gt;0,SUM(#REF!,#REF!),0)))+KN138</f>
        <v>#REF!</v>
      </c>
      <c r="KP138" s="6" t="e">
        <f>IF(KO138=-KP137,0,MIN(-KP137-KO138,IF(SUM(#REF!,#REF!)&gt;0,SUM(#REF!,#REF!),0)))+KO138</f>
        <v>#REF!</v>
      </c>
      <c r="KQ138" s="6" t="e">
        <f>IF(KP138=-KQ137,0,MIN(-KQ137-KP138,IF(SUM(#REF!,#REF!)&gt;0,SUM(#REF!,#REF!),0)))+KP138</f>
        <v>#REF!</v>
      </c>
      <c r="KR138" s="6" t="e">
        <f>IF(KQ138=-KR137,0,MIN(-KR137-KQ138,IF(SUM(#REF!,#REF!)&gt;0,SUM(#REF!,#REF!),0)))+KQ138</f>
        <v>#REF!</v>
      </c>
      <c r="KS138" s="6" t="e">
        <f>IF(KR138=-KS137,0,MIN(-KS137-KR138,IF(SUM(#REF!,#REF!)&gt;0,SUM(#REF!,#REF!),0)))+KR138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Inputs</vt:lpstr>
      <vt:lpstr>Financials</vt:lpstr>
      <vt:lpstr>Inputs!Print_Area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Brij Ruparel</dc:creator>
  <cp:keywords/>
  <dc:description/>
  <cp:lastModifiedBy>Brij</cp:lastModifiedBy>
  <cp:revision/>
  <dcterms:created xsi:type="dcterms:W3CDTF">2025-11-03T12:04:30Z</dcterms:created>
  <dcterms:modified xsi:type="dcterms:W3CDTF">2026-05-16T12:59:26Z</dcterms:modified>
  <cp:category/>
  <cp:contentStatus/>
</cp:coreProperties>
</file>